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e2a63d408fce3718/Desktop/Feb 26/"/>
    </mc:Choice>
  </mc:AlternateContent>
  <xr:revisionPtr revIDLastSave="4" documentId="8_{3188564A-8468-45AB-B4E6-97A91EED558D}" xr6:coauthVersionLast="47" xr6:coauthVersionMax="47" xr10:uidLastSave="{ADFBA0AD-A515-48E8-BB81-3C10396CA588}"/>
  <bookViews>
    <workbookView xWindow="-110" yWindow="-110" windowWidth="19420" windowHeight="11500" xr2:uid="{22D66A36-36FB-48FB-B773-C19FB96E758D}"/>
  </bookViews>
  <sheets>
    <sheet name="In Case" sheetId="3" r:id="rId1"/>
    <sheet name="In Value" sheetId="4" r:id="rId2"/>
    <sheet name="Sheet2" sheetId="6" state="hidden" r:id="rId3"/>
    <sheet name="Main" sheetId="1" r:id="rId4"/>
  </sheets>
  <definedNames>
    <definedName name="_xlnm._FilterDatabase" localSheetId="3" hidden="1">Main!$A$1:$P$2351</definedName>
    <definedName name="Slicer_FY">#N/A</definedName>
    <definedName name="Slicer_FY1">#N/A</definedName>
    <definedName name="Slicer_QTR">#N/A</definedName>
    <definedName name="Slicer_QTR1">#N/A</definedName>
  </definedNames>
  <calcPr calcId="191029"/>
  <pivotCaches>
    <pivotCache cacheId="63" r:id="rId5"/>
    <pivotCache cacheId="9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2" i="3" l="1"/>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B2192" i="1"/>
  <c r="C2192" i="1"/>
  <c r="B2193" i="1"/>
  <c r="C2193" i="1"/>
  <c r="B2194" i="1"/>
  <c r="C2194" i="1"/>
  <c r="B2195" i="1"/>
  <c r="C2195" i="1"/>
  <c r="B2196" i="1"/>
  <c r="C2196" i="1"/>
  <c r="B2197" i="1"/>
  <c r="C2197" i="1"/>
  <c r="B2198" i="1"/>
  <c r="C2198" i="1"/>
  <c r="B2199" i="1"/>
  <c r="C2199" i="1"/>
  <c r="B2200" i="1"/>
  <c r="C2200" i="1"/>
  <c r="B2201" i="1"/>
  <c r="C2201" i="1"/>
  <c r="B2202" i="1"/>
  <c r="C2202" i="1"/>
  <c r="B2203" i="1"/>
  <c r="C2203" i="1"/>
  <c r="B2204" i="1"/>
  <c r="C2204" i="1"/>
  <c r="B2205" i="1"/>
  <c r="C2205" i="1"/>
  <c r="B2206" i="1"/>
  <c r="C2206" i="1"/>
  <c r="B2207" i="1"/>
  <c r="C2207" i="1"/>
  <c r="B2208" i="1"/>
  <c r="C2208" i="1"/>
  <c r="B2209" i="1"/>
  <c r="C2209" i="1"/>
  <c r="B2210" i="1"/>
  <c r="C2210" i="1"/>
  <c r="B2211" i="1"/>
  <c r="C2211" i="1"/>
  <c r="B2212" i="1"/>
  <c r="C2212" i="1"/>
  <c r="B2213" i="1"/>
  <c r="C2213" i="1"/>
  <c r="B2214" i="1"/>
  <c r="C2214" i="1"/>
  <c r="B2215" i="1"/>
  <c r="C2215" i="1"/>
  <c r="B2216" i="1"/>
  <c r="C2216" i="1"/>
  <c r="B2217" i="1"/>
  <c r="C2217" i="1"/>
  <c r="B2218" i="1"/>
  <c r="C2218" i="1"/>
  <c r="B2219" i="1"/>
  <c r="C2219" i="1"/>
  <c r="B2220" i="1"/>
  <c r="C2220" i="1"/>
  <c r="B2221" i="1"/>
  <c r="C2221" i="1"/>
  <c r="B2222" i="1"/>
  <c r="C2222" i="1"/>
  <c r="B2223" i="1"/>
  <c r="C2223" i="1"/>
  <c r="B2224" i="1"/>
  <c r="C2224" i="1"/>
  <c r="B2225" i="1"/>
  <c r="C2225" i="1"/>
  <c r="B2226" i="1"/>
  <c r="C2226" i="1"/>
  <c r="B2227" i="1"/>
  <c r="C2227" i="1"/>
  <c r="B2228" i="1"/>
  <c r="C2228" i="1"/>
  <c r="B2229" i="1"/>
  <c r="C2229" i="1"/>
  <c r="B2230" i="1"/>
  <c r="C2230" i="1"/>
  <c r="B2231" i="1"/>
  <c r="C2231" i="1"/>
  <c r="B2232" i="1"/>
  <c r="C2232" i="1"/>
  <c r="B2233" i="1"/>
  <c r="C2233" i="1"/>
  <c r="B2234" i="1"/>
  <c r="C2234" i="1"/>
  <c r="B2235" i="1"/>
  <c r="C2235" i="1"/>
  <c r="B2236" i="1"/>
  <c r="C2236" i="1"/>
  <c r="B2237" i="1"/>
  <c r="C2237" i="1"/>
  <c r="B2238" i="1"/>
  <c r="C2238" i="1"/>
  <c r="B2239" i="1"/>
  <c r="C2239" i="1"/>
  <c r="B2240" i="1"/>
  <c r="C2240" i="1"/>
  <c r="B2241" i="1"/>
  <c r="C2241" i="1"/>
  <c r="B2242" i="1"/>
  <c r="C2242" i="1"/>
  <c r="B2243" i="1"/>
  <c r="C2243" i="1"/>
  <c r="B2244" i="1"/>
  <c r="C2244" i="1"/>
  <c r="B2245" i="1"/>
  <c r="C2245" i="1"/>
  <c r="B2246" i="1"/>
  <c r="C2246" i="1"/>
  <c r="B2247" i="1"/>
  <c r="C2247" i="1"/>
  <c r="B2248" i="1"/>
  <c r="C2248" i="1"/>
  <c r="B2249" i="1"/>
  <c r="C2249" i="1"/>
  <c r="B2250" i="1"/>
  <c r="C2250" i="1"/>
  <c r="B2251" i="1"/>
  <c r="C2251" i="1"/>
  <c r="B2252" i="1"/>
  <c r="C2252" i="1"/>
  <c r="B2253" i="1"/>
  <c r="C2253" i="1"/>
  <c r="B2254" i="1"/>
  <c r="C2254" i="1"/>
  <c r="B2255" i="1"/>
  <c r="C2255" i="1"/>
  <c r="B2256" i="1"/>
  <c r="C2256" i="1"/>
  <c r="B2257" i="1"/>
  <c r="C2257" i="1"/>
  <c r="B2258" i="1"/>
  <c r="C2258" i="1"/>
  <c r="B2259" i="1"/>
  <c r="C2259" i="1"/>
  <c r="B2260" i="1"/>
  <c r="C2260" i="1"/>
  <c r="B2261" i="1"/>
  <c r="C2261" i="1"/>
  <c r="B2262" i="1"/>
  <c r="C2262" i="1"/>
  <c r="B2263" i="1"/>
  <c r="C2263" i="1"/>
  <c r="B2264" i="1"/>
  <c r="C2264" i="1"/>
  <c r="B2265" i="1"/>
  <c r="C2265" i="1"/>
  <c r="B2266" i="1"/>
  <c r="C2266" i="1"/>
  <c r="B2267" i="1"/>
  <c r="C2267" i="1"/>
  <c r="B2268" i="1"/>
  <c r="C2268" i="1"/>
  <c r="B2269" i="1"/>
  <c r="C2269" i="1"/>
  <c r="B2270" i="1"/>
  <c r="C2270" i="1"/>
  <c r="B2271" i="1"/>
  <c r="C2271" i="1"/>
  <c r="B2272" i="1"/>
  <c r="C2272" i="1"/>
  <c r="B2273" i="1"/>
  <c r="C2273" i="1"/>
  <c r="B2274" i="1"/>
  <c r="C2274" i="1"/>
  <c r="B2275" i="1"/>
  <c r="C2275" i="1"/>
  <c r="B2276" i="1"/>
  <c r="C2276" i="1"/>
  <c r="B2277" i="1"/>
  <c r="C2277" i="1"/>
  <c r="B2278" i="1"/>
  <c r="C2278" i="1"/>
  <c r="B2279" i="1"/>
  <c r="C2279" i="1"/>
  <c r="B2280" i="1"/>
  <c r="C2280" i="1"/>
  <c r="B2281" i="1"/>
  <c r="C2281" i="1"/>
  <c r="B2282" i="1"/>
  <c r="C2282" i="1"/>
  <c r="B2283" i="1"/>
  <c r="C2283" i="1"/>
  <c r="B2284" i="1"/>
  <c r="C2284" i="1"/>
  <c r="B2285" i="1"/>
  <c r="C2285" i="1"/>
  <c r="B2286" i="1"/>
  <c r="C2286" i="1"/>
  <c r="B2287" i="1"/>
  <c r="C2287" i="1"/>
  <c r="B2288" i="1"/>
  <c r="C2288" i="1"/>
  <c r="B2289" i="1"/>
  <c r="C2289" i="1"/>
  <c r="B2290" i="1"/>
  <c r="C2290" i="1"/>
  <c r="B2291" i="1"/>
  <c r="C2291" i="1"/>
  <c r="B2292" i="1"/>
  <c r="C2292" i="1"/>
  <c r="B2293" i="1"/>
  <c r="C2293" i="1"/>
  <c r="B2294" i="1"/>
  <c r="C2294" i="1"/>
  <c r="B2295" i="1"/>
  <c r="C2295" i="1"/>
  <c r="B2296" i="1"/>
  <c r="C2296" i="1"/>
  <c r="B2297" i="1"/>
  <c r="C2297" i="1"/>
  <c r="B2298" i="1"/>
  <c r="C2298" i="1"/>
  <c r="B2299" i="1"/>
  <c r="C2299" i="1"/>
  <c r="B2300" i="1"/>
  <c r="C2300" i="1"/>
  <c r="B2301" i="1"/>
  <c r="C2301" i="1"/>
  <c r="B2302" i="1"/>
  <c r="C2302" i="1"/>
  <c r="B2303" i="1"/>
  <c r="C2303" i="1"/>
  <c r="B2304" i="1"/>
  <c r="C2304" i="1"/>
  <c r="B2305" i="1"/>
  <c r="C2305" i="1"/>
  <c r="B2306" i="1"/>
  <c r="C2306" i="1"/>
  <c r="B2307" i="1"/>
  <c r="C2307" i="1"/>
  <c r="B2308" i="1"/>
  <c r="C2308" i="1"/>
  <c r="B2309" i="1"/>
  <c r="C2309" i="1"/>
  <c r="B2310" i="1"/>
  <c r="C2310" i="1"/>
  <c r="B2311" i="1"/>
  <c r="C2311" i="1"/>
  <c r="B2312" i="1"/>
  <c r="C2312" i="1"/>
  <c r="B2313" i="1"/>
  <c r="C2313" i="1"/>
  <c r="B2314" i="1"/>
  <c r="C2314" i="1"/>
  <c r="B2315" i="1"/>
  <c r="C2315" i="1"/>
  <c r="B2316" i="1"/>
  <c r="C2316" i="1"/>
  <c r="B2317" i="1"/>
  <c r="C2317" i="1"/>
  <c r="B2318" i="1"/>
  <c r="C2318" i="1"/>
  <c r="B2319" i="1"/>
  <c r="C2319" i="1"/>
  <c r="B2320" i="1"/>
  <c r="C2320" i="1"/>
  <c r="B2321" i="1"/>
  <c r="C2321" i="1"/>
  <c r="B2322" i="1"/>
  <c r="C2322" i="1"/>
  <c r="B2323" i="1"/>
  <c r="C2323" i="1"/>
  <c r="B2324" i="1"/>
  <c r="C2324" i="1"/>
  <c r="B2325" i="1"/>
  <c r="C2325" i="1"/>
  <c r="B2326" i="1"/>
  <c r="C2326" i="1"/>
  <c r="B2327" i="1"/>
  <c r="C2327" i="1"/>
  <c r="B2328" i="1"/>
  <c r="C2328" i="1"/>
  <c r="B2329" i="1"/>
  <c r="C2329" i="1"/>
  <c r="B2330" i="1"/>
  <c r="C2330" i="1"/>
  <c r="B2331" i="1"/>
  <c r="C2331" i="1"/>
  <c r="B2332" i="1"/>
  <c r="C2332" i="1"/>
  <c r="B2333" i="1"/>
  <c r="C2333" i="1"/>
  <c r="B2334" i="1"/>
  <c r="C2334" i="1"/>
  <c r="B2335" i="1"/>
  <c r="C2335" i="1"/>
  <c r="B2336" i="1"/>
  <c r="C2336" i="1"/>
  <c r="B2337" i="1"/>
  <c r="C2337" i="1"/>
  <c r="B2338" i="1"/>
  <c r="C2338" i="1"/>
  <c r="B2339" i="1"/>
  <c r="C2339" i="1"/>
  <c r="B2340" i="1"/>
  <c r="C2340" i="1"/>
  <c r="B2341" i="1"/>
  <c r="C2341" i="1"/>
  <c r="B2342" i="1"/>
  <c r="C2342" i="1"/>
  <c r="B2343" i="1"/>
  <c r="C2343" i="1"/>
  <c r="B2344" i="1"/>
  <c r="C2344" i="1"/>
  <c r="B2345" i="1"/>
  <c r="C2345" i="1"/>
  <c r="B2346" i="1"/>
  <c r="C2346" i="1"/>
  <c r="B2347" i="1"/>
  <c r="C2347" i="1"/>
  <c r="B2348" i="1"/>
  <c r="C2348" i="1"/>
  <c r="B2349" i="1"/>
  <c r="C2349" i="1"/>
  <c r="B2350" i="1"/>
  <c r="C2350" i="1"/>
  <c r="B2351" i="1"/>
  <c r="C2351" i="1"/>
  <c r="C2191" i="1"/>
  <c r="B2191" i="1"/>
  <c r="C2190" i="1"/>
  <c r="B2190" i="1"/>
  <c r="C2189" i="1"/>
  <c r="B2189" i="1"/>
  <c r="C2188" i="1"/>
  <c r="B2188" i="1"/>
  <c r="C2187" i="1"/>
  <c r="B2187" i="1"/>
  <c r="C2186" i="1"/>
  <c r="B2186" i="1"/>
  <c r="C2185" i="1"/>
  <c r="B2185" i="1"/>
  <c r="C2184" i="1"/>
  <c r="B2184" i="1"/>
  <c r="C2183" i="1"/>
  <c r="B2183" i="1"/>
  <c r="C2182" i="1"/>
  <c r="B2182" i="1"/>
  <c r="C2181" i="1"/>
  <c r="B2181" i="1"/>
  <c r="C2180" i="1"/>
  <c r="B2180" i="1"/>
  <c r="C2179" i="1"/>
  <c r="B2179" i="1"/>
  <c r="C2178" i="1"/>
  <c r="B2178" i="1"/>
  <c r="C2177" i="1"/>
  <c r="B2177" i="1"/>
  <c r="C2176" i="1"/>
  <c r="B2176" i="1"/>
  <c r="C2175" i="1"/>
  <c r="B2175" i="1"/>
  <c r="C2174" i="1"/>
  <c r="B2174" i="1"/>
  <c r="C2173" i="1"/>
  <c r="B2173" i="1"/>
  <c r="C2172" i="1"/>
  <c r="B2172" i="1"/>
  <c r="C2171" i="1"/>
  <c r="B2171" i="1"/>
  <c r="C2170" i="1"/>
  <c r="B2170" i="1"/>
  <c r="C2169" i="1"/>
  <c r="B2169" i="1"/>
  <c r="C2168" i="1"/>
  <c r="B2168" i="1"/>
  <c r="C2167" i="1"/>
  <c r="B2167" i="1"/>
  <c r="C2166" i="1"/>
  <c r="B2166" i="1"/>
  <c r="C2165" i="1"/>
  <c r="B2165" i="1"/>
  <c r="C2164" i="1"/>
  <c r="B2164" i="1"/>
  <c r="C2163" i="1"/>
  <c r="B2163" i="1"/>
  <c r="C2162" i="1"/>
  <c r="B2162" i="1"/>
  <c r="C2161" i="1"/>
  <c r="B2161" i="1"/>
  <c r="C2160" i="1"/>
  <c r="B2160" i="1"/>
  <c r="C2159" i="1"/>
  <c r="B2159" i="1"/>
  <c r="C2158" i="1"/>
  <c r="B2158" i="1"/>
  <c r="C2157" i="1"/>
  <c r="B2157" i="1"/>
  <c r="C2156" i="1"/>
  <c r="B2156" i="1"/>
  <c r="C2155" i="1"/>
  <c r="B2155" i="1"/>
  <c r="C2154" i="1"/>
  <c r="B2154" i="1"/>
  <c r="C2153" i="1"/>
  <c r="B2153" i="1"/>
  <c r="C2152" i="1"/>
  <c r="B2152" i="1"/>
  <c r="C2151" i="1"/>
  <c r="B2151" i="1"/>
  <c r="C2150" i="1"/>
  <c r="B2150" i="1"/>
  <c r="C2149" i="1"/>
  <c r="B2149" i="1"/>
  <c r="C2148" i="1"/>
  <c r="B2148" i="1"/>
  <c r="C2147" i="1"/>
  <c r="B2147" i="1"/>
  <c r="C2146" i="1"/>
  <c r="B2146" i="1"/>
  <c r="C2145" i="1"/>
  <c r="B2145" i="1"/>
  <c r="C2144" i="1"/>
  <c r="B2144" i="1"/>
  <c r="C2143" i="1"/>
  <c r="B2143" i="1"/>
  <c r="C2142" i="1"/>
  <c r="B2142" i="1"/>
  <c r="C2141" i="1"/>
  <c r="B2141" i="1"/>
  <c r="C2140" i="1"/>
  <c r="B2140" i="1"/>
  <c r="C2139" i="1"/>
  <c r="B2139" i="1"/>
  <c r="C2138" i="1"/>
  <c r="B2138" i="1"/>
  <c r="C2137" i="1"/>
  <c r="B2137" i="1"/>
  <c r="C2136" i="1"/>
  <c r="B2136" i="1"/>
  <c r="C2135" i="1"/>
  <c r="B2135" i="1"/>
  <c r="C2134" i="1"/>
  <c r="B2134" i="1"/>
  <c r="C2133" i="1"/>
  <c r="B2133" i="1"/>
  <c r="C2132" i="1"/>
  <c r="B2132" i="1"/>
  <c r="C2131" i="1"/>
  <c r="B2131" i="1"/>
  <c r="C2130" i="1"/>
  <c r="B2130" i="1"/>
  <c r="C2129" i="1"/>
  <c r="B2129" i="1"/>
  <c r="C2128" i="1"/>
  <c r="B2128" i="1"/>
  <c r="C2127" i="1"/>
  <c r="B2127" i="1"/>
  <c r="C2126" i="1"/>
  <c r="B2126" i="1"/>
  <c r="C2125" i="1"/>
  <c r="B2125" i="1"/>
  <c r="C2124" i="1"/>
  <c r="B2124" i="1"/>
  <c r="C2123" i="1"/>
  <c r="B2123" i="1"/>
  <c r="C2122" i="1"/>
  <c r="B2122" i="1"/>
  <c r="C2121" i="1"/>
  <c r="B2121" i="1"/>
  <c r="C2120" i="1"/>
  <c r="B2120" i="1"/>
  <c r="C2119" i="1"/>
  <c r="B2119" i="1"/>
  <c r="C2118" i="1"/>
  <c r="B2118" i="1"/>
  <c r="C2117" i="1"/>
  <c r="B2117" i="1"/>
  <c r="C2116" i="1"/>
  <c r="B2116" i="1"/>
  <c r="C2115" i="1"/>
  <c r="B2115" i="1"/>
  <c r="C2114" i="1"/>
  <c r="B2114" i="1"/>
  <c r="C2113" i="1"/>
  <c r="B2113" i="1"/>
  <c r="C2112" i="1"/>
  <c r="B2112" i="1"/>
  <c r="C2111" i="1"/>
  <c r="B2111" i="1"/>
  <c r="C2110" i="1"/>
  <c r="B2110" i="1"/>
  <c r="C2109" i="1"/>
  <c r="B2109" i="1"/>
  <c r="C2108" i="1"/>
  <c r="B2108" i="1"/>
  <c r="C2107" i="1"/>
  <c r="B2107" i="1"/>
  <c r="C2106" i="1"/>
  <c r="B2106" i="1"/>
  <c r="C2105" i="1"/>
  <c r="B2105" i="1"/>
  <c r="C2104" i="1"/>
  <c r="B2104" i="1"/>
  <c r="C2103" i="1"/>
  <c r="B2103" i="1"/>
  <c r="C2102" i="1"/>
  <c r="B2102" i="1"/>
  <c r="C2101" i="1"/>
  <c r="B2101" i="1"/>
  <c r="C2100" i="1"/>
  <c r="B2100" i="1"/>
  <c r="C2099" i="1"/>
  <c r="B2099" i="1"/>
  <c r="C2098" i="1"/>
  <c r="B2098" i="1"/>
  <c r="C2097" i="1"/>
  <c r="B2097" i="1"/>
  <c r="C2096" i="1"/>
  <c r="B2096" i="1"/>
  <c r="C2095" i="1"/>
  <c r="B2095" i="1"/>
  <c r="C2094" i="1"/>
  <c r="B2094" i="1"/>
  <c r="C2093" i="1"/>
  <c r="B2093" i="1"/>
  <c r="C2092" i="1"/>
  <c r="B2092" i="1"/>
  <c r="C2091" i="1"/>
  <c r="B2091" i="1"/>
  <c r="C2090" i="1"/>
  <c r="B2090" i="1"/>
  <c r="C2089" i="1"/>
  <c r="B2089" i="1"/>
  <c r="C2088" i="1"/>
  <c r="B2088" i="1"/>
  <c r="C2087" i="1"/>
  <c r="B2087" i="1"/>
  <c r="C2086" i="1"/>
  <c r="B2086" i="1"/>
  <c r="C2085" i="1"/>
  <c r="B2085" i="1"/>
  <c r="C2084" i="1"/>
  <c r="B2084" i="1"/>
  <c r="C2083" i="1"/>
  <c r="B2083" i="1"/>
  <c r="C2082" i="1"/>
  <c r="B2082" i="1"/>
  <c r="C2081" i="1"/>
  <c r="B2081" i="1"/>
  <c r="C2080" i="1"/>
  <c r="B2080" i="1"/>
  <c r="C2079" i="1"/>
  <c r="B2079" i="1"/>
  <c r="C2078" i="1"/>
  <c r="B2078" i="1"/>
  <c r="C2077" i="1"/>
  <c r="B2077" i="1"/>
  <c r="C2076" i="1"/>
  <c r="B2076" i="1"/>
  <c r="C2075" i="1"/>
  <c r="B2075" i="1"/>
  <c r="C2074" i="1"/>
  <c r="B2074" i="1"/>
  <c r="C2073" i="1"/>
  <c r="B2073" i="1"/>
  <c r="C2072" i="1"/>
  <c r="B2072" i="1"/>
  <c r="C2071" i="1"/>
  <c r="B2071" i="1"/>
  <c r="C2070" i="1"/>
  <c r="B2070" i="1"/>
  <c r="C2069" i="1"/>
  <c r="B2069" i="1"/>
  <c r="C2068" i="1"/>
  <c r="B2068" i="1"/>
  <c r="C2067" i="1"/>
  <c r="B2067" i="1"/>
  <c r="C2066" i="1"/>
  <c r="B2066" i="1"/>
  <c r="C2065" i="1"/>
  <c r="B2065" i="1"/>
  <c r="C2064" i="1"/>
  <c r="B2064" i="1"/>
  <c r="C2063" i="1"/>
  <c r="B2063" i="1"/>
  <c r="C2062" i="1"/>
  <c r="B2062" i="1"/>
  <c r="C2061" i="1"/>
  <c r="B2061" i="1"/>
  <c r="C2060" i="1"/>
  <c r="B2060" i="1"/>
  <c r="C2059" i="1"/>
  <c r="B2059" i="1"/>
  <c r="C2058" i="1"/>
  <c r="B2058" i="1"/>
  <c r="C2057" i="1"/>
  <c r="B2057" i="1"/>
  <c r="C2056" i="1"/>
  <c r="B2056" i="1"/>
  <c r="C2055" i="1"/>
  <c r="B2055" i="1"/>
  <c r="C2054" i="1"/>
  <c r="B2054" i="1"/>
  <c r="C2053" i="1"/>
  <c r="B2053" i="1"/>
  <c r="C2052" i="1"/>
  <c r="B2052" i="1"/>
  <c r="C2051" i="1"/>
  <c r="B2051" i="1"/>
  <c r="C2050" i="1"/>
  <c r="B2050" i="1"/>
  <c r="C2049" i="1"/>
  <c r="B2049" i="1"/>
  <c r="C2048" i="1"/>
  <c r="B2048" i="1"/>
  <c r="C2047" i="1"/>
  <c r="B2047" i="1"/>
  <c r="C2046" i="1"/>
  <c r="B2046" i="1"/>
  <c r="C2045" i="1"/>
  <c r="B2045" i="1"/>
  <c r="C2044" i="1"/>
  <c r="B2044" i="1"/>
  <c r="C2043" i="1"/>
  <c r="B2043" i="1"/>
  <c r="C2042" i="1"/>
  <c r="B2042" i="1"/>
  <c r="C2041" i="1"/>
  <c r="B2041" i="1"/>
  <c r="C2040" i="1"/>
  <c r="B2040" i="1"/>
  <c r="C2039" i="1"/>
  <c r="B2039" i="1"/>
  <c r="C2038" i="1"/>
  <c r="B2038" i="1"/>
  <c r="C2037" i="1"/>
  <c r="B2037" i="1"/>
  <c r="C2036" i="1"/>
  <c r="B2036" i="1"/>
  <c r="C2035" i="1"/>
  <c r="B2035" i="1"/>
  <c r="C2034" i="1"/>
  <c r="B2034" i="1"/>
  <c r="C2033" i="1"/>
  <c r="B2033" i="1"/>
  <c r="C2032" i="1"/>
  <c r="B2032" i="1"/>
  <c r="C2031" i="1"/>
  <c r="B2031" i="1"/>
  <c r="C2030" i="1"/>
  <c r="B2030" i="1"/>
  <c r="C2029" i="1"/>
  <c r="B2029" i="1"/>
  <c r="C2028" i="1"/>
  <c r="B2028" i="1"/>
  <c r="C2027" i="1"/>
  <c r="B2027" i="1"/>
  <c r="C2026" i="1"/>
  <c r="B2026" i="1"/>
  <c r="C2025" i="1"/>
  <c r="B2025" i="1"/>
  <c r="C2024" i="1"/>
  <c r="B2024" i="1"/>
  <c r="C2023" i="1"/>
  <c r="B2023" i="1"/>
  <c r="C2022" i="1"/>
  <c r="B2022" i="1"/>
  <c r="C2021" i="1"/>
  <c r="B2021" i="1"/>
  <c r="C2020" i="1"/>
  <c r="B2020" i="1"/>
  <c r="C2019" i="1"/>
  <c r="B2019" i="1"/>
  <c r="C2018" i="1"/>
  <c r="B2018" i="1"/>
  <c r="C2017" i="1"/>
  <c r="B2017" i="1"/>
  <c r="C2016" i="1"/>
  <c r="B2016" i="1"/>
  <c r="C2015" i="1"/>
  <c r="B2015" i="1"/>
  <c r="C2014" i="1"/>
  <c r="B2014" i="1"/>
  <c r="C2013" i="1"/>
  <c r="B2013" i="1"/>
  <c r="C2012" i="1"/>
  <c r="B2012" i="1"/>
  <c r="C2011" i="1"/>
  <c r="B2011" i="1"/>
  <c r="C2010" i="1"/>
  <c r="B2010" i="1"/>
  <c r="C2009" i="1"/>
  <c r="B2009" i="1"/>
  <c r="C2008" i="1"/>
  <c r="B2008" i="1"/>
  <c r="C2007" i="1"/>
  <c r="B2007" i="1"/>
  <c r="C2006" i="1"/>
  <c r="B2006" i="1"/>
  <c r="C2005" i="1"/>
  <c r="B2005" i="1"/>
  <c r="C2004" i="1"/>
  <c r="B2004" i="1"/>
  <c r="C2003" i="1"/>
  <c r="B2003" i="1"/>
  <c r="C2002" i="1"/>
  <c r="B2002" i="1"/>
  <c r="C2001" i="1"/>
  <c r="B2001" i="1"/>
  <c r="C2000" i="1"/>
  <c r="B2000" i="1"/>
  <c r="C1999" i="1"/>
  <c r="B1999" i="1"/>
  <c r="C1998" i="1"/>
  <c r="B1998" i="1"/>
  <c r="C1997" i="1"/>
  <c r="B1997" i="1"/>
  <c r="C1996" i="1"/>
  <c r="B1996" i="1"/>
  <c r="C1995" i="1"/>
  <c r="B1995" i="1"/>
  <c r="C1994" i="1"/>
  <c r="B1994" i="1"/>
  <c r="C1993" i="1"/>
  <c r="B1993" i="1"/>
  <c r="C1992" i="1"/>
  <c r="B1992" i="1"/>
  <c r="C1991" i="1"/>
  <c r="B1991" i="1"/>
  <c r="C1990" i="1"/>
  <c r="B1990" i="1"/>
  <c r="C1989" i="1"/>
  <c r="B1989" i="1"/>
  <c r="C1988" i="1"/>
  <c r="B1988" i="1"/>
  <c r="C1987" i="1"/>
  <c r="B1987" i="1"/>
  <c r="C1986" i="1"/>
  <c r="B1986" i="1"/>
  <c r="C1985" i="1"/>
  <c r="B1985" i="1"/>
  <c r="C1984" i="1"/>
  <c r="B1984" i="1"/>
  <c r="C1983" i="1"/>
  <c r="B1983" i="1"/>
  <c r="C1982" i="1"/>
  <c r="B1982" i="1"/>
  <c r="C1981" i="1"/>
  <c r="B1981" i="1"/>
  <c r="C1980" i="1"/>
  <c r="B1980" i="1"/>
  <c r="C1979" i="1"/>
  <c r="B1979" i="1"/>
  <c r="C1978" i="1"/>
  <c r="B1978" i="1"/>
  <c r="C1977" i="1"/>
  <c r="B1977" i="1"/>
  <c r="C1976" i="1"/>
  <c r="B1976" i="1"/>
  <c r="C1975" i="1"/>
  <c r="B1975" i="1"/>
  <c r="C1974" i="1"/>
  <c r="B1974" i="1"/>
  <c r="C1973" i="1"/>
  <c r="B1973" i="1"/>
  <c r="C1972" i="1"/>
  <c r="B1972" i="1"/>
  <c r="C1971" i="1"/>
  <c r="B1971" i="1"/>
  <c r="C1970" i="1"/>
  <c r="B1970" i="1"/>
  <c r="C1969" i="1"/>
  <c r="B1969" i="1"/>
  <c r="C1968" i="1"/>
  <c r="B1968" i="1"/>
  <c r="C1967" i="1"/>
  <c r="B1967" i="1"/>
  <c r="C1966" i="1"/>
  <c r="B1966" i="1"/>
  <c r="C1965" i="1"/>
  <c r="B1965" i="1"/>
  <c r="C1964" i="1"/>
  <c r="B1964" i="1"/>
  <c r="C1963" i="1"/>
  <c r="B1963" i="1"/>
  <c r="C1962" i="1"/>
  <c r="B1962" i="1"/>
  <c r="C1961" i="1"/>
  <c r="B1961" i="1"/>
  <c r="C1960" i="1"/>
  <c r="B1960" i="1"/>
  <c r="C1959" i="1"/>
  <c r="B1959" i="1"/>
  <c r="C1958" i="1"/>
  <c r="B1958" i="1"/>
  <c r="C1957" i="1"/>
  <c r="B1957" i="1"/>
  <c r="C1956" i="1"/>
  <c r="B1956" i="1"/>
  <c r="C1955" i="1"/>
  <c r="B1955" i="1"/>
  <c r="C1954" i="1"/>
  <c r="B1954" i="1"/>
  <c r="C1953" i="1"/>
  <c r="B1953" i="1"/>
  <c r="C1952" i="1"/>
  <c r="B1952" i="1"/>
  <c r="C1951" i="1"/>
  <c r="B1951" i="1"/>
  <c r="C1950" i="1"/>
  <c r="B1950" i="1"/>
  <c r="C1949" i="1"/>
  <c r="B1949" i="1"/>
  <c r="C1948" i="1"/>
  <c r="B1948" i="1"/>
  <c r="C1947" i="1"/>
  <c r="B1947" i="1"/>
  <c r="C1946" i="1"/>
  <c r="B1946" i="1"/>
  <c r="C1945" i="1"/>
  <c r="B1945" i="1"/>
  <c r="C1944" i="1"/>
  <c r="B1944" i="1"/>
  <c r="C1943" i="1"/>
  <c r="B1943" i="1"/>
  <c r="C1942" i="1"/>
  <c r="B1942" i="1"/>
  <c r="C1941" i="1"/>
  <c r="B1941" i="1"/>
  <c r="C1940" i="1"/>
  <c r="B1940" i="1"/>
  <c r="C1939" i="1"/>
  <c r="B1939" i="1"/>
  <c r="C1938" i="1"/>
  <c r="B1938" i="1"/>
  <c r="C1937" i="1"/>
  <c r="B1937" i="1"/>
  <c r="C1936" i="1"/>
  <c r="B1936" i="1"/>
  <c r="C1935" i="1"/>
  <c r="B1935" i="1"/>
  <c r="C1934" i="1"/>
  <c r="B1934" i="1"/>
  <c r="C1933" i="1"/>
  <c r="B1933" i="1"/>
  <c r="C1932" i="1"/>
  <c r="B1932" i="1"/>
  <c r="C1931" i="1"/>
  <c r="B1931" i="1"/>
  <c r="C1930" i="1"/>
  <c r="B1930" i="1"/>
  <c r="C1929" i="1"/>
  <c r="B1929" i="1"/>
  <c r="C1928" i="1"/>
  <c r="B1928" i="1"/>
  <c r="C1927" i="1"/>
  <c r="B1927" i="1"/>
  <c r="C1926" i="1"/>
  <c r="B1926" i="1"/>
  <c r="C1925" i="1"/>
  <c r="B1925" i="1"/>
  <c r="C1924" i="1"/>
  <c r="B1924" i="1"/>
  <c r="C1923" i="1"/>
  <c r="B1923" i="1"/>
  <c r="C1922" i="1"/>
  <c r="B1922" i="1"/>
  <c r="C1921" i="1"/>
  <c r="B1921" i="1"/>
  <c r="C1920" i="1"/>
  <c r="B1920" i="1"/>
  <c r="C1919" i="1"/>
  <c r="B1919" i="1"/>
  <c r="C1918" i="1"/>
  <c r="B1918" i="1"/>
  <c r="C1917" i="1"/>
  <c r="B1917" i="1"/>
  <c r="C1916" i="1"/>
  <c r="B1916" i="1"/>
  <c r="C1915" i="1"/>
  <c r="B1915" i="1"/>
  <c r="C1914" i="1"/>
  <c r="B1914" i="1"/>
  <c r="C1913" i="1"/>
  <c r="B1913" i="1"/>
  <c r="C1912" i="1"/>
  <c r="B1912" i="1"/>
  <c r="C1911" i="1"/>
  <c r="B1911" i="1"/>
  <c r="C1910" i="1"/>
  <c r="B1910" i="1"/>
  <c r="C1909" i="1"/>
  <c r="B1909" i="1"/>
  <c r="C1908" i="1"/>
  <c r="B1908" i="1"/>
  <c r="C1907" i="1"/>
  <c r="B1907" i="1"/>
  <c r="C1906" i="1"/>
  <c r="B1906" i="1"/>
  <c r="C1905" i="1"/>
  <c r="B1905" i="1"/>
  <c r="C1904" i="1"/>
  <c r="B1904" i="1"/>
  <c r="C1903" i="1"/>
  <c r="B1903" i="1"/>
  <c r="C1902" i="1"/>
  <c r="B1902" i="1"/>
  <c r="C1901" i="1"/>
  <c r="B1901" i="1"/>
  <c r="C1900" i="1"/>
  <c r="B1900" i="1"/>
  <c r="C1899" i="1"/>
  <c r="B1899" i="1"/>
  <c r="C1898" i="1"/>
  <c r="B1898" i="1"/>
  <c r="C1897" i="1"/>
  <c r="B1897" i="1"/>
  <c r="C1896" i="1"/>
  <c r="B1896" i="1"/>
  <c r="C1895" i="1"/>
  <c r="B1895" i="1"/>
  <c r="C1894" i="1"/>
  <c r="B1894" i="1"/>
  <c r="C1893" i="1"/>
  <c r="B1893" i="1"/>
  <c r="C1892" i="1"/>
  <c r="B1892" i="1"/>
  <c r="C1891" i="1"/>
  <c r="B1891" i="1"/>
  <c r="C1890" i="1"/>
  <c r="B1890" i="1"/>
  <c r="C1889" i="1"/>
  <c r="B1889" i="1"/>
  <c r="C1888" i="1"/>
  <c r="B1888" i="1"/>
  <c r="C1887" i="1"/>
  <c r="B1887" i="1"/>
  <c r="C1886" i="1"/>
  <c r="B1886" i="1"/>
  <c r="C1885" i="1"/>
  <c r="B1885" i="1"/>
  <c r="C1884" i="1"/>
  <c r="B1884" i="1"/>
  <c r="C1883" i="1"/>
  <c r="B1883" i="1"/>
  <c r="C1882" i="1"/>
  <c r="B1882" i="1"/>
  <c r="C1881" i="1"/>
  <c r="B1881" i="1"/>
  <c r="C1880" i="1"/>
  <c r="B1880" i="1"/>
  <c r="C1879" i="1"/>
  <c r="B1879" i="1"/>
  <c r="C1878" i="1"/>
  <c r="B1878" i="1"/>
  <c r="C1877" i="1"/>
  <c r="B1877" i="1"/>
  <c r="C1876" i="1"/>
  <c r="B1876" i="1"/>
  <c r="C1875" i="1"/>
  <c r="B1875" i="1"/>
  <c r="C1874" i="1"/>
  <c r="B1874" i="1"/>
  <c r="C1873" i="1"/>
  <c r="B1873" i="1"/>
  <c r="C1872" i="1"/>
  <c r="B1872" i="1"/>
  <c r="C1871" i="1"/>
  <c r="B1871" i="1"/>
  <c r="C1870" i="1"/>
  <c r="B1870" i="1"/>
  <c r="C1869" i="1"/>
  <c r="B1869" i="1"/>
  <c r="C1868" i="1"/>
  <c r="B1868" i="1"/>
  <c r="C1867" i="1"/>
  <c r="B1867" i="1"/>
  <c r="C1866" i="1"/>
  <c r="B1866" i="1"/>
  <c r="C1865" i="1"/>
  <c r="B1865" i="1"/>
  <c r="C1864" i="1"/>
  <c r="B1864" i="1"/>
  <c r="C1863" i="1"/>
  <c r="B1863" i="1"/>
  <c r="C1862" i="1"/>
  <c r="B1862" i="1"/>
  <c r="C1861" i="1"/>
  <c r="B1861" i="1"/>
  <c r="C1860" i="1"/>
  <c r="B1860" i="1"/>
  <c r="C1859" i="1"/>
  <c r="B1859" i="1"/>
  <c r="C1858" i="1"/>
  <c r="B1858" i="1"/>
  <c r="C1857" i="1"/>
  <c r="B1857" i="1"/>
  <c r="C1856" i="1"/>
  <c r="B1856" i="1"/>
  <c r="C1855" i="1"/>
  <c r="B1855" i="1"/>
  <c r="C1854" i="1"/>
  <c r="B1854" i="1"/>
  <c r="C1853" i="1"/>
  <c r="B1853" i="1"/>
  <c r="C1852" i="1"/>
  <c r="B1852" i="1"/>
  <c r="C1851" i="1"/>
  <c r="B1851" i="1"/>
  <c r="C1850" i="1"/>
  <c r="B1850" i="1"/>
  <c r="C1849" i="1"/>
  <c r="B1849" i="1"/>
  <c r="C1848" i="1"/>
  <c r="B1848" i="1"/>
  <c r="C1847" i="1"/>
  <c r="B1847" i="1"/>
  <c r="C1846" i="1"/>
  <c r="B1846" i="1"/>
  <c r="C1845" i="1"/>
  <c r="B1845" i="1"/>
  <c r="C1844" i="1"/>
  <c r="B1844" i="1"/>
  <c r="C1843" i="1"/>
  <c r="B1843" i="1"/>
  <c r="C1842" i="1"/>
  <c r="B1842" i="1"/>
  <c r="C1841" i="1"/>
  <c r="B1841" i="1"/>
  <c r="C1840" i="1"/>
  <c r="B1840" i="1"/>
  <c r="C1839" i="1"/>
  <c r="B1839" i="1"/>
  <c r="C1838" i="1"/>
  <c r="B1838" i="1"/>
  <c r="C1837" i="1"/>
  <c r="B1837" i="1"/>
  <c r="C1836" i="1"/>
  <c r="B1836" i="1"/>
  <c r="C1835" i="1"/>
  <c r="B1835" i="1"/>
  <c r="C1834" i="1"/>
  <c r="B1834" i="1"/>
  <c r="C1833" i="1"/>
  <c r="B1833" i="1"/>
  <c r="C1832" i="1"/>
  <c r="B1832" i="1"/>
  <c r="C1831" i="1"/>
  <c r="B1831" i="1"/>
  <c r="C1830" i="1"/>
  <c r="B1830" i="1"/>
  <c r="C1829" i="1"/>
  <c r="B1829" i="1"/>
  <c r="C1828" i="1"/>
  <c r="B1828" i="1"/>
  <c r="C1827" i="1"/>
  <c r="B1827" i="1"/>
  <c r="C1826" i="1"/>
  <c r="B1826" i="1"/>
  <c r="C1825" i="1"/>
  <c r="B1825" i="1"/>
  <c r="C1824" i="1"/>
  <c r="B1824" i="1"/>
  <c r="C1823" i="1"/>
  <c r="B1823" i="1"/>
  <c r="C1822" i="1"/>
  <c r="B1822" i="1"/>
  <c r="C1821" i="1"/>
  <c r="B1821" i="1"/>
  <c r="C1820" i="1"/>
  <c r="B1820" i="1"/>
  <c r="C1819" i="1"/>
  <c r="B1819" i="1"/>
  <c r="C1818" i="1"/>
  <c r="B1818" i="1"/>
  <c r="C1817" i="1"/>
  <c r="B1817" i="1"/>
  <c r="C1816" i="1"/>
  <c r="B1816" i="1"/>
  <c r="C1815" i="1"/>
  <c r="B1815" i="1"/>
  <c r="C1814" i="1"/>
  <c r="B1814" i="1"/>
  <c r="C1813" i="1"/>
  <c r="B1813" i="1"/>
  <c r="C1812" i="1"/>
  <c r="B1812" i="1"/>
  <c r="C1811" i="1"/>
  <c r="B1811" i="1"/>
  <c r="C1810" i="1"/>
  <c r="B1810" i="1"/>
  <c r="C1809" i="1"/>
  <c r="B1809" i="1"/>
  <c r="C1808" i="1"/>
  <c r="B1808" i="1"/>
  <c r="C1807" i="1"/>
  <c r="B1807" i="1"/>
  <c r="C1806" i="1"/>
  <c r="B1806" i="1"/>
  <c r="C1805" i="1"/>
  <c r="B1805" i="1"/>
  <c r="C1804" i="1"/>
  <c r="B1804" i="1"/>
  <c r="C1803" i="1"/>
  <c r="B1803" i="1"/>
  <c r="C1802" i="1"/>
  <c r="B1802" i="1"/>
  <c r="C1801" i="1"/>
  <c r="B1801" i="1"/>
  <c r="C1800" i="1"/>
  <c r="B1800" i="1"/>
  <c r="C1799" i="1"/>
  <c r="B1799" i="1"/>
  <c r="C1798" i="1"/>
  <c r="B1798" i="1"/>
  <c r="C1797" i="1"/>
  <c r="B1797" i="1"/>
  <c r="C1796" i="1"/>
  <c r="B1796" i="1"/>
  <c r="C1795" i="1"/>
  <c r="B1795" i="1"/>
  <c r="C1794" i="1"/>
  <c r="B1794" i="1"/>
  <c r="C1793" i="1"/>
  <c r="B1793" i="1"/>
  <c r="C1792" i="1"/>
  <c r="B1792" i="1"/>
  <c r="C1791" i="1"/>
  <c r="B1791" i="1"/>
  <c r="C1790" i="1"/>
  <c r="B1790" i="1"/>
  <c r="C1789" i="1"/>
  <c r="B1789" i="1"/>
  <c r="C1788" i="1"/>
  <c r="B1788" i="1"/>
  <c r="C1787" i="1"/>
  <c r="B1787" i="1"/>
  <c r="C1786" i="1"/>
  <c r="B1786" i="1"/>
  <c r="C1785" i="1"/>
  <c r="B1785" i="1"/>
  <c r="C1784" i="1"/>
  <c r="B1784" i="1"/>
  <c r="C1783" i="1"/>
  <c r="B1783" i="1"/>
  <c r="C1782" i="1"/>
  <c r="B1782" i="1"/>
  <c r="C1781" i="1"/>
  <c r="B1781" i="1"/>
  <c r="C1780" i="1"/>
  <c r="B1780" i="1"/>
  <c r="C1779" i="1"/>
  <c r="B1779" i="1"/>
  <c r="C1778" i="1"/>
  <c r="B1778" i="1"/>
  <c r="C1777" i="1"/>
  <c r="B1777" i="1"/>
  <c r="C1776" i="1"/>
  <c r="B1776" i="1"/>
  <c r="C1775" i="1"/>
  <c r="B1775" i="1"/>
  <c r="C1774" i="1"/>
  <c r="B1774" i="1"/>
  <c r="C1773" i="1"/>
  <c r="B1773" i="1"/>
  <c r="C1772" i="1"/>
  <c r="B1772" i="1"/>
  <c r="C1771" i="1"/>
  <c r="B1771" i="1"/>
  <c r="C1770" i="1"/>
  <c r="B1770" i="1"/>
  <c r="C1769" i="1"/>
  <c r="B1769" i="1"/>
  <c r="C1768" i="1"/>
  <c r="B1768" i="1"/>
  <c r="C1767" i="1"/>
  <c r="B1767" i="1"/>
  <c r="C1766" i="1"/>
  <c r="B1766" i="1"/>
  <c r="C1765" i="1"/>
  <c r="B1765" i="1"/>
  <c r="C1764" i="1"/>
  <c r="B1764" i="1"/>
  <c r="C1763" i="1"/>
  <c r="B1763" i="1"/>
  <c r="C1762" i="1"/>
  <c r="B1762" i="1"/>
  <c r="C1761" i="1"/>
  <c r="B1761" i="1"/>
  <c r="C1760" i="1"/>
  <c r="B1760" i="1"/>
  <c r="C1759" i="1"/>
  <c r="B1759" i="1"/>
  <c r="C1758" i="1"/>
  <c r="B1758" i="1"/>
  <c r="C1757" i="1"/>
  <c r="B1757" i="1"/>
  <c r="C1756" i="1"/>
  <c r="B1756" i="1"/>
  <c r="C1755" i="1"/>
  <c r="B1755" i="1"/>
  <c r="C1754" i="1"/>
  <c r="B1754" i="1"/>
  <c r="C1753" i="1"/>
  <c r="B1753" i="1"/>
  <c r="C1752" i="1"/>
  <c r="B1752" i="1"/>
  <c r="C1751" i="1"/>
  <c r="B1751" i="1"/>
  <c r="C1750" i="1"/>
  <c r="B1750" i="1"/>
  <c r="C1749" i="1"/>
  <c r="B1749" i="1"/>
  <c r="C1748" i="1"/>
  <c r="B1748" i="1"/>
  <c r="C1747" i="1"/>
  <c r="B1747" i="1"/>
  <c r="C1746" i="1"/>
  <c r="B1746" i="1"/>
  <c r="C1745" i="1"/>
  <c r="B1745" i="1"/>
  <c r="C1744" i="1"/>
  <c r="B1744" i="1"/>
  <c r="C1743" i="1"/>
  <c r="B1743" i="1"/>
  <c r="C1742" i="1"/>
  <c r="B1742" i="1"/>
  <c r="C1741" i="1"/>
  <c r="B1741" i="1"/>
  <c r="C1740" i="1"/>
  <c r="B1740" i="1"/>
  <c r="C1739" i="1"/>
  <c r="B1739" i="1"/>
  <c r="C1738" i="1"/>
  <c r="B1738" i="1"/>
  <c r="C1737" i="1"/>
  <c r="B1737" i="1"/>
  <c r="C1736" i="1"/>
  <c r="B1736" i="1"/>
  <c r="C1735" i="1"/>
  <c r="B1735" i="1"/>
  <c r="C1734" i="1"/>
  <c r="B1734" i="1"/>
  <c r="C1733" i="1"/>
  <c r="B1733" i="1"/>
  <c r="C1732" i="1"/>
  <c r="B1732" i="1"/>
  <c r="C1731" i="1"/>
  <c r="B1731" i="1"/>
  <c r="C1730" i="1"/>
  <c r="B1730" i="1"/>
  <c r="C1729" i="1"/>
  <c r="B1729" i="1"/>
  <c r="C1728" i="1"/>
  <c r="B1728" i="1"/>
  <c r="C1727" i="1"/>
  <c r="B1727" i="1"/>
  <c r="C1726" i="1"/>
  <c r="B1726" i="1"/>
  <c r="C1725" i="1"/>
  <c r="B1725" i="1"/>
  <c r="C1724" i="1"/>
  <c r="B1724" i="1"/>
  <c r="C1723" i="1"/>
  <c r="B1723" i="1"/>
  <c r="C1722" i="1"/>
  <c r="B1722" i="1"/>
  <c r="C1721" i="1"/>
  <c r="B1721" i="1"/>
  <c r="C1720" i="1"/>
  <c r="B1720" i="1"/>
  <c r="C1719" i="1"/>
  <c r="B1719" i="1"/>
  <c r="C1718" i="1"/>
  <c r="B1718" i="1"/>
  <c r="C1717" i="1"/>
  <c r="B1717" i="1"/>
  <c r="C1716" i="1"/>
  <c r="B1716" i="1"/>
  <c r="C1715" i="1"/>
  <c r="B1715" i="1"/>
  <c r="C1714" i="1"/>
  <c r="B1714" i="1"/>
  <c r="C1713" i="1"/>
  <c r="B1713" i="1"/>
  <c r="C1712" i="1"/>
  <c r="B1712" i="1"/>
  <c r="C1711" i="1"/>
  <c r="B1711" i="1"/>
  <c r="C1710" i="1"/>
  <c r="B1710" i="1"/>
  <c r="C1709" i="1"/>
  <c r="B1709" i="1"/>
  <c r="C1708" i="1"/>
  <c r="B1708" i="1"/>
  <c r="C1707" i="1"/>
  <c r="B1707" i="1"/>
  <c r="C1706" i="1"/>
  <c r="B1706" i="1"/>
  <c r="C1705" i="1"/>
  <c r="B1705" i="1"/>
  <c r="C1704" i="1"/>
  <c r="B1704" i="1"/>
  <c r="C1703" i="1"/>
  <c r="B1703" i="1"/>
  <c r="C1702" i="1"/>
  <c r="B1702" i="1"/>
  <c r="C1701" i="1"/>
  <c r="B1701" i="1"/>
  <c r="C1700" i="1"/>
  <c r="B1700" i="1"/>
  <c r="C1699" i="1"/>
  <c r="B1699" i="1"/>
  <c r="C1698" i="1"/>
  <c r="B1698" i="1"/>
  <c r="C1697" i="1"/>
  <c r="B1697" i="1"/>
  <c r="C1696" i="1"/>
  <c r="B1696" i="1"/>
  <c r="C1695" i="1"/>
  <c r="B1695" i="1"/>
  <c r="C1694" i="1"/>
  <c r="B1694" i="1"/>
  <c r="C1693" i="1"/>
  <c r="B1693" i="1"/>
  <c r="C1692" i="1"/>
  <c r="B1692" i="1"/>
  <c r="C1691" i="1"/>
  <c r="B1691" i="1"/>
  <c r="C1690" i="1"/>
  <c r="B1690" i="1"/>
  <c r="C1689" i="1"/>
  <c r="B1689" i="1"/>
  <c r="C1688" i="1"/>
  <c r="B1688" i="1"/>
  <c r="C1687" i="1"/>
  <c r="B1687" i="1"/>
  <c r="C1686" i="1"/>
  <c r="B1686" i="1"/>
  <c r="C1685" i="1"/>
  <c r="B1685" i="1"/>
  <c r="C1684" i="1"/>
  <c r="B1684" i="1"/>
  <c r="C1683" i="1"/>
  <c r="B1683" i="1"/>
  <c r="C1682" i="1"/>
  <c r="B1682" i="1"/>
  <c r="C1681" i="1"/>
  <c r="B1681" i="1"/>
  <c r="C1680" i="1"/>
  <c r="B1680" i="1"/>
  <c r="C1679" i="1"/>
  <c r="B1679" i="1"/>
  <c r="C1678" i="1"/>
  <c r="B1678" i="1"/>
  <c r="C1677" i="1"/>
  <c r="B1677" i="1"/>
  <c r="C1676" i="1"/>
  <c r="B1676" i="1"/>
  <c r="C1675" i="1"/>
  <c r="B1675" i="1"/>
  <c r="C1674" i="1"/>
  <c r="B1674" i="1"/>
  <c r="C1673" i="1"/>
  <c r="B1673" i="1"/>
  <c r="C1672" i="1"/>
  <c r="B1672" i="1"/>
  <c r="C1671" i="1"/>
  <c r="B1671" i="1"/>
  <c r="C1670" i="1"/>
  <c r="B1670" i="1"/>
  <c r="C1669" i="1"/>
  <c r="B1669" i="1"/>
  <c r="C1668" i="1"/>
  <c r="B1668" i="1"/>
  <c r="C1667" i="1"/>
  <c r="B1667" i="1"/>
  <c r="C1666" i="1"/>
  <c r="B1666" i="1"/>
  <c r="C1665" i="1"/>
  <c r="B1665" i="1"/>
  <c r="C1664" i="1"/>
  <c r="B1664" i="1"/>
  <c r="C1663" i="1"/>
  <c r="B1663" i="1"/>
  <c r="C1662" i="1"/>
  <c r="B1662" i="1"/>
  <c r="C1661" i="1"/>
  <c r="B1661" i="1"/>
  <c r="C1660" i="1"/>
  <c r="B1660" i="1"/>
  <c r="C1659" i="1"/>
  <c r="B1659" i="1"/>
  <c r="C1658" i="1"/>
  <c r="B1658" i="1"/>
  <c r="C1657" i="1"/>
  <c r="B1657" i="1"/>
  <c r="C1656" i="1"/>
  <c r="B1656" i="1"/>
  <c r="C1655" i="1"/>
  <c r="B1655" i="1"/>
  <c r="C1654" i="1"/>
  <c r="B1654" i="1"/>
  <c r="C1653" i="1"/>
  <c r="B1653" i="1"/>
  <c r="C1652" i="1"/>
  <c r="B1652" i="1"/>
  <c r="C1651" i="1"/>
  <c r="B1651" i="1"/>
  <c r="C1650" i="1"/>
  <c r="B1650" i="1"/>
  <c r="C1649" i="1"/>
  <c r="B1649" i="1"/>
  <c r="C1648" i="1"/>
  <c r="B1648" i="1"/>
  <c r="C1647" i="1"/>
  <c r="B1647" i="1"/>
  <c r="C1646" i="1"/>
  <c r="B1646" i="1"/>
  <c r="C1645" i="1"/>
  <c r="B1645" i="1"/>
  <c r="C1644" i="1"/>
  <c r="B1644" i="1"/>
  <c r="C1643" i="1"/>
  <c r="B1643" i="1"/>
  <c r="C1642" i="1"/>
  <c r="B1642"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B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C1505" i="1"/>
  <c r="B1505" i="1"/>
  <c r="C1504" i="1"/>
  <c r="B1504" i="1"/>
  <c r="C1503" i="1"/>
  <c r="B1503" i="1"/>
  <c r="C1502" i="1"/>
  <c r="B1502" i="1"/>
  <c r="C1501" i="1"/>
  <c r="B1501" i="1"/>
  <c r="C1500" i="1"/>
  <c r="B1500" i="1"/>
  <c r="C1499" i="1"/>
  <c r="B1499" i="1"/>
  <c r="C1498" i="1"/>
  <c r="B1498" i="1"/>
  <c r="C1497" i="1"/>
  <c r="B1497" i="1"/>
  <c r="C1496" i="1"/>
  <c r="B1496" i="1"/>
  <c r="C1495" i="1"/>
  <c r="B1495" i="1"/>
  <c r="C1494" i="1"/>
  <c r="B1494" i="1"/>
  <c r="C1493" i="1"/>
  <c r="B1493" i="1"/>
  <c r="C1492" i="1"/>
  <c r="B1492" i="1"/>
  <c r="C1491" i="1"/>
  <c r="B1491" i="1"/>
  <c r="C1490" i="1"/>
  <c r="B1490" i="1"/>
  <c r="C1489" i="1"/>
  <c r="B1489" i="1"/>
  <c r="C1488" i="1"/>
  <c r="B1488" i="1"/>
  <c r="C1487" i="1"/>
  <c r="B1487" i="1"/>
  <c r="C1486" i="1"/>
  <c r="B1486" i="1"/>
  <c r="C1485" i="1"/>
  <c r="B1485" i="1"/>
  <c r="C1484" i="1"/>
  <c r="B1484" i="1"/>
  <c r="C1483" i="1"/>
  <c r="B1483" i="1"/>
  <c r="C1482" i="1"/>
  <c r="B1482" i="1"/>
  <c r="C1481" i="1"/>
  <c r="B1481" i="1"/>
  <c r="C1480" i="1"/>
  <c r="B1480" i="1"/>
  <c r="C1479" i="1"/>
  <c r="B1479" i="1"/>
  <c r="C1478" i="1"/>
  <c r="B1478" i="1"/>
  <c r="C1477" i="1"/>
  <c r="B1477" i="1"/>
  <c r="C1476" i="1"/>
  <c r="B1476" i="1"/>
  <c r="C1475" i="1"/>
  <c r="B1475" i="1"/>
  <c r="C1474" i="1"/>
  <c r="B1474" i="1"/>
  <c r="C1473" i="1"/>
  <c r="B1473" i="1"/>
  <c r="C1472" i="1"/>
  <c r="B1472" i="1"/>
  <c r="C1471" i="1"/>
  <c r="B1471" i="1"/>
  <c r="C1470" i="1"/>
  <c r="B1470" i="1"/>
  <c r="C1469" i="1"/>
  <c r="B1469" i="1"/>
  <c r="C1468" i="1"/>
  <c r="B1468" i="1"/>
  <c r="C1467" i="1"/>
  <c r="B1467" i="1"/>
  <c r="C1466" i="1"/>
  <c r="B1466" i="1"/>
  <c r="C1465" i="1"/>
  <c r="B1465" i="1"/>
  <c r="C1464" i="1"/>
  <c r="B1464" i="1"/>
  <c r="C1463" i="1"/>
  <c r="B1463" i="1"/>
  <c r="C1462" i="1"/>
  <c r="B1462" i="1"/>
  <c r="C1461" i="1"/>
  <c r="B1461" i="1"/>
  <c r="C1460" i="1"/>
  <c r="B1460" i="1"/>
  <c r="C1459" i="1"/>
  <c r="B1459" i="1"/>
  <c r="C1458" i="1"/>
  <c r="B1458" i="1"/>
  <c r="C1457" i="1"/>
  <c r="B1457" i="1"/>
  <c r="C1456" i="1"/>
  <c r="B1456" i="1"/>
  <c r="C1455" i="1"/>
  <c r="B1455" i="1"/>
  <c r="C1454" i="1"/>
  <c r="B1454" i="1"/>
  <c r="C1453" i="1"/>
  <c r="B1453" i="1"/>
  <c r="C1452" i="1"/>
  <c r="B1452" i="1"/>
  <c r="C1451" i="1"/>
  <c r="B1451" i="1"/>
  <c r="C1450" i="1"/>
  <c r="B1450" i="1"/>
  <c r="C1449" i="1"/>
  <c r="B1449" i="1"/>
  <c r="C1448" i="1"/>
  <c r="B1448" i="1"/>
  <c r="C1447" i="1"/>
  <c r="B1447" i="1"/>
  <c r="C1446" i="1"/>
  <c r="B1446" i="1"/>
  <c r="C1445" i="1"/>
  <c r="B1445" i="1"/>
  <c r="C1444" i="1"/>
  <c r="B1444" i="1"/>
  <c r="C1443" i="1"/>
  <c r="B1443" i="1"/>
  <c r="C1442" i="1"/>
  <c r="B1442" i="1"/>
  <c r="C1441" i="1"/>
  <c r="B1441" i="1"/>
  <c r="C1440" i="1"/>
  <c r="B1440" i="1"/>
  <c r="C1439" i="1"/>
  <c r="B1439" i="1"/>
  <c r="C1438" i="1"/>
  <c r="B1438" i="1"/>
  <c r="C1437" i="1"/>
  <c r="B1437" i="1"/>
  <c r="C1436" i="1"/>
  <c r="B1436" i="1"/>
  <c r="C1435" i="1"/>
  <c r="B1435" i="1"/>
  <c r="C1434" i="1"/>
  <c r="B1434" i="1"/>
  <c r="C1433" i="1"/>
  <c r="B1433" i="1"/>
  <c r="C1432" i="1"/>
  <c r="B1432" i="1"/>
  <c r="C1431" i="1"/>
  <c r="B1431" i="1"/>
  <c r="C1430" i="1"/>
  <c r="B1430" i="1"/>
  <c r="C1429" i="1"/>
  <c r="B1429" i="1"/>
  <c r="C1428" i="1"/>
  <c r="B1428" i="1"/>
  <c r="C1427" i="1"/>
  <c r="B1427" i="1"/>
  <c r="C1426" i="1"/>
  <c r="B1426" i="1"/>
  <c r="C1425" i="1"/>
  <c r="B1425" i="1"/>
  <c r="C1424" i="1"/>
  <c r="B1424" i="1"/>
  <c r="C1423" i="1"/>
  <c r="B1423" i="1"/>
  <c r="C1422" i="1"/>
  <c r="B1422" i="1"/>
  <c r="C1421" i="1"/>
  <c r="B1421" i="1"/>
  <c r="C1420" i="1"/>
  <c r="B1420" i="1"/>
  <c r="C1419" i="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C1261" i="1"/>
  <c r="B1261" i="1"/>
  <c r="C1260" i="1"/>
  <c r="B1260" i="1"/>
  <c r="C1259" i="1"/>
  <c r="B1259" i="1"/>
  <c r="C1258" i="1"/>
  <c r="B1258" i="1"/>
  <c r="C1257" i="1"/>
  <c r="B1257" i="1"/>
  <c r="C1256" i="1"/>
  <c r="B1256" i="1"/>
  <c r="C1255" i="1"/>
  <c r="B1255" i="1"/>
  <c r="C1254" i="1"/>
  <c r="B1254" i="1"/>
  <c r="C1253" i="1"/>
  <c r="B1253" i="1"/>
  <c r="C1252" i="1"/>
  <c r="B1252" i="1"/>
  <c r="C1251" i="1"/>
  <c r="B1251" i="1"/>
  <c r="C1250" i="1"/>
  <c r="B1250" i="1"/>
  <c r="C1249" i="1"/>
  <c r="B1249" i="1"/>
  <c r="C1248" i="1"/>
  <c r="B1248" i="1"/>
  <c r="C1247" i="1"/>
  <c r="B1247" i="1"/>
  <c r="C1246" i="1"/>
  <c r="B1246" i="1"/>
  <c r="C1245" i="1"/>
  <c r="B1245" i="1"/>
  <c r="C1244" i="1"/>
  <c r="B1244" i="1"/>
  <c r="C1243" i="1"/>
  <c r="B1243" i="1"/>
  <c r="C1242" i="1"/>
  <c r="B1242" i="1"/>
  <c r="C1241" i="1"/>
  <c r="B1241" i="1"/>
  <c r="C1240" i="1"/>
  <c r="B1240" i="1"/>
  <c r="C1239" i="1"/>
  <c r="B1239" i="1"/>
  <c r="C1238" i="1"/>
  <c r="B1238" i="1"/>
  <c r="C1237" i="1"/>
  <c r="B1237" i="1"/>
  <c r="C1236" i="1"/>
  <c r="B1236" i="1"/>
  <c r="C1235" i="1"/>
  <c r="B1235" i="1"/>
  <c r="C1234" i="1"/>
  <c r="B1234" i="1"/>
  <c r="C1233" i="1"/>
  <c r="B1233" i="1"/>
  <c r="C1232" i="1"/>
  <c r="B1232" i="1"/>
  <c r="C1231" i="1"/>
  <c r="B1231" i="1"/>
  <c r="C1230" i="1"/>
  <c r="B1230" i="1"/>
  <c r="C1229" i="1"/>
  <c r="B1229" i="1"/>
  <c r="C1228" i="1"/>
  <c r="B1228" i="1"/>
  <c r="C1227" i="1"/>
  <c r="B1227" i="1"/>
  <c r="C1226" i="1"/>
  <c r="B1226" i="1"/>
  <c r="C1225" i="1"/>
  <c r="B1225" i="1"/>
  <c r="C1224" i="1"/>
  <c r="B1224" i="1"/>
  <c r="C1223" i="1"/>
  <c r="B1223" i="1"/>
  <c r="C1222" i="1"/>
  <c r="B1222" i="1"/>
  <c r="C1221" i="1"/>
  <c r="B1221" i="1"/>
  <c r="C1220" i="1"/>
  <c r="B1220" i="1"/>
  <c r="C1219" i="1"/>
  <c r="B1219" i="1"/>
  <c r="C1218" i="1"/>
  <c r="B1218" i="1"/>
  <c r="C1217" i="1"/>
  <c r="B1217" i="1"/>
  <c r="C1216" i="1"/>
  <c r="B1216" i="1"/>
  <c r="C1215" i="1"/>
  <c r="B1215" i="1"/>
  <c r="C1214" i="1"/>
  <c r="B1214" i="1"/>
  <c r="C1213" i="1"/>
  <c r="B1213" i="1"/>
  <c r="C1212" i="1"/>
  <c r="B1212" i="1"/>
  <c r="C1211" i="1"/>
  <c r="B1211" i="1"/>
  <c r="C1210" i="1"/>
  <c r="B1210" i="1"/>
  <c r="C1209" i="1"/>
  <c r="B1209" i="1"/>
  <c r="C1208" i="1"/>
  <c r="B1208" i="1"/>
  <c r="C1207" i="1"/>
  <c r="B1207" i="1"/>
  <c r="C1206" i="1"/>
  <c r="B1206" i="1"/>
  <c r="C1205" i="1"/>
  <c r="B1205" i="1"/>
  <c r="C1204" i="1"/>
  <c r="B1204" i="1"/>
  <c r="C1203" i="1"/>
  <c r="B1203" i="1"/>
  <c r="C1202" i="1"/>
  <c r="B1202" i="1"/>
  <c r="C1201" i="1"/>
  <c r="B1201" i="1"/>
  <c r="C1200" i="1"/>
  <c r="B1200" i="1"/>
  <c r="C1199" i="1"/>
  <c r="B1199" i="1"/>
  <c r="C1198" i="1"/>
  <c r="B1198" i="1"/>
  <c r="C1197" i="1"/>
  <c r="B1197" i="1"/>
  <c r="C1196" i="1"/>
  <c r="B1196" i="1"/>
  <c r="C1195" i="1"/>
  <c r="B1195" i="1"/>
  <c r="C1194" i="1"/>
  <c r="B1194" i="1"/>
  <c r="C1193" i="1"/>
  <c r="B1193" i="1"/>
  <c r="C1192" i="1"/>
  <c r="B1192" i="1"/>
  <c r="C1191" i="1"/>
  <c r="B1191" i="1"/>
  <c r="C1190" i="1"/>
  <c r="B1190" i="1"/>
  <c r="C1189" i="1"/>
  <c r="B1189" i="1"/>
  <c r="C1188" i="1"/>
  <c r="B1188" i="1"/>
  <c r="C1187" i="1"/>
  <c r="B1187" i="1"/>
  <c r="C1186" i="1"/>
  <c r="B1186" i="1"/>
  <c r="C1185" i="1"/>
  <c r="B1185" i="1"/>
  <c r="C1184" i="1"/>
  <c r="B1184" i="1"/>
  <c r="C1183" i="1"/>
  <c r="B1183" i="1"/>
  <c r="C1182" i="1"/>
  <c r="B1182" i="1"/>
  <c r="C1181" i="1"/>
  <c r="B1181" i="1"/>
  <c r="C1180" i="1"/>
  <c r="B1180" i="1"/>
  <c r="C1179" i="1"/>
  <c r="B1179" i="1"/>
  <c r="C1178" i="1"/>
  <c r="B1178" i="1"/>
  <c r="C1177" i="1"/>
  <c r="B1177" i="1"/>
  <c r="C1176" i="1"/>
  <c r="B1176" i="1"/>
  <c r="C1175" i="1"/>
  <c r="B1175" i="1"/>
  <c r="C1174" i="1"/>
  <c r="B1174" i="1"/>
  <c r="C1173" i="1"/>
  <c r="B1173" i="1"/>
  <c r="C1172" i="1"/>
  <c r="B1172" i="1"/>
  <c r="C1171" i="1"/>
  <c r="B1171" i="1"/>
  <c r="C1170" i="1"/>
  <c r="B1170" i="1"/>
  <c r="C1169" i="1"/>
  <c r="B1169" i="1"/>
  <c r="C1168" i="1"/>
  <c r="B1168" i="1"/>
  <c r="C1167" i="1"/>
  <c r="B1167" i="1"/>
  <c r="C1166" i="1"/>
  <c r="B1166" i="1"/>
  <c r="C1165" i="1"/>
  <c r="B1165" i="1"/>
  <c r="C1164" i="1"/>
  <c r="B1164" i="1"/>
  <c r="C1163" i="1"/>
  <c r="B1163" i="1"/>
  <c r="C1162" i="1"/>
  <c r="B1162" i="1"/>
  <c r="C1161" i="1"/>
  <c r="B1161" i="1"/>
  <c r="C1160" i="1"/>
  <c r="B1160" i="1"/>
  <c r="C1159" i="1"/>
  <c r="B1159" i="1"/>
  <c r="C1158" i="1"/>
  <c r="B1158" i="1"/>
  <c r="C1157" i="1"/>
  <c r="B1157" i="1"/>
  <c r="C1156" i="1"/>
  <c r="B1156" i="1"/>
  <c r="C1155" i="1"/>
  <c r="B1155" i="1"/>
  <c r="C1154" i="1"/>
  <c r="B1154" i="1"/>
  <c r="C1153" i="1"/>
  <c r="B1153" i="1"/>
  <c r="C1152" i="1"/>
  <c r="B1152" i="1"/>
  <c r="C1151" i="1"/>
  <c r="B1151" i="1"/>
  <c r="C1150" i="1"/>
  <c r="B1150" i="1"/>
  <c r="C1149" i="1"/>
  <c r="B1149" i="1"/>
  <c r="C1148" i="1"/>
  <c r="B1148" i="1"/>
  <c r="C1147" i="1"/>
  <c r="B1147" i="1"/>
  <c r="C1146" i="1"/>
  <c r="B1146" i="1"/>
  <c r="C1145" i="1"/>
  <c r="B1145" i="1"/>
  <c r="C1144" i="1"/>
  <c r="B1144" i="1"/>
  <c r="C1143" i="1"/>
  <c r="B1143" i="1"/>
  <c r="C1142" i="1"/>
  <c r="B1142" i="1"/>
  <c r="C1141" i="1"/>
  <c r="B1141" i="1"/>
  <c r="C1140" i="1"/>
  <c r="B1140" i="1"/>
  <c r="C1139" i="1"/>
  <c r="B1139" i="1"/>
  <c r="C1138" i="1"/>
  <c r="B1138" i="1"/>
  <c r="C1137" i="1"/>
  <c r="B1137" i="1"/>
  <c r="C1136" i="1"/>
  <c r="B1136" i="1"/>
  <c r="C1135" i="1"/>
  <c r="B1135" i="1"/>
  <c r="C1134" i="1"/>
  <c r="B1134" i="1"/>
  <c r="C1133" i="1"/>
  <c r="B1133" i="1"/>
  <c r="C1132" i="1"/>
  <c r="B1132" i="1"/>
  <c r="C1131" i="1"/>
  <c r="B1131" i="1"/>
  <c r="C1130" i="1"/>
  <c r="B1130" i="1"/>
  <c r="C1129" i="1"/>
  <c r="B1129" i="1"/>
  <c r="C1128" i="1"/>
  <c r="B1128" i="1"/>
  <c r="C1127" i="1"/>
  <c r="B1127" i="1"/>
  <c r="C1126" i="1"/>
  <c r="B1126" i="1"/>
  <c r="C1125" i="1"/>
  <c r="B1125" i="1"/>
  <c r="C1124" i="1"/>
  <c r="B1124" i="1"/>
  <c r="C1123" i="1"/>
  <c r="B1123" i="1"/>
  <c r="C1122" i="1"/>
  <c r="B1122" i="1"/>
  <c r="C1121" i="1"/>
  <c r="B1121" i="1"/>
  <c r="C1120" i="1"/>
  <c r="B1120" i="1"/>
  <c r="C1119" i="1"/>
  <c r="B1119" i="1"/>
  <c r="C1118" i="1"/>
  <c r="B1118" i="1"/>
  <c r="C1117" i="1"/>
  <c r="B1117" i="1"/>
  <c r="C1116" i="1"/>
  <c r="B1116" i="1"/>
  <c r="C1115" i="1"/>
  <c r="B1115" i="1"/>
  <c r="C1114" i="1"/>
  <c r="B1114" i="1"/>
  <c r="C1113" i="1"/>
  <c r="B1113" i="1"/>
  <c r="C1112" i="1"/>
  <c r="B1112" i="1"/>
  <c r="C1111" i="1"/>
  <c r="B1111" i="1"/>
  <c r="C1110" i="1"/>
  <c r="B1110" i="1"/>
  <c r="C1109" i="1"/>
  <c r="B1109" i="1"/>
  <c r="C1108" i="1"/>
  <c r="B1108" i="1"/>
  <c r="C1107" i="1"/>
  <c r="B1107" i="1"/>
  <c r="C1106" i="1"/>
  <c r="B1106" i="1"/>
  <c r="C1105" i="1"/>
  <c r="B1105" i="1"/>
  <c r="C1104" i="1"/>
  <c r="B1104" i="1"/>
  <c r="C1103" i="1"/>
  <c r="B1103" i="1"/>
  <c r="C1102" i="1"/>
  <c r="B1102" i="1"/>
  <c r="C1101" i="1"/>
  <c r="B1101" i="1"/>
  <c r="C1100" i="1"/>
  <c r="B1100" i="1"/>
  <c r="C1099" i="1"/>
  <c r="B1099" i="1"/>
  <c r="C1098" i="1"/>
  <c r="B1098" i="1"/>
  <c r="C1097" i="1"/>
  <c r="B1097" i="1"/>
  <c r="C1096" i="1"/>
  <c r="B1096" i="1"/>
  <c r="C1095" i="1"/>
  <c r="B1095" i="1"/>
  <c r="C1094" i="1"/>
  <c r="B1094" i="1"/>
  <c r="C1093" i="1"/>
  <c r="B1093" i="1"/>
  <c r="C1092" i="1"/>
  <c r="B1092" i="1"/>
  <c r="C1091" i="1"/>
  <c r="B1091" i="1"/>
  <c r="C1090" i="1"/>
  <c r="B1090" i="1"/>
  <c r="C1089" i="1"/>
  <c r="B1089" i="1"/>
  <c r="C1088" i="1"/>
  <c r="B1088" i="1"/>
  <c r="C1087" i="1"/>
  <c r="B1087" i="1"/>
  <c r="C1086" i="1"/>
  <c r="B1086" i="1"/>
  <c r="C1085" i="1"/>
  <c r="B1085" i="1"/>
  <c r="C1084" i="1"/>
  <c r="B1084" i="1"/>
  <c r="C1083" i="1"/>
  <c r="B1083" i="1"/>
  <c r="C1082" i="1"/>
  <c r="B1082" i="1"/>
  <c r="C1081" i="1"/>
  <c r="B1081" i="1"/>
  <c r="C1080" i="1"/>
  <c r="B1080" i="1"/>
  <c r="C1079" i="1"/>
  <c r="B1079" i="1"/>
  <c r="C1078" i="1"/>
  <c r="B1078" i="1"/>
  <c r="C1077" i="1"/>
  <c r="B1077" i="1"/>
  <c r="C1076" i="1"/>
  <c r="B1076" i="1"/>
  <c r="C1075" i="1"/>
  <c r="B1075" i="1"/>
  <c r="C1074" i="1"/>
  <c r="B1074" i="1"/>
  <c r="C1073" i="1"/>
  <c r="B1073" i="1"/>
  <c r="C1072" i="1"/>
  <c r="B1072" i="1"/>
  <c r="C1071" i="1"/>
  <c r="B1071" i="1"/>
  <c r="C1070" i="1"/>
  <c r="B1070" i="1"/>
  <c r="C1069" i="1"/>
  <c r="B1069" i="1"/>
  <c r="C1068" i="1"/>
  <c r="B1068" i="1"/>
  <c r="C1067" i="1"/>
  <c r="B1067" i="1"/>
  <c r="C1066" i="1"/>
  <c r="B1066" i="1"/>
  <c r="C1065" i="1"/>
  <c r="B1065" i="1"/>
  <c r="C1064" i="1"/>
  <c r="B1064" i="1"/>
  <c r="C1063" i="1"/>
  <c r="B1063" i="1"/>
  <c r="C1062" i="1"/>
  <c r="B1062" i="1"/>
  <c r="C1061" i="1"/>
  <c r="B1061" i="1"/>
  <c r="C1060" i="1"/>
  <c r="B1060" i="1"/>
  <c r="C1059" i="1"/>
  <c r="B1059" i="1"/>
  <c r="C1058" i="1"/>
  <c r="B1058" i="1"/>
  <c r="C1057" i="1"/>
  <c r="B1057" i="1"/>
  <c r="C1056" i="1"/>
  <c r="B1056" i="1"/>
  <c r="C1055" i="1"/>
  <c r="B1055" i="1"/>
  <c r="C1054" i="1"/>
  <c r="B1054" i="1"/>
  <c r="C1053" i="1"/>
  <c r="B1053" i="1"/>
  <c r="C1052" i="1"/>
  <c r="B1052" i="1"/>
  <c r="C1051" i="1"/>
  <c r="B1051" i="1"/>
  <c r="C1050" i="1"/>
  <c r="B1050" i="1"/>
  <c r="C1049" i="1"/>
  <c r="B1049" i="1"/>
  <c r="C1048" i="1"/>
  <c r="B1048" i="1"/>
  <c r="C1047" i="1"/>
  <c r="B1047" i="1"/>
  <c r="C1046" i="1"/>
  <c r="B1046" i="1"/>
  <c r="C1045" i="1"/>
  <c r="B1045" i="1"/>
  <c r="C1044" i="1"/>
  <c r="B1044" i="1"/>
  <c r="C1043" i="1"/>
  <c r="B1043" i="1"/>
  <c r="C1042" i="1"/>
  <c r="B1042" i="1"/>
  <c r="C1041" i="1"/>
  <c r="B1041" i="1"/>
  <c r="C1040" i="1"/>
  <c r="B1040" i="1"/>
  <c r="C1039" i="1"/>
  <c r="B1039" i="1"/>
  <c r="C1038" i="1"/>
  <c r="B1038" i="1"/>
  <c r="C1037" i="1"/>
  <c r="B1037" i="1"/>
  <c r="C1036" i="1"/>
  <c r="B1036" i="1"/>
  <c r="C1035" i="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C2" i="1"/>
  <c r="B2" i="1"/>
</calcChain>
</file>

<file path=xl/sharedStrings.xml><?xml version="1.0" encoding="utf-8"?>
<sst xmlns="http://schemas.openxmlformats.org/spreadsheetml/2006/main" count="12122" uniqueCount="511">
  <si>
    <t>Date</t>
  </si>
  <si>
    <t>Inv.No</t>
  </si>
  <si>
    <t>Customer</t>
  </si>
  <si>
    <t>Product</t>
  </si>
  <si>
    <t>Alt Qty</t>
  </si>
  <si>
    <t>Qty</t>
  </si>
  <si>
    <t>Rate</t>
  </si>
  <si>
    <t>Basic Amount</t>
  </si>
  <si>
    <t>Discount</t>
  </si>
  <si>
    <t>Cash Discount</t>
  </si>
  <si>
    <t>VAT</t>
  </si>
  <si>
    <t>Total Amount</t>
  </si>
  <si>
    <t>SHUBHASHREE MARKETING</t>
  </si>
  <si>
    <t>UNITED DISTRIBUTOR</t>
  </si>
  <si>
    <t>BEERA BARJEE INTERNATIONAL PVT.LTD</t>
  </si>
  <si>
    <t>SHIVA SHAKTI CONCERN</t>
  </si>
  <si>
    <t>RAJU KIRANA PASAL</t>
  </si>
  <si>
    <t>NAWA ATITHI STORES</t>
  </si>
  <si>
    <t>CHHATRA DEV GENERAL SUPPLIERS</t>
  </si>
  <si>
    <t>SUBHARAMBHA TRADING</t>
  </si>
  <si>
    <t>KATYANI DARSHAN PVT. LTD.</t>
  </si>
  <si>
    <t>MEGA MART PVT.LTD</t>
  </si>
  <si>
    <t>NEPAL SENA SUPATH MULYA CANTEEN</t>
  </si>
  <si>
    <t>Row Labels</t>
  </si>
  <si>
    <t>Grand Total</t>
  </si>
  <si>
    <t>Sum of Alt Qty</t>
  </si>
  <si>
    <t>Column Labels</t>
  </si>
  <si>
    <t>FY</t>
  </si>
  <si>
    <t>2025-26</t>
  </si>
  <si>
    <t>Month</t>
  </si>
  <si>
    <t>2025-26 Total</t>
  </si>
  <si>
    <t>Apr-2025</t>
  </si>
  <si>
    <t>Jun-2025</t>
  </si>
  <si>
    <t>May-2025</t>
  </si>
  <si>
    <t>Sum of Total Amount</t>
  </si>
  <si>
    <t>QTR</t>
  </si>
  <si>
    <t>(Multiple Items)</t>
  </si>
  <si>
    <t>Jan-2026</t>
  </si>
  <si>
    <t>DS SPICECO L &amp; D</t>
  </si>
  <si>
    <t>CHAT MASALA 100GM*72</t>
  </si>
  <si>
    <t>KASHMIRI MIRCH POWDER 50GM*180</t>
  </si>
  <si>
    <t>SABZI MASALA 50GM*180</t>
  </si>
  <si>
    <t>BIRYANI MASALA 50GM*120</t>
  </si>
  <si>
    <t>BLACK PEPPER POWDER 100GM*40</t>
  </si>
  <si>
    <t>KITCHEN KING 100GM*180</t>
  </si>
  <si>
    <t>MEAT MASALA 50GM*180</t>
  </si>
  <si>
    <t>CHATPATA CHAT MASALA 100GM*120</t>
  </si>
  <si>
    <t>CHICKEN MASALA 100GM*120</t>
  </si>
  <si>
    <t>GARAM MASALA 100GM*180</t>
  </si>
  <si>
    <t>KASHMIRI MIRCH POWDER 100GM*180</t>
  </si>
  <si>
    <t>AMCHUR POWDER 100GM*80</t>
  </si>
  <si>
    <t>CHATPATA CHAT MASALA 50GM*180</t>
  </si>
  <si>
    <t>GARAM MASALA 50GM*180</t>
  </si>
  <si>
    <t>TURMERIC POWDER 200GM*100</t>
  </si>
  <si>
    <t>BLACK PEPPER 100GM*48</t>
  </si>
  <si>
    <t>BLACK PEPPER POWDER 50GM*120</t>
  </si>
  <si>
    <t>KASURI METHI 25GM*120</t>
  </si>
  <si>
    <t>MEAT MASALA 100GM*180</t>
  </si>
  <si>
    <t>PERI PERI 90GM*72</t>
  </si>
  <si>
    <t>CHICKEN MASALA 50GM*180</t>
  </si>
  <si>
    <t>GINGER GARLIC 200GM*60</t>
  </si>
  <si>
    <t>TURMERIC POWDER 500GM*40</t>
  </si>
  <si>
    <t>WHITE PEPPER POWDER 100GM*40</t>
  </si>
  <si>
    <t>SHAHI PANEER MASALA 100GM*80</t>
  </si>
  <si>
    <t>KEPL/02398/81-82</t>
  </si>
  <si>
    <t>SURUWAT ENTERPRISES</t>
  </si>
  <si>
    <t>DHANIA POWDER 200GM*100</t>
  </si>
  <si>
    <t>RED CHILLI POWDER 500GM*40</t>
  </si>
  <si>
    <t>DHANIA POWDER 500GM*40</t>
  </si>
  <si>
    <t>RED CHILLI POWDER 200GM*100</t>
  </si>
  <si>
    <t>KEPL/02399/81-82</t>
  </si>
  <si>
    <t>AARYA TRADE LINK PVT.LTD</t>
  </si>
  <si>
    <t>KEPL/02400/81-82</t>
  </si>
  <si>
    <t>DURGA AND AAMOSH SUPPLIERS PVT.LTD</t>
  </si>
  <si>
    <t>KEPL/02404/81-82</t>
  </si>
  <si>
    <t>HAMRO KIRANA PASAL</t>
  </si>
  <si>
    <t>KEPL/02405/81-82</t>
  </si>
  <si>
    <t>KEPL/02406/81-82</t>
  </si>
  <si>
    <t>KEPL/02407/81-82</t>
  </si>
  <si>
    <t>KEPL/02408/81-82</t>
  </si>
  <si>
    <t>KEPL/02409/81-82</t>
  </si>
  <si>
    <t>KEPL/02410/81-82</t>
  </si>
  <si>
    <t>KEPL/02414/81-82</t>
  </si>
  <si>
    <t>AMRIT TRADE CONCERN</t>
  </si>
  <si>
    <t>KEPL/02415/81-82</t>
  </si>
  <si>
    <t>KEPL/02420/81-82</t>
  </si>
  <si>
    <t>KEPL/02421/81-82</t>
  </si>
  <si>
    <t>SABZI MASALA 100GM*180</t>
  </si>
  <si>
    <t>KEPL/02422/81-82</t>
  </si>
  <si>
    <t>MOMO MASALA 100GM*120</t>
  </si>
  <si>
    <t>SCHEZWAN PASTE 100GM*120</t>
  </si>
  <si>
    <t>KEPL/02436/81-82</t>
  </si>
  <si>
    <t>KEPL/02437/81-82</t>
  </si>
  <si>
    <t>KEPL/02438/81-82</t>
  </si>
  <si>
    <t>KEPL/02446/81-82</t>
  </si>
  <si>
    <t>SAFAL MART PVT.LTD</t>
  </si>
  <si>
    <t>KEPL/02447/81-82</t>
  </si>
  <si>
    <t>KEPL/02451/81-82</t>
  </si>
  <si>
    <t>KEPL/02452/81-82</t>
  </si>
  <si>
    <t>KEPL/02459/81-82</t>
  </si>
  <si>
    <t>KEPL/02469/81-82</t>
  </si>
  <si>
    <t>KEPL/02470/81-82</t>
  </si>
  <si>
    <t>KEPL/02487/81-82</t>
  </si>
  <si>
    <t>KEPL/02490/81-82</t>
  </si>
  <si>
    <t>SIMPEX SOLUTION PVT. LTD</t>
  </si>
  <si>
    <t>KEPL/02491/81-82</t>
  </si>
  <si>
    <t>KEPL/02492/81-82</t>
  </si>
  <si>
    <t>KEPL/02493/81-82</t>
  </si>
  <si>
    <t>KEPL/02494/81-82</t>
  </si>
  <si>
    <t>KEPL/02496/81-82</t>
  </si>
  <si>
    <t>KEPL/02514/81-82</t>
  </si>
  <si>
    <t>KEPL/02519/81-82</t>
  </si>
  <si>
    <t>KEPL/02520/81-82</t>
  </si>
  <si>
    <t/>
  </si>
  <si>
    <t>KEPL/02577/81-82</t>
  </si>
  <si>
    <t>KEPL/02579/81-82</t>
  </si>
  <si>
    <t>WELSON TRADE &amp; RASAN MART</t>
  </si>
  <si>
    <t>KEPL/02580/81-82</t>
  </si>
  <si>
    <t>KEPL/02581/81-82</t>
  </si>
  <si>
    <t>KEPL/02584/81-82</t>
  </si>
  <si>
    <t>KEPL/02588/81-82</t>
  </si>
  <si>
    <t>KEPL/02589/81-82</t>
  </si>
  <si>
    <t>KEPL/02590/81-82</t>
  </si>
  <si>
    <t>KEPL/02591/81-82</t>
  </si>
  <si>
    <t>KEPL/02592/81-82</t>
  </si>
  <si>
    <t>KEPL/02606/81-82</t>
  </si>
  <si>
    <t>KEPL/02608/81-82</t>
  </si>
  <si>
    <t>KEPL/02609/81-82</t>
  </si>
  <si>
    <t>KEPL/02610/81-82</t>
  </si>
  <si>
    <t>KESR/0115/81-82</t>
  </si>
  <si>
    <t>KESR/0116/81-82</t>
  </si>
  <si>
    <t>KESR/0117/81-82</t>
  </si>
  <si>
    <t>KEPL/02625/81-82</t>
  </si>
  <si>
    <t>KEPL/02628/81-82</t>
  </si>
  <si>
    <t>KEPL/02629/81-82</t>
  </si>
  <si>
    <t>KEPL/02630/81-82</t>
  </si>
  <si>
    <t>KEPL/02631/81-82</t>
  </si>
  <si>
    <t>KEPL/02654/81-82</t>
  </si>
  <si>
    <t>KESR/0125/81-82</t>
  </si>
  <si>
    <t>KESR/0126/81-82</t>
  </si>
  <si>
    <t>KESR/0127/81-82</t>
  </si>
  <si>
    <t>KESR/0128/81-82</t>
  </si>
  <si>
    <t>KESR/0129/81-82</t>
  </si>
  <si>
    <t>KEPL/02665/81-82</t>
  </si>
  <si>
    <t>KEPL/02672/81-82</t>
  </si>
  <si>
    <t>KEPL/02673/81-82</t>
  </si>
  <si>
    <t>KEPL/02809/81-82</t>
  </si>
  <si>
    <t>KEPL/02810/81-82</t>
  </si>
  <si>
    <t>KEPL/02811/81-82</t>
  </si>
  <si>
    <t>KEPL/02812/81-82</t>
  </si>
  <si>
    <t>KEPL/02817/81-82</t>
  </si>
  <si>
    <t>BHAT BHATENI SUPERMARKET &amp; DEPARTMENTAL STORE PVT. LTD.</t>
  </si>
  <si>
    <t>KEPL/02818/81-82</t>
  </si>
  <si>
    <t>KEPL/02819/81-82</t>
  </si>
  <si>
    <t>KEPL/02837/81-82</t>
  </si>
  <si>
    <t>KEPL/02838/81-82</t>
  </si>
  <si>
    <t>KEPL/02839/81-82</t>
  </si>
  <si>
    <t>KEPL/02859/81-82</t>
  </si>
  <si>
    <t>KEPL/02860/81-82</t>
  </si>
  <si>
    <t>KEPL/02874/81-82</t>
  </si>
  <si>
    <t>KESR/0136/81-82</t>
  </si>
  <si>
    <t>KESR/0137/81-82</t>
  </si>
  <si>
    <t>KESR/0138/81-82</t>
  </si>
  <si>
    <t>KESR/0139/81-82</t>
  </si>
  <si>
    <t>KESR/0152/81-82</t>
  </si>
  <si>
    <t>KEPL/02973/81-82</t>
  </si>
  <si>
    <t>MOMO MASALA 50GM*120</t>
  </si>
  <si>
    <t>AMCHOOR POWDER 50GM*180</t>
  </si>
  <si>
    <t>WHITE PEPPER POWDER 50GM*80</t>
  </si>
  <si>
    <t>KEPL/02974/81-82</t>
  </si>
  <si>
    <t>RAITA MASALA 100GM*80</t>
  </si>
  <si>
    <t>RAJMA MASALA 100GM*80</t>
  </si>
  <si>
    <t>PANEER MASALA 50GM*180</t>
  </si>
  <si>
    <t>PAV BHAJI MASALA 50GM*120</t>
  </si>
  <si>
    <t>CHHOLE MASALA 50GM*180</t>
  </si>
  <si>
    <t>SAMBHAR MASALA 50GM*120</t>
  </si>
  <si>
    <t>CHHOLE MASALA 100GM*120</t>
  </si>
  <si>
    <t>FISH CURRY MASALA 50GM*120</t>
  </si>
  <si>
    <t>ITALIAN COMBO (OREGANO+CHILLI FLAKES) 33GM*60</t>
  </si>
  <si>
    <t>JALJEERA POWDER 100GM*180</t>
  </si>
  <si>
    <t>SAMBHAR MASALA 100GM*80</t>
  </si>
  <si>
    <t>RAITA MASALA SPRINKLER 50GM*100</t>
  </si>
  <si>
    <t>KEPL/03004/81-82</t>
  </si>
  <si>
    <t>KEPL/03005/81-82</t>
  </si>
  <si>
    <t>KEPL/03011/81-82</t>
  </si>
  <si>
    <t>KEPL/03016/81-82</t>
  </si>
  <si>
    <t>KEPL/03017/81-82</t>
  </si>
  <si>
    <t>KEPL/03020/81-82</t>
  </si>
  <si>
    <t>KEPL/03027/81-82</t>
  </si>
  <si>
    <t>CHAT MASALA 50GM*100</t>
  </si>
  <si>
    <t>KITCHEN KING MASALA 50GM*180</t>
  </si>
  <si>
    <t>KEPL/03030/81-82</t>
  </si>
  <si>
    <t>KEPL/03031/81-82</t>
  </si>
  <si>
    <t>KEPL/03039/81-82</t>
  </si>
  <si>
    <t>KEPL/03047/81-82</t>
  </si>
  <si>
    <t>KEPL/03048/81-82</t>
  </si>
  <si>
    <t>KEPL/03049/81-82</t>
  </si>
  <si>
    <t>KESR/0179/81-82</t>
  </si>
  <si>
    <t>KEPL/03071/81-82</t>
  </si>
  <si>
    <t>KEPL/03072/81-82</t>
  </si>
  <si>
    <t>KEPL/00030/82-83</t>
  </si>
  <si>
    <t>KEPL/00031/82-83</t>
  </si>
  <si>
    <t>KEPL/00033/82-83</t>
  </si>
  <si>
    <t>KEPL/00034/82-83</t>
  </si>
  <si>
    <t>KEPL/00044/82-83</t>
  </si>
  <si>
    <t>KEPL/00057/82-83</t>
  </si>
  <si>
    <t>KEPL/00058/82-83</t>
  </si>
  <si>
    <t>KEPL/00072/82-83</t>
  </si>
  <si>
    <t>KEPL/00094/82-83</t>
  </si>
  <si>
    <t>KEPL/00095/82-83</t>
  </si>
  <si>
    <t>KEPL/00103/82-83</t>
  </si>
  <si>
    <t>KEPL/00173/82-83</t>
  </si>
  <si>
    <t>KEPL/00177/82-83</t>
  </si>
  <si>
    <t>KEPL/00217/82-83</t>
  </si>
  <si>
    <t>KEPL/00229/82-83</t>
  </si>
  <si>
    <t>KEPL/00234/82-83</t>
  </si>
  <si>
    <t>KEPL/00235/82-83</t>
  </si>
  <si>
    <t>KESR/0001/82-83</t>
  </si>
  <si>
    <t>KESR/0002/82-83</t>
  </si>
  <si>
    <t>KEPL/00257/82-83</t>
  </si>
  <si>
    <t>KEPL/00273/82-83</t>
  </si>
  <si>
    <t>KEPL/00276/82-83</t>
  </si>
  <si>
    <t>KEPL/00293/82-83</t>
  </si>
  <si>
    <t>KESR/0003/82-83</t>
  </si>
  <si>
    <t>KEPL/00327/82-83</t>
  </si>
  <si>
    <t>KEPL/00374/82-83</t>
  </si>
  <si>
    <t>KEPL/00498/82-83</t>
  </si>
  <si>
    <t>KEPL/00499/82-83</t>
  </si>
  <si>
    <t>KEPL/00504/82-83</t>
  </si>
  <si>
    <t>KEPL/00505/82-83</t>
  </si>
  <si>
    <t>KEPL/00506/82-83</t>
  </si>
  <si>
    <t>KEPL/00509/82-83</t>
  </si>
  <si>
    <t>KEPL/00512/82-83</t>
  </si>
  <si>
    <t>KEPL/00513/82-83</t>
  </si>
  <si>
    <t>KEPL/00514/82-83</t>
  </si>
  <si>
    <t>KEPL/00515/82-83</t>
  </si>
  <si>
    <t xml:space="preserve">GORIN TRADING </t>
  </si>
  <si>
    <t>KEPL/00516/82-83</t>
  </si>
  <si>
    <t>KEPL/00517/82-83</t>
  </si>
  <si>
    <t>SAMPURNA TRADERS</t>
  </si>
  <si>
    <t>KEPL/00518/82-83</t>
  </si>
  <si>
    <t>KEPL/00519/82-83</t>
  </si>
  <si>
    <t>KEPL/00520/82-83</t>
  </si>
  <si>
    <t>KEPL/00521/82-83</t>
  </si>
  <si>
    <t>KEPL/00523/82-83</t>
  </si>
  <si>
    <t>KEPL/00524/82-83</t>
  </si>
  <si>
    <t>KEPL/00530/82-83</t>
  </si>
  <si>
    <t>KEPL/00540/82-83</t>
  </si>
  <si>
    <t>ISHWORI SUPPLIERS</t>
  </si>
  <si>
    <t>KEPL/00541/82-83</t>
  </si>
  <si>
    <t>KEPL/00544/82-83</t>
  </si>
  <si>
    <t>KEPL/00545/82-83</t>
  </si>
  <si>
    <t>KEPL/00560/82-83</t>
  </si>
  <si>
    <t>KEPL/00570/82-83</t>
  </si>
  <si>
    <t>A N S STORE</t>
  </si>
  <si>
    <t>KEPL/00571/82-83</t>
  </si>
  <si>
    <t>KESR/0006/82-83</t>
  </si>
  <si>
    <t>KESR/0007/82-83</t>
  </si>
  <si>
    <t>KEPL/00572/82-83</t>
  </si>
  <si>
    <t>KEPL/00573/82-83</t>
  </si>
  <si>
    <t>S GAUTAM STORE</t>
  </si>
  <si>
    <t>KEPL/00574/82-83</t>
  </si>
  <si>
    <t>KEPL/00575/82-83</t>
  </si>
  <si>
    <t>KEPL/00588/82-83</t>
  </si>
  <si>
    <t>KEPL/00624/82-83</t>
  </si>
  <si>
    <t>KEPL/00626/82-83</t>
  </si>
  <si>
    <t>KESR/0014/82-83</t>
  </si>
  <si>
    <t>KEPL/00682/82-83</t>
  </si>
  <si>
    <t>KEPL/00683/82-83</t>
  </si>
  <si>
    <t>KEPL/00684/82-83</t>
  </si>
  <si>
    <t>KEPL/00685/82-83</t>
  </si>
  <si>
    <t>KEPL/00686/82-83</t>
  </si>
  <si>
    <t>KEPL/00687/82-83</t>
  </si>
  <si>
    <t>KEPL/00697/82-83</t>
  </si>
  <si>
    <t>KEPL/00698/82-83</t>
  </si>
  <si>
    <t>KEPL/00699/82-83</t>
  </si>
  <si>
    <t>KEPL/00700/82-83</t>
  </si>
  <si>
    <t>KEPL/00701/82-83</t>
  </si>
  <si>
    <t>KEPL/00702/82-83</t>
  </si>
  <si>
    <t>KEPL/00731/82-83</t>
  </si>
  <si>
    <t>KEPL/00732/82-83</t>
  </si>
  <si>
    <t>KEPL/00733/82-83</t>
  </si>
  <si>
    <t>KEPL/00832/82-83</t>
  </si>
  <si>
    <t>COMPOUNDED HING 50GM*120</t>
  </si>
  <si>
    <t>COMPOUNDED HING 25GM*200</t>
  </si>
  <si>
    <t>COMPOUNDED HING 100GM*60</t>
  </si>
  <si>
    <t>KEPL/00845/82-83</t>
  </si>
  <si>
    <t>KEPL/00848/82-83</t>
  </si>
  <si>
    <t>KEPL/00849/82-83</t>
  </si>
  <si>
    <t>KEPL/00867/82-83</t>
  </si>
  <si>
    <t>KEPL/00868/82-83</t>
  </si>
  <si>
    <t>KEPL/00871/82-83</t>
  </si>
  <si>
    <t>KEPL/00872/82-83</t>
  </si>
  <si>
    <t>KEPL/00873/82-83</t>
  </si>
  <si>
    <t>KEPL/00875/82-83</t>
  </si>
  <si>
    <t>KEPL/00876/82-83</t>
  </si>
  <si>
    <t>KEPL/00900/82-83</t>
  </si>
  <si>
    <t>KEPL/00922/82-83</t>
  </si>
  <si>
    <t>KEPL/00923/82-83</t>
  </si>
  <si>
    <t>KEPL/00926/82-83</t>
  </si>
  <si>
    <t>KEPL/00927/82-83</t>
  </si>
  <si>
    <t>KEPL/00928/82-83</t>
  </si>
  <si>
    <t>KEPL/00929/82-83</t>
  </si>
  <si>
    <t>KEPL/00954/82-83</t>
  </si>
  <si>
    <t>KEPL/00991/82-83</t>
  </si>
  <si>
    <t>KEPL/00996/82-83</t>
  </si>
  <si>
    <t>KEPL/00999/82-83</t>
  </si>
  <si>
    <t>KEPL/01007/82-83</t>
  </si>
  <si>
    <t>KEPL/01027/82-83</t>
  </si>
  <si>
    <t>KEPL/01031/82-83</t>
  </si>
  <si>
    <t>KEPL/01055/82-83</t>
  </si>
  <si>
    <t>KEPL/01134/82-83</t>
  </si>
  <si>
    <t>KEPL/01135/82-83</t>
  </si>
  <si>
    <t>KEPL/01160/82-83</t>
  </si>
  <si>
    <t>KEPL/01194/82-83</t>
  </si>
  <si>
    <t>KEPL/01195/82-83</t>
  </si>
  <si>
    <t>KEPL/01196/82-83</t>
  </si>
  <si>
    <t>KEPL/01211/82-83</t>
  </si>
  <si>
    <t>KEPL/01216/82-83</t>
  </si>
  <si>
    <t>KEPL/01248/82-83</t>
  </si>
  <si>
    <t>KEPL/01249/82-83</t>
  </si>
  <si>
    <t>KEPL/01250/82-83</t>
  </si>
  <si>
    <t>KEPL/01251/82-83</t>
  </si>
  <si>
    <t>KEPL/01252/82-83</t>
  </si>
  <si>
    <t>KEPL/01253/82-83</t>
  </si>
  <si>
    <t>KEPL/01254/82-83</t>
  </si>
  <si>
    <t>KEPL/01255/82-83</t>
  </si>
  <si>
    <t>KEPL/01256/82-83</t>
  </si>
  <si>
    <t>KEPL/01257/82-83</t>
  </si>
  <si>
    <t>KEPL/01258/82-83</t>
  </si>
  <si>
    <t>KEPL/01259/82-83</t>
  </si>
  <si>
    <t>KEPL/01260/82-83</t>
  </si>
  <si>
    <t>KEPL/01263/82-83</t>
  </si>
  <si>
    <t>KEPL/01264/82-83</t>
  </si>
  <si>
    <t>KEPL/01272/82-83</t>
  </si>
  <si>
    <t>KEPL/01307/82-83</t>
  </si>
  <si>
    <t>KEPL/01317/82-83</t>
  </si>
  <si>
    <t>DINESH TRADING HOUSE</t>
  </si>
  <si>
    <t>KEPL/01318/82-83</t>
  </si>
  <si>
    <t>KEPL/01326/82-83</t>
  </si>
  <si>
    <t>KEPL/01330/82-83</t>
  </si>
  <si>
    <t>KEPL/01331/82-83</t>
  </si>
  <si>
    <t>KEPL/01333/82-83</t>
  </si>
  <si>
    <t>KEPL/01334/82-83</t>
  </si>
  <si>
    <t>KEPL/01343/82-83</t>
  </si>
  <si>
    <t>KEPL/01352/82-83</t>
  </si>
  <si>
    <t>KEPL/01354/82-83</t>
  </si>
  <si>
    <t>KEPL/01355/82-83</t>
  </si>
  <si>
    <t>KEPL/01356/82-83</t>
  </si>
  <si>
    <t>KEPL/01357/82-83</t>
  </si>
  <si>
    <t>KEPL/01457/82-83</t>
  </si>
  <si>
    <t>PASTA &amp; PIZZA SEASONING 75GM*72</t>
  </si>
  <si>
    <t>KEPL/01458/82-83</t>
  </si>
  <si>
    <t>KEPL/01459/82-83</t>
  </si>
  <si>
    <t>KEPL/01460/82-83</t>
  </si>
  <si>
    <t>KEPL/01461/82-83</t>
  </si>
  <si>
    <t>KEPL/01462/82-83</t>
  </si>
  <si>
    <t>KEPL/01463/82-83</t>
  </si>
  <si>
    <t>KEPL/01464/82-83</t>
  </si>
  <si>
    <t>KEPL/01465/82-83</t>
  </si>
  <si>
    <t>KEPL/01475/82-83</t>
  </si>
  <si>
    <t>KEPL/01479/82-83</t>
  </si>
  <si>
    <t>KESR/0032/82-83</t>
  </si>
  <si>
    <t>KEPL/01482/82-83</t>
  </si>
  <si>
    <t>KEPL/01486/82-83</t>
  </si>
  <si>
    <t>KEPL/01487/82-83</t>
  </si>
  <si>
    <t>KEPL/01490/82-83</t>
  </si>
  <si>
    <t>KEPL/01491/82-83</t>
  </si>
  <si>
    <t>KEPL/01492/82-83</t>
  </si>
  <si>
    <t>KEPL/01493/82-83</t>
  </si>
  <si>
    <t>KEPL/01509/82-83</t>
  </si>
  <si>
    <t>KEPL/01512/82-83</t>
  </si>
  <si>
    <t>KEPL/01515/82-83</t>
  </si>
  <si>
    <t>KEPL/01517/82-83</t>
  </si>
  <si>
    <t>KEPL/01518/82-83</t>
  </si>
  <si>
    <t>KEPL/01527/82-83</t>
  </si>
  <si>
    <t>KEPL/01528/82-83</t>
  </si>
  <si>
    <t>KEPL/01529/82-83</t>
  </si>
  <si>
    <t>KEPL/01530/82-83</t>
  </si>
  <si>
    <t>KEPL/01536/82-83</t>
  </si>
  <si>
    <t>KEPL/01537/82-83</t>
  </si>
  <si>
    <t>KEPL/01538/82-83</t>
  </si>
  <si>
    <t>KEPL/01539/82-83</t>
  </si>
  <si>
    <t>KEPL/01543/82-83</t>
  </si>
  <si>
    <t>KESR/0036/82-83</t>
  </si>
  <si>
    <t>KESR/0038/82-83</t>
  </si>
  <si>
    <t>KESR/0039/82-83</t>
  </si>
  <si>
    <t>KEPL/01553/82-83</t>
  </si>
  <si>
    <t>KEPL/01555/82-83</t>
  </si>
  <si>
    <t>KEPL/01560/82-83</t>
  </si>
  <si>
    <t>THREE STAR SHOP</t>
  </si>
  <si>
    <t>KEPL/01562/82-83</t>
  </si>
  <si>
    <t>KEPL/01563/82-83</t>
  </si>
  <si>
    <t>KEPL/01590/82-83</t>
  </si>
  <si>
    <t>KEPL/01596/82-83</t>
  </si>
  <si>
    <t>KEPL/01598/82-83</t>
  </si>
  <si>
    <t>KEPL/01620/82-83</t>
  </si>
  <si>
    <t>KEPL/01622/82-83</t>
  </si>
  <si>
    <t>KEPL/01637/82-83</t>
  </si>
  <si>
    <t>HORIZON INTERNATIONAL TRADERS</t>
  </si>
  <si>
    <t>KEPL/01638/82-83</t>
  </si>
  <si>
    <t>KEPL/01639/82-83</t>
  </si>
  <si>
    <t>KEPL/01643/82-83</t>
  </si>
  <si>
    <t>KEPL/01644/82-83</t>
  </si>
  <si>
    <t>KEPL/01648/82-83</t>
  </si>
  <si>
    <t>KEPL/01649/82-83</t>
  </si>
  <si>
    <t>KEPL/01658/82-83</t>
  </si>
  <si>
    <t>KEPL/01661/82-83</t>
  </si>
  <si>
    <t>KEPL/01666/82-83</t>
  </si>
  <si>
    <t>KEPL/01668/82-83</t>
  </si>
  <si>
    <t>KEPL/01672/82-83</t>
  </si>
  <si>
    <t xml:space="preserve">SALEWAYS CASH AND CARRY PVT LTD </t>
  </si>
  <si>
    <t>KEPL/01673/82-83</t>
  </si>
  <si>
    <t>KEPL/01674/82-83</t>
  </si>
  <si>
    <t>KEPL/01675/82-83</t>
  </si>
  <si>
    <t>KEPL/01677/82-83</t>
  </si>
  <si>
    <t>EMERALD TRADE LINK</t>
  </si>
  <si>
    <t>KEPL/01678/82-83</t>
  </si>
  <si>
    <t>KEPL/01776/82-83</t>
  </si>
  <si>
    <t>KEPL/01777/82-83</t>
  </si>
  <si>
    <t>KEPL/01780/82-83</t>
  </si>
  <si>
    <t>KEPL/01783/82-83</t>
  </si>
  <si>
    <t>KEPL/01790/82-83</t>
  </si>
  <si>
    <t>KEPL/01791/82-83</t>
  </si>
  <si>
    <t>KEPL/01792/82-83</t>
  </si>
  <si>
    <t>KESR/0044/82-83</t>
  </si>
  <si>
    <t>KEPL/01803/82-83</t>
  </si>
  <si>
    <t>KEPL/01806/82-83</t>
  </si>
  <si>
    <t>KEPL/01807/82-83</t>
  </si>
  <si>
    <t>KEPL/01809/82-83</t>
  </si>
  <si>
    <t>KEPL/01831/82-83</t>
  </si>
  <si>
    <t>KESR/0048/82-83</t>
  </si>
  <si>
    <t>KESR/0049/82-83</t>
  </si>
  <si>
    <t>KEPL/01835/82-83</t>
  </si>
  <si>
    <t>KEPL/01838/82-83</t>
  </si>
  <si>
    <t>KEPL/01839/82-83</t>
  </si>
  <si>
    <t>KEPL/01840/82-83</t>
  </si>
  <si>
    <t>KEPL/01841/82-83</t>
  </si>
  <si>
    <t>KEPL/01842/82-83</t>
  </si>
  <si>
    <t>KEPL/01843/82-83</t>
  </si>
  <si>
    <t>KESR/0052/82-83</t>
  </si>
  <si>
    <t>KESR/0056/82-83</t>
  </si>
  <si>
    <t>KEPL/01872/82-83</t>
  </si>
  <si>
    <t>KEPL/01875/82-83</t>
  </si>
  <si>
    <t>KEPL/01901/82-83</t>
  </si>
  <si>
    <t>KEPL/01902/82-83</t>
  </si>
  <si>
    <t>KEPL/01903/82-83</t>
  </si>
  <si>
    <t>KEPL/01907/82-83</t>
  </si>
  <si>
    <t>KEPL/01910/82-83</t>
  </si>
  <si>
    <t>KEPL/01922/82-83</t>
  </si>
  <si>
    <t>KEPL/01929/82-83</t>
  </si>
  <si>
    <t>KEPL/01951/82-83</t>
  </si>
  <si>
    <t>KEPL/01952/82-83</t>
  </si>
  <si>
    <t>Jul-2025</t>
  </si>
  <si>
    <t>Aug-2025</t>
  </si>
  <si>
    <t>Sep-2025</t>
  </si>
  <si>
    <t>Oct-2025</t>
  </si>
  <si>
    <t>Nov-2025</t>
  </si>
  <si>
    <t>Dec-2025</t>
  </si>
  <si>
    <t>KEPL/01984/82-83</t>
  </si>
  <si>
    <t>VHANDAR MERCHANDISE PVT LTD</t>
  </si>
  <si>
    <t>KESR/0061/82-83</t>
  </si>
  <si>
    <t>KEPL/01985/82-83</t>
  </si>
  <si>
    <t>KESR/0063/82-83</t>
  </si>
  <si>
    <t>KESR/0064/82-83</t>
  </si>
  <si>
    <t>KESR/0065/82-83</t>
  </si>
  <si>
    <t>KEPL/01994/82-83</t>
  </si>
  <si>
    <t>KEPL/01995/82-83</t>
  </si>
  <si>
    <t>KEPL/02001/82-83</t>
  </si>
  <si>
    <t>THREE STAR KHADYA UDHYOG</t>
  </si>
  <si>
    <t>KEPL/02004/82-83</t>
  </si>
  <si>
    <t>KEPL/02014/82-83</t>
  </si>
  <si>
    <t>KEPL/02032/82-83</t>
  </si>
  <si>
    <t>KEPL/02033/82-83</t>
  </si>
  <si>
    <t>KEPL/02042/82-83</t>
  </si>
  <si>
    <t>KEPL/02053/82-83</t>
  </si>
  <si>
    <t>KEPL/02062/82-83</t>
  </si>
  <si>
    <t>SHREE BHOLEY SHANKAR KIRANA STORE</t>
  </si>
  <si>
    <t>KEPL/02075/82-83</t>
  </si>
  <si>
    <t>KESR/0070/82-83</t>
  </si>
  <si>
    <t>KESR/0073/82-83</t>
  </si>
  <si>
    <t>KESR/0074/82-83</t>
  </si>
  <si>
    <t>RED CHILLI POWDER 100GM*180</t>
  </si>
  <si>
    <t>CORINADER POWDER 200GM*100</t>
  </si>
  <si>
    <t>CORINADER POWDER 500GM*40</t>
  </si>
  <si>
    <t>KESR/0075/82-83</t>
  </si>
  <si>
    <t>KEPL/02149/82-83</t>
  </si>
  <si>
    <t>KEPL/02257/82-83</t>
  </si>
  <si>
    <t>KEPL/02270/82-83</t>
  </si>
  <si>
    <t>KEPL/02271/82-83</t>
  </si>
  <si>
    <t>KEPL/02272/82-83</t>
  </si>
  <si>
    <t>KEPL/02273/82-83</t>
  </si>
  <si>
    <t>KEPL/02274/82-83</t>
  </si>
  <si>
    <t>KEPL/02275/82-83</t>
  </si>
  <si>
    <t>KEPL/02276/82-83</t>
  </si>
  <si>
    <t>KEPL/02277/82-83</t>
  </si>
  <si>
    <t>KEPL/02278/82-83</t>
  </si>
  <si>
    <t>RED CHILLI PWDR 13GM*600</t>
  </si>
  <si>
    <t>KEPL/02279/82-83</t>
  </si>
  <si>
    <t>TURMERIC PWDR 20GM*600</t>
  </si>
  <si>
    <t>Feb-2026</t>
  </si>
  <si>
    <t>Avg</t>
  </si>
  <si>
    <t>SUBGROUP</t>
  </si>
  <si>
    <t>Blends</t>
  </si>
  <si>
    <t>Straight Pouch</t>
  </si>
  <si>
    <t>Straight Premium</t>
  </si>
  <si>
    <t>Sprinkler</t>
  </si>
  <si>
    <t>Cooking Paste</t>
  </si>
  <si>
    <t>Combo</t>
  </si>
  <si>
    <t>Hing</t>
  </si>
  <si>
    <t>Mini 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</si>
</sst>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6" x14ac:knownFonts="1">
    <font>
      <sz val="9"/>
      <color theme="1"/>
      <name val="Arial"/>
      <family val="2"/>
    </font>
    <font>
      <b/>
      <sz val="11"/>
      <name val="Calibri"/>
      <family val="2"/>
    </font>
    <font>
      <sz val="11"/>
      <name val="Calibri"/>
      <family val="2"/>
      <scheme val="minor"/>
    </font>
    <font>
      <sz val="11"/>
      <name val="Calibri"/>
      <family val="2"/>
      <scheme val="minor"/>
    </font>
    <font>
      <sz val="8"/>
      <name val="Arial"/>
      <family val="2"/>
    </font>
    <font>
      <b/>
      <sz val="11"/>
      <name val="Calibri"/>
      <family val="2"/>
    </font>
  </fonts>
  <fills count="4">
    <fill>
      <patternFill patternType="none"/>
    </fill>
    <fill>
      <patternFill patternType="gray125"/>
    </fill>
    <fill>
      <patternFill patternType="solid">
        <fgColor rgb="FF6495ED"/>
      </patternFill>
    </fill>
    <fill>
      <patternFill patternType="solid">
        <fgColor theme="5" tint="0.59999389629810485"/>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left" vertical="center"/>
    </xf>
    <xf numFmtId="0" fontId="0" fillId="0" borderId="2" xfId="0" pivotButton="1" applyBorder="1"/>
    <xf numFmtId="0" fontId="0" fillId="0" borderId="2" xfId="0" applyBorder="1"/>
    <xf numFmtId="0" fontId="0" fillId="0" borderId="2" xfId="0" applyBorder="1" applyAlignment="1">
      <alignment horizontal="left"/>
    </xf>
    <xf numFmtId="164" fontId="0" fillId="0" borderId="2" xfId="0" applyNumberFormat="1" applyBorder="1"/>
    <xf numFmtId="0" fontId="0" fillId="0" borderId="0" xfId="0" pivotButton="1"/>
    <xf numFmtId="0" fontId="0" fillId="0" borderId="0" xfId="0" applyAlignment="1">
      <alignment horizontal="left"/>
    </xf>
    <xf numFmtId="164" fontId="0" fillId="0" borderId="0" xfId="0" applyNumberFormat="1"/>
    <xf numFmtId="14" fontId="3" fillId="0" borderId="1" xfId="0" applyNumberFormat="1" applyFont="1" applyBorder="1" applyAlignment="1">
      <alignment horizontal="left" vertical="center"/>
    </xf>
    <xf numFmtId="0" fontId="3" fillId="0" borderId="1" xfId="0" applyFont="1" applyBorder="1" applyAlignment="1">
      <alignment horizontal="left" vertical="center"/>
    </xf>
    <xf numFmtId="164" fontId="3" fillId="0" borderId="1" xfId="0" applyNumberFormat="1" applyFont="1" applyBorder="1" applyAlignment="1">
      <alignment horizontal="right" vertical="center"/>
    </xf>
    <xf numFmtId="14"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164" fontId="5" fillId="2" borderId="1" xfId="0" applyNumberFormat="1" applyFont="1" applyFill="1" applyBorder="1" applyAlignment="1">
      <alignment horizontal="center" vertical="center"/>
    </xf>
    <xf numFmtId="164" fontId="2" fillId="0" borderId="1" xfId="0" applyNumberFormat="1" applyFont="1" applyBorder="1" applyAlignment="1">
      <alignment horizontal="right" vertical="center"/>
    </xf>
    <xf numFmtId="14" fontId="2" fillId="0" borderId="1" xfId="0" applyNumberFormat="1" applyFont="1" applyBorder="1" applyAlignment="1">
      <alignment horizontal="left" vertical="center"/>
    </xf>
    <xf numFmtId="0" fontId="0" fillId="0" borderId="3" xfId="0" applyFill="1" applyBorder="1"/>
    <xf numFmtId="0" fontId="1" fillId="3" borderId="2" xfId="0" applyFont="1" applyFill="1" applyBorder="1" applyAlignment="1">
      <alignment horizontal="left" vertical="center" wrapText="1"/>
    </xf>
    <xf numFmtId="164" fontId="2" fillId="0" borderId="4" xfId="0" applyNumberFormat="1" applyFont="1" applyBorder="1" applyAlignment="1">
      <alignment horizontal="center" vertical="center"/>
    </xf>
    <xf numFmtId="0" fontId="0" fillId="0" borderId="2" xfId="0" applyBorder="1" applyAlignment="1">
      <alignment horizontal="left" indent="1"/>
    </xf>
    <xf numFmtId="164" fontId="0" fillId="0" borderId="3" xfId="0" applyNumberFormat="1" applyFill="1" applyBorder="1"/>
  </cellXfs>
  <cellStyles count="1">
    <cellStyle name="Normal" xfId="0" builtinId="0"/>
  </cellStyles>
  <dxfs count="33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2257424</xdr:colOff>
      <xdr:row>3</xdr:row>
      <xdr:rowOff>123825</xdr:rowOff>
    </xdr:to>
    <mc:AlternateContent xmlns:mc="http://schemas.openxmlformats.org/markup-compatibility/2006" xmlns:a14="http://schemas.microsoft.com/office/drawing/2010/main">
      <mc:Choice Requires="a14">
        <xdr:graphicFrame macro="">
          <xdr:nvGraphicFramePr>
            <xdr:cNvPr id="2" name="QTR 1">
              <a:extLst>
                <a:ext uri="{FF2B5EF4-FFF2-40B4-BE49-F238E27FC236}">
                  <a16:creationId xmlns:a16="http://schemas.microsoft.com/office/drawing/2014/main" id="{6C158CC8-CD93-A558-A4BD-6EF4127C80D3}"/>
                </a:ext>
              </a:extLst>
            </xdr:cNvPr>
            <xdr:cNvGraphicFramePr/>
          </xdr:nvGraphicFramePr>
          <xdr:xfrm>
            <a:off x="0" y="0"/>
            <a:ext cx="0" cy="0"/>
          </xdr:xfrm>
          <a:graphic>
            <a:graphicData uri="http://schemas.microsoft.com/office/drawing/2010/slicer">
              <sle:slicer xmlns:sle="http://schemas.microsoft.com/office/drawing/2010/slicer" name="QTR 1"/>
            </a:graphicData>
          </a:graphic>
        </xdr:graphicFrame>
      </mc:Choice>
      <mc:Fallback xmlns="">
        <xdr:sp macro="" textlink="">
          <xdr:nvSpPr>
            <xdr:cNvPr id="0" name=""/>
            <xdr:cNvSpPr>
              <a:spLocks noTextEdit="1"/>
            </xdr:cNvSpPr>
          </xdr:nvSpPr>
          <xdr:spPr>
            <a:xfrm>
              <a:off x="0" y="0"/>
              <a:ext cx="2257424" cy="581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108586</xdr:rowOff>
    </xdr:from>
    <xdr:to>
      <xdr:col>0</xdr:col>
      <xdr:colOff>2247900</xdr:colOff>
      <xdr:row>7</xdr:row>
      <xdr:rowOff>78106</xdr:rowOff>
    </xdr:to>
    <mc:AlternateContent xmlns:mc="http://schemas.openxmlformats.org/markup-compatibility/2006" xmlns:a14="http://schemas.microsoft.com/office/drawing/2010/main">
      <mc:Choice Requires="a14">
        <xdr:graphicFrame macro="">
          <xdr:nvGraphicFramePr>
            <xdr:cNvPr id="3" name="FY 1">
              <a:extLst>
                <a:ext uri="{FF2B5EF4-FFF2-40B4-BE49-F238E27FC236}">
                  <a16:creationId xmlns:a16="http://schemas.microsoft.com/office/drawing/2014/main" id="{8016E8AD-196B-264C-D544-2897366578B7}"/>
                </a:ext>
              </a:extLst>
            </xdr:cNvPr>
            <xdr:cNvGraphicFramePr/>
          </xdr:nvGraphicFramePr>
          <xdr:xfrm>
            <a:off x="0" y="0"/>
            <a:ext cx="0" cy="0"/>
          </xdr:xfrm>
          <a:graphic>
            <a:graphicData uri="http://schemas.microsoft.com/office/drawing/2010/slicer">
              <sle:slicer xmlns:sle="http://schemas.microsoft.com/office/drawing/2010/slicer" name="FY 1"/>
            </a:graphicData>
          </a:graphic>
        </xdr:graphicFrame>
      </mc:Choice>
      <mc:Fallback xmlns="">
        <xdr:sp macro="" textlink="">
          <xdr:nvSpPr>
            <xdr:cNvPr id="0" name=""/>
            <xdr:cNvSpPr>
              <a:spLocks noTextEdit="1"/>
            </xdr:cNvSpPr>
          </xdr:nvSpPr>
          <xdr:spPr>
            <a:xfrm>
              <a:off x="0" y="545908"/>
              <a:ext cx="2247900" cy="552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9524</xdr:colOff>
      <xdr:row>4</xdr:row>
      <xdr:rowOff>0</xdr:rowOff>
    </xdr:from>
    <xdr:to>
      <xdr:col>0</xdr:col>
      <xdr:colOff>2057399</xdr:colOff>
      <xdr:row>8</xdr:row>
      <xdr:rowOff>28575</xdr:rowOff>
    </xdr:to>
    <mc:AlternateContent xmlns:mc="http://schemas.openxmlformats.org/markup-compatibility/2006" xmlns:a14="http://schemas.microsoft.com/office/drawing/2010/main">
      <mc:Choice Requires="a14">
        <xdr:graphicFrame macro="">
          <xdr:nvGraphicFramePr>
            <xdr:cNvPr id="2" name="QTR">
              <a:extLst>
                <a:ext uri="{FF2B5EF4-FFF2-40B4-BE49-F238E27FC236}">
                  <a16:creationId xmlns:a16="http://schemas.microsoft.com/office/drawing/2014/main" id="{428DF492-3E98-AC77-9E12-D8A0C40F8F7B}"/>
                </a:ext>
              </a:extLst>
            </xdr:cNvPr>
            <xdr:cNvGraphicFramePr/>
          </xdr:nvGraphicFramePr>
          <xdr:xfrm>
            <a:off x="0" y="0"/>
            <a:ext cx="0" cy="0"/>
          </xdr:xfrm>
          <a:graphic>
            <a:graphicData uri="http://schemas.microsoft.com/office/drawing/2010/slicer">
              <sle:slicer xmlns:sle="http://schemas.microsoft.com/office/drawing/2010/slicer" name="QTR"/>
            </a:graphicData>
          </a:graphic>
        </xdr:graphicFrame>
      </mc:Choice>
      <mc:Fallback xmlns="">
        <xdr:sp macro="" textlink="">
          <xdr:nvSpPr>
            <xdr:cNvPr id="0" name=""/>
            <xdr:cNvSpPr>
              <a:spLocks noTextEdit="1"/>
            </xdr:cNvSpPr>
          </xdr:nvSpPr>
          <xdr:spPr>
            <a:xfrm>
              <a:off x="9524" y="609600"/>
              <a:ext cx="2047875"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19051</xdr:rowOff>
    </xdr:from>
    <xdr:to>
      <xdr:col>0</xdr:col>
      <xdr:colOff>2057400</xdr:colOff>
      <xdr:row>4</xdr:row>
      <xdr:rowOff>9525</xdr:rowOff>
    </xdr:to>
    <mc:AlternateContent xmlns:mc="http://schemas.openxmlformats.org/markup-compatibility/2006" xmlns:a14="http://schemas.microsoft.com/office/drawing/2010/main">
      <mc:Choice Requires="a14">
        <xdr:graphicFrame macro="">
          <xdr:nvGraphicFramePr>
            <xdr:cNvPr id="3" name="FY">
              <a:extLst>
                <a:ext uri="{FF2B5EF4-FFF2-40B4-BE49-F238E27FC236}">
                  <a16:creationId xmlns:a16="http://schemas.microsoft.com/office/drawing/2014/main" id="{2DE1C429-7189-E0A7-144F-0BE74A39099C}"/>
                </a:ext>
              </a:extLst>
            </xdr:cNvPr>
            <xdr:cNvGraphicFramePr/>
          </xdr:nvGraphicFramePr>
          <xdr:xfrm>
            <a:off x="0" y="0"/>
            <a:ext cx="0" cy="0"/>
          </xdr:xfrm>
          <a:graphic>
            <a:graphicData uri="http://schemas.microsoft.com/office/drawing/2010/slicer">
              <sle:slicer xmlns:sle="http://schemas.microsoft.com/office/drawing/2010/slicer" name="FY"/>
            </a:graphicData>
          </a:graphic>
        </xdr:graphicFrame>
      </mc:Choice>
      <mc:Fallback xmlns="">
        <xdr:sp macro="" textlink="">
          <xdr:nvSpPr>
            <xdr:cNvPr id="0" name=""/>
            <xdr:cNvSpPr>
              <a:spLocks noTextEdit="1"/>
            </xdr:cNvSpPr>
          </xdr:nvSpPr>
          <xdr:spPr>
            <a:xfrm>
              <a:off x="0" y="19051"/>
              <a:ext cx="2057400" cy="600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 E N O V O" refreshedDate="46090.483830092591" createdVersion="8" refreshedVersion="8" minRefreshableVersion="3" recordCount="2190" xr:uid="{FEC22015-CDE9-4E7A-ACC4-51BE88F20507}">
  <cacheSource type="worksheet">
    <worksheetSource ref="A1:P2191" sheet="Main"/>
  </cacheSource>
  <cacheFields count="19">
    <cacheField name="Date" numFmtId="14">
      <sharedItems containsSemiMixedTypes="0" containsNonDate="0" containsDate="1" containsString="0" minDate="2023-12-22T00:00:00" maxDate="2026-01-31T00:00:00" count="479">
        <d v="2025-04-06T00:00:00"/>
        <d v="2025-04-07T00:00:00"/>
        <d v="2025-04-08T00:00:00"/>
        <d v="2025-04-13T00:00:00"/>
        <d v="2025-04-15T00:00:00"/>
        <d v="2025-04-17T00:00:00"/>
        <d v="2025-04-20T00:00:00"/>
        <d v="2025-04-23T00:00:00"/>
        <d v="2025-04-25T00:00:00"/>
        <d v="2025-04-27T00:00:00"/>
        <d v="2025-04-28T00:00:00"/>
        <d v="2025-04-29T00:00:00"/>
        <d v="2025-05-02T00:00:00"/>
        <d v="2025-05-04T00:00:00"/>
        <d v="2025-05-07T00:00:00"/>
        <d v="2025-05-08T00:00:00"/>
        <d v="2025-05-09T00:00:00"/>
        <d v="2025-05-15T00:00:00"/>
        <d v="2025-05-19T00:00:00"/>
        <d v="2025-05-20T00:00:00"/>
        <d v="2025-05-23T00:00:00"/>
        <d v="2025-05-25T00:00:00"/>
        <d v="2025-06-03T00:00:00"/>
        <d v="2025-06-08T00:00:00"/>
        <d v="2025-06-10T00:00:00"/>
        <d v="2025-06-11T00:00:00"/>
        <d v="2025-06-18T00:00:00"/>
        <d v="2025-06-22T00:00:00"/>
        <d v="2025-06-26T00:00:00"/>
        <d v="2025-06-30T00:00:00"/>
        <d v="2025-07-01T00:00:00"/>
        <d v="2025-07-03T00:00:00"/>
        <d v="2025-07-04T00:00:00"/>
        <d v="2025-07-06T00:00:00"/>
        <d v="2025-07-07T00:00:00"/>
        <d v="2025-07-10T00:00:00"/>
        <d v="2025-07-14T00:00:00"/>
        <d v="2025-07-15T00:00:00"/>
        <d v="2025-07-16T00:00:00"/>
        <d v="2025-07-22T00:00:00"/>
        <d v="2025-07-23T00:00:00"/>
        <d v="2025-07-28T00:00:00"/>
        <d v="2025-07-29T00:00:00"/>
        <d v="2025-07-31T00:00:00"/>
        <d v="2025-08-01T00:00:00"/>
        <d v="2025-08-04T00:00:00"/>
        <d v="2025-08-07T00:00:00"/>
        <d v="2025-08-08T00:00:00"/>
        <d v="2025-08-10T00:00:00"/>
        <d v="2025-08-12T00:00:00"/>
        <d v="2025-08-14T00:00:00"/>
        <d v="2025-08-15T00:00:00"/>
        <d v="2025-08-17T00:00:00"/>
        <d v="2025-08-20T00:00:00"/>
        <d v="2025-08-25T00:00:00"/>
        <d v="2025-08-31T00:00:00"/>
        <d v="2025-09-01T00:00:00"/>
        <d v="2025-09-04T00:00:00"/>
        <d v="2025-09-05T00:00:00"/>
        <d v="2025-09-07T00:00:00"/>
        <d v="2025-09-14T00:00:00"/>
        <d v="2025-09-15T00:00:00"/>
        <d v="2025-09-16T00:00:00"/>
        <d v="2025-09-19T00:00:00"/>
        <d v="2025-09-21T00:00:00"/>
        <d v="2025-09-22T00:00:00"/>
        <d v="2025-09-23T00:00:00"/>
        <d v="2025-09-24T00:00:00"/>
        <d v="2025-10-09T00:00:00"/>
        <d v="2025-10-10T00:00:00"/>
        <d v="2025-10-11T00:00:00"/>
        <d v="2025-10-12T00:00:00"/>
        <d v="2025-10-13T00:00:00"/>
        <d v="2025-10-14T00:00:00"/>
        <d v="2025-10-16T00:00:00"/>
        <d v="2025-10-17T00:00:00"/>
        <d v="2025-10-28T00:00:00"/>
        <d v="2025-10-31T00:00:00"/>
        <d v="2025-11-03T00:00:00"/>
        <d v="2025-11-04T00:00:00"/>
        <d v="2025-11-10T00:00:00"/>
        <d v="2025-11-16T00:00:00"/>
        <d v="2025-11-17T00:00:00"/>
        <d v="2025-11-21T00:00:00"/>
        <d v="2025-11-23T00:00:00"/>
        <d v="2025-11-27T00:00:00"/>
        <d v="2025-11-28T00:00:00"/>
        <d v="2025-11-30T00:00:00"/>
        <d v="2025-12-01T00:00:00"/>
        <d v="2025-12-04T00:00:00"/>
        <d v="2025-12-05T00:00:00"/>
        <d v="2025-12-08T00:00:00"/>
        <d v="2025-12-10T00:00:00"/>
        <d v="2025-12-11T00:00:00"/>
        <d v="2025-12-12T00:00:00"/>
        <d v="2025-12-14T00:00:00"/>
        <d v="2025-12-15T00:00:00"/>
        <d v="2025-12-16T00:00:00"/>
        <d v="2025-12-17T00:00:00"/>
        <d v="2025-12-18T00:00:00"/>
        <d v="2025-12-21T00:00:00"/>
        <d v="2025-12-22T00:00:00"/>
        <d v="2025-12-23T00:00:00"/>
        <d v="2025-12-26T00:00:00"/>
        <d v="2025-12-29T00:00:00"/>
        <d v="2025-12-30T00:00:00"/>
        <d v="2025-12-31T00:00:00"/>
        <d v="2026-01-04T00:00:00"/>
        <d v="2026-01-05T00:00:00"/>
        <d v="2026-01-06T00:00:00"/>
        <d v="2026-01-07T00:00:00"/>
        <d v="2026-01-08T00:00:00"/>
        <d v="2026-01-12T00:00:00"/>
        <d v="2026-01-13T00:00:00"/>
        <d v="2026-01-16T00:00:00"/>
        <d v="2026-01-19T00:00:00"/>
        <d v="2026-01-23T00:00:00"/>
        <d v="2026-01-27T00:00:00"/>
        <d v="2026-01-28T00:00:00"/>
        <d v="2026-01-29T00:00:00"/>
        <d v="2026-01-30T00:00:00"/>
        <d v="2024-05-26T00:00:00" u="1"/>
        <d v="2024-09-08T00:00:00" u="1"/>
        <d v="2024-12-30T00:00:00" u="1"/>
        <d v="2025-06-12T00:00:00" u="1"/>
        <d v="2025-08-03T00:00:00" u="1"/>
        <d v="2025-11-25T00:00:00" u="1"/>
        <d v="2024-01-18T00:00:00" u="1"/>
        <d v="2024-08-22T00:00:00" u="1"/>
        <d v="2025-05-26T00:00:00" u="1"/>
        <d v="2025-09-08T00:00:00" u="1"/>
        <d v="2024-04-14T00:00:00" u="1"/>
        <d v="2024-06-05T00:00:00" u="1"/>
        <d v="2024-09-27T00:00:00" u="1"/>
        <d v="2024-11-18T00:00:00" u="1"/>
        <d v="2025-03-09T00:00:00" u="1"/>
        <d v="2025-08-22T00:00:00" u="1"/>
        <d v="2024-03-28T00:00:00" u="1"/>
        <d v="2024-05-19T00:00:00" u="1"/>
        <d v="2024-07-10T00:00:00" u="1"/>
        <d v="2024-12-23T00:00:00" u="1"/>
        <d v="2025-02-23T00:00:00" u="1"/>
        <d v="2025-06-05T00:00:00" u="1"/>
        <d v="2025-11-18T00:00:00" u="1"/>
        <d v="2024-01-11T00:00:00" u="1"/>
        <d v="2024-06-24T00:00:00" u="1"/>
        <d v="2024-08-15T00:00:00" u="1"/>
        <d v="2024-10-06T00:00:00" u="1"/>
        <d v="2025-03-28T00:00:00" u="1"/>
        <d v="2024-02-16T00:00:00" u="1"/>
        <d v="2024-04-07T00:00:00" u="1"/>
        <d v="2024-07-29T00:00:00" u="1"/>
        <d v="2024-09-20T00:00:00" u="1"/>
        <d v="2024-11-11T00:00:00" u="1"/>
        <d v="2025-03-02T00:00:00" u="1"/>
        <d v="2025-06-24T00:00:00" u="1"/>
        <d v="2025-10-06T00:00:00" u="1"/>
        <d v="2024-01-30T00:00:00" u="1"/>
        <d v="2024-03-21T00:00:00" u="1"/>
        <d v="2024-07-03T00:00:00" u="1"/>
        <d v="2024-10-25T00:00:00" u="1"/>
        <d v="2025-02-16T00:00:00" u="1"/>
        <d v="2025-11-11T00:00:00" u="1"/>
        <d v="2024-06-17T00:00:00" u="1"/>
        <d v="2025-01-30T00:00:00" u="1"/>
        <d v="2025-03-21T00:00:00" u="1"/>
        <d v="2024-05-31T00:00:00" u="1"/>
        <d v="2024-07-22T00:00:00" u="1"/>
        <d v="2025-06-17T00:00:00" u="1"/>
        <d v="2024-01-23T00:00:00" u="1"/>
        <d v="2024-03-14T00:00:00" u="1"/>
        <d v="2024-08-27T00:00:00" u="1"/>
        <d v="2024-10-18T00:00:00" u="1"/>
        <d v="2025-09-13T00:00:00" u="1"/>
        <d v="2023-12-28T00:00:00" u="1"/>
        <d v="2024-02-28T00:00:00" u="1"/>
        <d v="2024-04-19T00:00:00" u="1"/>
        <d v="2024-06-10T00:00:00" u="1"/>
        <d v="2025-01-23T00:00:00" u="1"/>
        <d v="2025-03-14T00:00:00" u="1"/>
        <d v="2025-05-05T00:00:00" u="1"/>
        <d v="2025-08-27T00:00:00" u="1"/>
        <d v="2024-05-24T00:00:00" u="1"/>
        <d v="2025-02-28T00:00:00" u="1"/>
        <d v="2024-03-07T00:00:00" u="1"/>
        <d v="2024-02-21T00:00:00" u="1"/>
        <d v="2024-04-12T00:00:00" u="1"/>
        <d v="2024-09-25T00:00:00" u="1"/>
        <d v="2025-03-07T00:00:00" u="1"/>
        <d v="2024-03-26T00:00:00" u="1"/>
        <d v="2024-05-17T00:00:00" u="1"/>
        <d v="2024-07-08T00:00:00" u="1"/>
        <d v="2024-10-30T00:00:00" u="1"/>
        <d v="2025-02-21T00:00:00" u="1"/>
        <d v="2025-09-25T00:00:00" u="1"/>
        <d v="2024-01-09T00:00:00" u="1"/>
        <d v="2024-08-13T00:00:00" u="1"/>
        <d v="2025-03-26T00:00:00" u="1"/>
        <d v="2025-07-08T00:00:00" u="1"/>
        <d v="2024-02-14T00:00:00" u="1"/>
        <d v="2024-09-18T00:00:00" u="1"/>
        <d v="2025-01-09T00:00:00" u="1"/>
        <d v="2025-08-13T00:00:00" u="1"/>
        <d v="2024-01-28T00:00:00" u="1"/>
        <d v="2024-05-10T00:00:00" u="1"/>
        <d v="2024-10-23T00:00:00" u="1"/>
        <d v="2025-02-14T00:00:00" u="1"/>
        <d v="2025-07-27T00:00:00" u="1"/>
        <d v="2025-09-18T00:00:00" u="1"/>
        <d v="2024-04-24T00:00:00" u="1"/>
        <d v="2024-08-06T00:00:00" u="1"/>
        <d v="2024-11-28T00:00:00" u="1"/>
        <d v="2025-01-28T00:00:00" u="1"/>
        <d v="2025-03-19T00:00:00" u="1"/>
        <d v="2024-02-07T00:00:00" u="1"/>
        <d v="2024-09-11T00:00:00" u="1"/>
        <d v="2025-06-15T00:00:00" u="1"/>
        <d v="2024-01-21T00:00:00" u="1"/>
        <d v="2024-03-12T00:00:00" u="1"/>
        <d v="2024-08-25T00:00:00" u="1"/>
        <d v="2024-10-16T00:00:00" u="1"/>
        <d v="2025-02-07T00:00:00" u="1"/>
        <d v="2025-05-29T00:00:00" u="1"/>
        <d v="2025-11-02T00:00:00" u="1"/>
        <d v="2023-12-26T00:00:00" u="1"/>
        <d v="2024-02-26T00:00:00" u="1"/>
        <d v="2024-04-17T00:00:00" u="1"/>
        <d v="2024-09-30T00:00:00" u="1"/>
        <d v="2024-11-21T00:00:00" u="1"/>
        <d v="2025-01-21T00:00:00" u="1"/>
        <d v="2025-03-12T00:00:00" u="1"/>
        <d v="2024-03-31T00:00:00" u="1"/>
        <d v="2024-05-22T00:00:00" u="1"/>
        <d v="2024-12-26T00:00:00" u="1"/>
        <d v="2024-01-14T00:00:00" u="1"/>
        <d v="2024-03-05T00:00:00" u="1"/>
        <d v="2024-06-27T00:00:00" u="1"/>
        <d v="2024-08-18T00:00:00" u="1"/>
        <d v="2025-03-31T00:00:00" u="1"/>
        <d v="2025-07-13T00:00:00" u="1"/>
        <d v="2024-02-19T00:00:00" u="1"/>
        <d v="2024-04-10T00:00:00" u="1"/>
        <d v="2024-09-23T00:00:00" u="1"/>
        <d v="2025-01-14T00:00:00" u="1"/>
        <d v="2025-03-05T00:00:00" u="1"/>
        <d v="2025-06-27T00:00:00" u="1"/>
        <d v="2025-08-18T00:00:00" u="1"/>
        <d v="2024-05-15T00:00:00" u="1"/>
        <d v="2024-10-28T00:00:00" u="1"/>
        <d v="2024-12-19T00:00:00" u="1"/>
        <d v="2025-02-19T00:00:00" u="1"/>
        <d v="2025-04-10T00:00:00" u="1"/>
        <d v="2025-06-01T00:00:00" u="1"/>
        <d v="2024-01-07T00:00:00" u="1"/>
        <d v="2025-03-24T00:00:00" u="1"/>
        <d v="2024-02-12T00:00:00" u="1"/>
        <d v="2024-07-25T00:00:00" u="1"/>
        <d v="2024-09-16T00:00:00" u="1"/>
        <d v="2025-01-07T00:00:00" u="1"/>
        <d v="2025-06-20T00:00:00" u="1"/>
        <d v="2025-08-11T00:00:00" u="1"/>
        <d v="2024-01-26T00:00:00" u="1"/>
        <d v="2024-03-17T00:00:00" u="1"/>
        <d v="2024-05-08T00:00:00" u="1"/>
        <d v="2024-08-30T00:00:00" u="1"/>
        <d v="2024-10-21T00:00:00" u="1"/>
        <d v="2024-12-12T00:00:00" u="1"/>
        <d v="2025-02-12T00:00:00" u="1"/>
        <d v="2025-04-03T00:00:00" u="1"/>
        <d v="2025-07-25T00:00:00" u="1"/>
        <d v="2025-11-07T00:00:00" u="1"/>
        <d v="2023-12-31T00:00:00" u="1"/>
        <d v="2024-04-22T00:00:00" u="1"/>
        <d v="2024-06-13T00:00:00" u="1"/>
        <d v="2024-11-26T00:00:00" u="1"/>
        <d v="2025-01-26T00:00:00" u="1"/>
        <d v="2025-03-17T00:00:00" u="1"/>
        <d v="2024-05-27T00:00:00" u="1"/>
        <d v="2024-09-09T00:00:00" u="1"/>
        <d v="2024-12-31T00:00:00" u="1"/>
        <d v="2025-06-13T00:00:00" u="1"/>
        <d v="2025-11-26T00:00:00" u="1"/>
        <d v="2024-01-19T00:00:00" u="1"/>
        <d v="2024-03-10T00:00:00" u="1"/>
        <d v="2024-12-05T00:00:00" u="1"/>
        <d v="2025-02-05T00:00:00" u="1"/>
        <d v="2025-05-27T00:00:00" u="1"/>
        <d v="2024-04-15T00:00:00" u="1"/>
        <d v="2024-06-06T00:00:00" u="1"/>
        <d v="2025-01-19T00:00:00" u="1"/>
        <d v="2025-03-10T00:00:00" u="1"/>
        <d v="2024-03-29T00:00:00" u="1"/>
        <d v="2024-09-02T00:00:00" u="1"/>
        <d v="2024-12-24T00:00:00" u="1"/>
        <d v="2025-02-24T00:00:00" u="1"/>
        <d v="2025-09-28T00:00:00" u="1"/>
        <d v="2025-11-19T00:00:00" u="1"/>
        <d v="2024-06-25T00:00:00" u="1"/>
        <d v="2024-08-16T00:00:00" u="1"/>
        <d v="2024-10-07T00:00:00" u="1"/>
        <d v="2025-09-02T00:00:00" u="1"/>
        <d v="2024-04-08T00:00:00" u="1"/>
        <d v="2024-07-30T00:00:00" u="1"/>
        <d v="2025-01-12T00:00:00" u="1"/>
        <d v="2025-03-03T00:00:00" u="1"/>
        <d v="2025-06-25T00:00:00" u="1"/>
        <d v="2024-01-31T00:00:00" u="1"/>
        <d v="2024-03-22T00:00:00" u="1"/>
        <d v="2024-07-04T00:00:00" u="1"/>
        <d v="2024-12-17T00:00:00" u="1"/>
        <d v="2025-02-17T00:00:00" u="1"/>
        <d v="2025-07-30T00:00:00" u="1"/>
        <d v="2025-11-12T00:00:00" u="1"/>
        <d v="2024-01-05T00:00:00" u="1"/>
        <d v="2024-06-18T00:00:00" u="1"/>
        <d v="2025-01-31T00:00:00" u="1"/>
        <d v="2024-07-23T00:00:00" u="1"/>
        <d v="2024-01-24T00:00:00" u="1"/>
        <d v="2024-08-28T00:00:00" u="1"/>
        <d v="2024-12-10T00:00:00" u="1"/>
        <d v="2025-02-10T00:00:00" u="1"/>
        <d v="2025-04-01T00:00:00" u="1"/>
        <d v="2025-11-05T00:00:00" u="1"/>
        <d v="2023-12-29T00:00:00" u="1"/>
        <d v="2024-02-29T00:00:00" u="1"/>
        <d v="2024-06-11T00:00:00" u="1"/>
        <d v="2025-08-28T00:00:00" u="1"/>
        <d v="2024-12-29T00:00:00" u="1"/>
        <d v="2025-11-24T00:00:00" u="1"/>
        <d v="2024-01-17T00:00:00" u="1"/>
        <d v="2024-06-30T00:00:00" u="1"/>
        <d v="2024-08-21T00:00:00" u="1"/>
        <d v="2025-02-03T00:00:00" u="1"/>
        <d v="2023-12-22T00:00:00" u="1"/>
        <d v="2024-02-22T00:00:00" u="1"/>
        <d v="2024-06-04T00:00:00" u="1"/>
        <d v="2024-09-26T00:00:00" u="1"/>
        <d v="2024-11-17T00:00:00" u="1"/>
        <d v="2025-01-17T00:00:00" u="1"/>
        <d v="2025-08-21T00:00:00" u="1"/>
        <d v="2024-03-27T00:00:00" u="1"/>
        <d v="2024-07-09T00:00:00" u="1"/>
        <d v="2025-06-04T00:00:00" u="1"/>
        <d v="2024-08-14T00:00:00" u="1"/>
        <d v="2025-03-27T00:00:00" u="1"/>
        <d v="2025-05-18T00:00:00" u="1"/>
        <d v="2025-07-09T00:00:00" u="1"/>
        <d v="2024-02-15T00:00:00" u="1"/>
        <d v="2024-07-28T00:00:00" u="1"/>
        <d v="2024-09-19T00:00:00" u="1"/>
        <d v="2025-01-10T00:00:00" u="1"/>
        <d v="2025-06-23T00:00:00" u="1"/>
        <d v="2024-01-29T00:00:00" u="1"/>
        <d v="2024-03-20T00:00:00" u="1"/>
        <d v="2024-10-24T00:00:00" u="1"/>
        <d v="2024-12-15T00:00:00" u="1"/>
        <d v="2024-01-03T00:00:00" u="1"/>
        <d v="2024-04-25T00:00:00" u="1"/>
        <d v="2024-06-16T00:00:00" u="1"/>
        <d v="2024-08-07T00:00:00" u="1"/>
        <d v="2024-11-29T00:00:00" u="1"/>
        <d v="2025-01-29T00:00:00" u="1"/>
        <d v="2025-03-20T00:00:00" u="1"/>
        <d v="2025-05-11T00:00:00" u="1"/>
        <d v="2025-07-02T00:00:00" u="1"/>
        <d v="2024-02-08T00:00:00" u="1"/>
        <d v="2024-07-21T00:00:00" u="1"/>
        <d v="2024-09-12T00:00:00" u="1"/>
        <d v="2025-01-03T00:00:00" u="1"/>
        <d v="2025-06-16T00:00:00" u="1"/>
        <d v="2024-01-22T00:00:00" u="1"/>
        <d v="2024-03-13T00:00:00" u="1"/>
        <d v="2024-10-17T00:00:00" u="1"/>
        <d v="2024-12-08T00:00:00" u="1"/>
        <d v="2025-05-30T00:00:00" u="1"/>
        <d v="2025-07-21T00:00:00" u="1"/>
        <d v="2023-12-27T00:00:00" u="1"/>
        <d v="2024-02-27T00:00:00" u="1"/>
        <d v="2024-04-18T00:00:00" u="1"/>
        <d v="2024-11-22T00:00:00" u="1"/>
        <d v="2025-01-22T00:00:00" u="1"/>
        <d v="2024-05-23T00:00:00" u="1"/>
        <d v="2024-07-14T00:00:00" u="1"/>
        <d v="2024-09-05T00:00:00" u="1"/>
        <d v="2025-04-18T00:00:00" u="1"/>
        <d v="2025-06-09T00:00:00" u="1"/>
        <d v="2024-01-15T00:00:00" u="1"/>
        <d v="2024-03-06T00:00:00" u="1"/>
        <d v="2024-06-28T00:00:00" u="1"/>
        <d v="2024-04-11T00:00:00" u="1"/>
        <d v="2024-09-24T00:00:00" u="1"/>
        <d v="2024-11-15T00:00:00" u="1"/>
        <d v="2025-01-15T00:00:00" u="1"/>
        <d v="2025-08-19T00:00:00" u="1"/>
        <d v="2024-03-25T00:00:00" u="1"/>
        <d v="2024-05-16T00:00:00" u="1"/>
        <d v="2024-10-29T00:00:00" u="1"/>
        <d v="2024-12-20T00:00:00" u="1"/>
        <d v="2025-02-20T00:00:00" u="1"/>
        <d v="2024-01-08T00:00:00" u="1"/>
        <d v="2024-04-30T00:00:00" u="1"/>
        <d v="2024-06-21T00:00:00" u="1"/>
        <d v="2024-08-12T00:00:00" u="1"/>
        <d v="2025-03-25T00:00:00" u="1"/>
        <d v="2025-10-29T00:00:00" u="1"/>
        <d v="2024-02-13T00:00:00" u="1"/>
        <d v="2024-04-04T00:00:00" u="1"/>
        <d v="2024-09-17T00:00:00" u="1"/>
        <d v="2025-04-30T00:00:00" u="1"/>
        <d v="2024-03-18T00:00:00" u="1"/>
        <d v="2024-05-09T00:00:00" u="1"/>
        <d v="2024-10-22T00:00:00" u="1"/>
        <d v="2025-02-13T00:00:00" u="1"/>
        <d v="2025-04-04T00:00:00" u="1"/>
        <d v="2025-09-17T00:00:00" u="1"/>
        <d v="2024-04-23T00:00:00" u="1"/>
        <d v="2024-06-14T00:00:00" u="1"/>
        <d v="2024-08-05T00:00:00" u="1"/>
        <d v="2024-11-27T00:00:00" u="1"/>
        <d v="2025-01-27T00:00:00" u="1"/>
        <d v="2025-03-18T00:00:00" u="1"/>
        <d v="2024-02-06T00:00:00" u="1"/>
        <d v="2024-05-28T00:00:00" u="1"/>
        <d v="2024-07-19T00:00:00" u="1"/>
        <d v="2024-09-10T00:00:00" u="1"/>
        <d v="2025-01-01T00:00:00" u="1"/>
        <d v="2025-08-05T00:00:00" u="1"/>
        <d v="2024-03-11T00:00:00" u="1"/>
        <d v="2024-05-02T00:00:00" u="1"/>
        <d v="2024-12-06T00:00:00" u="1"/>
        <d v="2025-02-06T00:00:00" u="1"/>
        <d v="2023-12-25T00:00:00" u="1"/>
        <d v="2024-02-25T00:00:00" u="1"/>
        <d v="2024-04-16T00:00:00" u="1"/>
        <d v="2024-06-07T00:00:00" u="1"/>
        <d v="2025-01-20T00:00:00" u="1"/>
        <d v="2025-03-11T00:00:00" u="1"/>
        <d v="2025-10-15T00:00:00" u="1"/>
        <d v="2024-05-21T00:00:00" u="1"/>
        <d v="2024-07-12T00:00:00" u="1"/>
        <d v="2024-12-25T00:00:00" u="1"/>
        <d v="2025-02-25T00:00:00" u="1"/>
        <d v="2025-04-16T00:00:00" u="1"/>
        <d v="2025-11-20T00:00:00" u="1"/>
        <d v="2024-03-04T00:00:00" u="1"/>
        <d v="2024-06-26T00:00:00" u="1"/>
        <d v="2024-10-08T00:00:00" u="1"/>
        <d v="2025-03-30T00:00:00" u="1"/>
        <d v="2024-02-18T00:00:00" u="1"/>
        <d v="2024-04-09T00:00:00" u="1"/>
        <d v="2024-07-31T00:00:00" u="1"/>
        <d v="2024-09-22T00:00:00" u="1"/>
        <d v="2024-11-13T00:00:00" u="1"/>
        <d v="2025-01-13T00:00:00" u="1"/>
        <d v="2025-03-04T00:00:00" u="1"/>
        <d v="2024-10-27T00:00:00" u="1"/>
        <d v="2024-12-18T00:00:00" u="1"/>
        <d v="2025-04-09T00:00:00" u="1"/>
        <d v="2024-10-01T00:00:00" u="1"/>
        <d v="2025-03-23T00:00:00" u="1"/>
        <d v="2025-05-14T00:00:00" u="1"/>
        <d v="2024-02-11T00:00:00" u="1"/>
        <d v="2024-04-02T00:00:00" u="1"/>
        <d v="2024-07-24T00:00:00" u="1"/>
        <d v="2024-09-15T00:00:00" u="1"/>
        <d v="2025-01-06T00:00:00" u="1"/>
        <d v="2025-06-19T00:00:00" u="1"/>
        <d v="2024-01-25T00:00:00" u="1"/>
        <d v="2024-05-07T00:00:00" u="1"/>
        <d v="2024-08-29T00:00:00" u="1"/>
        <d v="2024-12-11T00:00:00" u="1"/>
        <d v="2025-02-11T00:00:00" u="1"/>
        <d v="2025-07-24T00:00:00" u="1"/>
        <d v="2025-11-06T00:00:00" u="1"/>
        <d v="2024-04-21T00:00:00" u="1"/>
        <d v="2024-06-12T00:00:00" u="1"/>
        <d v="2024-11-25T00:00:00" u="1"/>
        <d v="2025-03-16T00:00:00" u="1"/>
        <d v="2025-08-29T00:00:00" u="1"/>
      </sharedItems>
      <fieldGroup par="18"/>
    </cacheField>
    <cacheField name="Month" numFmtId="0">
      <sharedItems count="26">
        <s v="Apr-2025"/>
        <s v="May-2025"/>
        <s v="Jun-2025"/>
        <s v="Jul-2025"/>
        <s v="Aug-2025"/>
        <s v="Sep-2025"/>
        <s v="Oct-2025"/>
        <s v="Nov-2025"/>
        <s v="Dec-2025"/>
        <s v="Jan-2026"/>
        <s v="Mar-2025" u="1"/>
        <s v="Nov-2024" u="1"/>
        <s v="Dec-2024" u="1"/>
        <s v="Oct-2024" u="1"/>
        <s v="Jul-2024" u="1"/>
        <s v="Mar-2024" u="1"/>
        <s v="Aug-2024" u="1"/>
        <s v="Jun-2024" u="1"/>
        <s v="Dec-2023" u="1"/>
        <s v="May-2024" u="1"/>
        <s v="Jan-2025" u="1"/>
        <s v="Feb-2025" u="1"/>
        <s v="Sep-2024" u="1"/>
        <s v="Jan-2024" u="1"/>
        <s v="Feb-2024" u="1"/>
        <s v="Apr-2024" u="1"/>
      </sharedItems>
    </cacheField>
    <cacheField name="QTR" numFmtId="0">
      <sharedItems/>
    </cacheField>
    <cacheField name="FY" numFmtId="0">
      <sharedItems count="3">
        <s v="2025-26"/>
        <s v="2024-25" u="1"/>
        <s v="2023-24" u="1"/>
      </sharedItems>
    </cacheField>
    <cacheField name="Inv.No" numFmtId="0">
      <sharedItems/>
    </cacheField>
    <cacheField name="Customer" numFmtId="0">
      <sharedItems/>
    </cacheField>
    <cacheField name="SUBGROUP" numFmtId="0">
      <sharedItems/>
    </cacheField>
    <cacheField name="Product" numFmtId="0">
      <sharedItems count="81">
        <s v="CHATPATA CHAT MASALA 50GM*180"/>
        <s v="DHANIA POWDER 200GM*100"/>
        <s v="MEAT MASALA 50GM*180"/>
        <s v="RED CHILLI POWDER 500GM*40"/>
        <s v="DHANIA POWDER 500GM*40"/>
        <s v="KASHMIRI MIRCH POWDER 50GM*180"/>
        <s v="RED CHILLI POWDER 200GM*100"/>
        <s v="BLACK PEPPER POWDER 50GM*120"/>
        <s v="KASURI METHI 25GM*120"/>
        <s v="GARAM MASALA 50GM*180"/>
        <s v="SABZI MASALA 50GM*180"/>
        <s v="CHICKEN MASALA 50GM*180"/>
        <s v="TURMERIC POWDER 500GM*40"/>
        <s v="TURMERIC POWDER 200GM*100"/>
        <s v="GARAM MASALA 100GM*180"/>
        <s v="SABZI MASALA 100GM*180"/>
        <s v="CHATPATA CHAT MASALA 100GM*120"/>
        <s v="MEAT MASALA 100GM*180"/>
        <s v="BIRYANI MASALA 50GM*120"/>
        <s v="KITCHEN KING 100GM*180"/>
        <s v="CHICKEN MASALA 100GM*120"/>
        <s v="SHAHI PANEER MASALA 100GM*80"/>
        <s v="BLACK PEPPER POWDER 100GM*40"/>
        <s v="KASHMIRI MIRCH POWDER 100GM*180"/>
        <s v="WHITE PEPPER POWDER 100GM*40"/>
        <s v="BLACK PEPPER 100GM*48"/>
        <s v="CHAT MASALA 100GM*72"/>
        <s v="MOMO MASALA 100GM*120"/>
        <s v="AMCHUR POWDER 100GM*80"/>
        <s v="SCHEZWAN PASTE 100GM*120"/>
        <s v="GINGER GARLIC 200GM*60"/>
        <s v="PERI PERI 90GM*72"/>
        <s v="MOMO MASALA 50GM*120"/>
        <s v="AMCHOOR POWDER 50GM*180"/>
        <s v="WHITE PEPPER POWDER 50GM*80"/>
        <s v="RAITA MASALA 100GM*80"/>
        <s v="RAJMA MASALA 100GM*80"/>
        <s v="PANEER MASALA 50GM*180"/>
        <s v="PAV BHAJI MASALA 50GM*120"/>
        <s v="CHHOLE MASALA 50GM*180"/>
        <s v="SAMBHAR MASALA 50GM*120"/>
        <s v="CHHOLE MASALA 100GM*120"/>
        <s v="FISH CURRY MASALA 50GM*120"/>
        <s v="ITALIAN COMBO (OREGANO+CHILLI FLAKES) 33GM*60"/>
        <s v="JALJEERA POWDER 100GM*180"/>
        <s v="SAMBHAR MASALA 100GM*80"/>
        <s v="RAITA MASALA SPRINKLER 50GM*100"/>
        <s v="CHAT MASALA 50GM*100"/>
        <s v="KITCHEN KING MASALA 50GM*180"/>
        <s v="COMPOUNDED HING 50GM*120"/>
        <s v="COMPOUNDED HING 25GM*200"/>
        <s v="COMPOUNDED HING 100GM*60"/>
        <s v="PASTA &amp; PIZZA SEASONING 75GM*72"/>
        <s v="BSK SF Cream Cracker 300gm*20" u="1"/>
        <s v="BSK Heylo Custard Cookies 200g*30" u="1"/>
        <s v="BSK Top Gold 200g*24" u="1"/>
        <s v="BSK Rich Marie 280g*20" u="1"/>
        <s v="BSK Marie SF 300gm*20" u="1"/>
        <s v="BSK Eatfit Digestive 100% Atta 175gm*30" u="1"/>
        <s v="BSK Top Herb 57g*72" u="1"/>
        <s v="BSK Googly 225g*24" u="1"/>
        <s v="BSK Top Tadka 180g*30" u="1"/>
        <s v="BSK Rich Marie 300g*20" u="1"/>
        <s v="BSK GOOGLY 240GM*24 " u="1"/>
        <s v="BSK Top Gold 60g*72" u="1"/>
        <s v="BSK Masala Cream Cracker SF 250g*24" u="1"/>
        <s v="BSK Sugar Free Cream Cracker 300g*20" u="1"/>
        <s v="BSK Bread Ruskit Milk 180g*24" u="1"/>
        <s v="BSK Top Gold 56g*72" u="1"/>
        <s v="PINK ROCK SALT 1KG*20" u="1"/>
        <s v="CORINADER POWDER 200GM*100" u="1"/>
        <s v="BSK Half Half Masti 175g*36" u="1"/>
        <s v="BSK Top Herbs 200g*30" u="1"/>
        <s v="RED CHILLI POWDER 100GM*180" u="1"/>
        <s v="BSK Googly 190g+50g Extra(BIG)*24" u="1"/>
        <s v="BSK English Cracker 150gm*40" u="1"/>
        <s v="BSK Bread Ruskit Gold  180g*24" u="1"/>
        <s v="BSK Top Gold 185g*24" u="1"/>
        <s v="BSK Top Herb 60g*72" u="1"/>
        <s v="CORINADER POWDER 500GM*40" u="1"/>
        <s v="BSK Bread Ruskit Gold 180g*24" u="1"/>
      </sharedItems>
    </cacheField>
    <cacheField name="Alt Qty" numFmtId="164">
      <sharedItems containsSemiMixedTypes="0" containsString="0" containsNumber="1" minValue="-2.42" maxValue="14"/>
    </cacheField>
    <cacheField name="Qty" numFmtId="164">
      <sharedItems containsSemiMixedTypes="0" containsString="0" containsNumber="1" containsInteger="1" minValue="-365" maxValue="2520"/>
    </cacheField>
    <cacheField name="Rate" numFmtId="164">
      <sharedItems containsSemiMixedTypes="0" containsString="0" containsNumber="1" minValue="0" maxValue="483.38"/>
    </cacheField>
    <cacheField name="Basic Amount" numFmtId="164">
      <sharedItems containsSemiMixedTypes="0" containsString="0" containsNumber="1" minValue="-38788.050000000003" maxValue="328554"/>
    </cacheField>
    <cacheField name="Discount" numFmtId="164">
      <sharedItems containsMixedTypes="1" containsNumber="1" minValue="-29865.56" maxValue="2903.68"/>
    </cacheField>
    <cacheField name="Cash Discount" numFmtId="164">
      <sharedItems containsMixedTypes="1" containsNumber="1" minValue="-4125.6000000000004" maxValue="706.12884300000007"/>
    </cacheField>
    <cacheField name="VAT" numFmtId="164">
      <sharedItems containsMixedTypes="1" containsNumber="1" minValue="-4848.8163290000002" maxValue="38829.497553999994"/>
    </cacheField>
    <cacheField name="Total Amount" numFmtId="164">
      <sharedItems containsSemiMixedTypes="0" containsString="0" containsNumber="1" minValue="-42147.406328999998" maxValue="337517.937554"/>
    </cacheField>
    <cacheField name="Months (Date)" numFmtId="0" databaseField="0">
      <fieldGroup base="0">
        <rangePr groupBy="months" startDate="2025-04-06T00:00:00" endDate="2026-01-31T00:00:00"/>
        <groupItems count="14">
          <s v="&lt;4/6/2025"/>
          <s v="Jan"/>
          <s v="Feb"/>
          <s v="Mar"/>
          <s v="Apr"/>
          <s v="May"/>
          <s v="Jun"/>
          <s v="Jul"/>
          <s v="Aug"/>
          <s v="Sep"/>
          <s v="Oct"/>
          <s v="Nov"/>
          <s v="Dec"/>
          <s v="&gt;1/31/2026"/>
        </groupItems>
      </fieldGroup>
    </cacheField>
    <cacheField name="Quarters (Date)" numFmtId="0" databaseField="0">
      <fieldGroup base="0">
        <rangePr groupBy="quarters" startDate="2025-04-06T00:00:00" endDate="2026-01-31T00:00:00"/>
        <groupItems count="6">
          <s v="&lt;4/6/2025"/>
          <s v="Qtr1"/>
          <s v="Qtr2"/>
          <s v="Qtr3"/>
          <s v="Qtr4"/>
          <s v="&gt;1/31/2026"/>
        </groupItems>
      </fieldGroup>
    </cacheField>
    <cacheField name="Years (Date)" numFmtId="0" databaseField="0">
      <fieldGroup base="0">
        <rangePr groupBy="years" startDate="2025-04-06T00:00:00" endDate="2026-01-31T00:00:00"/>
        <groupItems count="4">
          <s v="&lt;4/6/2025"/>
          <s v="2025"/>
          <s v="2026"/>
          <s v="&gt;1/31/2026"/>
        </groupItems>
      </fieldGroup>
    </cacheField>
  </cacheFields>
  <extLst>
    <ext xmlns:x14="http://schemas.microsoft.com/office/spreadsheetml/2009/9/main" uri="{725AE2AE-9491-48be-B2B4-4EB974FC3084}">
      <x14:pivotCacheDefinition pivotCacheId="16187929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 E N O V O" refreshedDate="46090.486596064817" createdVersion="7" refreshedVersion="8" minRefreshableVersion="3" recordCount="2350" xr:uid="{F825BA02-08E1-4752-87AF-404E9DBF6CD0}">
  <cacheSource type="worksheet">
    <worksheetSource ref="A1:P2351" sheet="Main"/>
  </cacheSource>
  <cacheFields count="19">
    <cacheField name="Date" numFmtId="14">
      <sharedItems containsSemiMixedTypes="0" containsNonDate="0" containsDate="1" containsString="0" minDate="2025-04-06T00:00:00" maxDate="2026-03-01T00:00:00" count="135">
        <d v="2025-04-06T00:00:00"/>
        <d v="2025-04-07T00:00:00"/>
        <d v="2025-04-08T00:00:00"/>
        <d v="2025-04-13T00:00:00"/>
        <d v="2025-04-15T00:00:00"/>
        <d v="2025-04-17T00:00:00"/>
        <d v="2025-04-20T00:00:00"/>
        <d v="2025-04-23T00:00:00"/>
        <d v="2025-04-25T00:00:00"/>
        <d v="2025-04-27T00:00:00"/>
        <d v="2025-04-28T00:00:00"/>
        <d v="2025-04-29T00:00:00"/>
        <d v="2025-05-02T00:00:00"/>
        <d v="2025-05-04T00:00:00"/>
        <d v="2025-05-07T00:00:00"/>
        <d v="2025-05-08T00:00:00"/>
        <d v="2025-05-09T00:00:00"/>
        <d v="2025-05-15T00:00:00"/>
        <d v="2025-05-19T00:00:00"/>
        <d v="2025-05-20T00:00:00"/>
        <d v="2025-05-23T00:00:00"/>
        <d v="2025-05-25T00:00:00"/>
        <d v="2025-06-03T00:00:00"/>
        <d v="2025-06-08T00:00:00"/>
        <d v="2025-06-10T00:00:00"/>
        <d v="2025-06-11T00:00:00"/>
        <d v="2025-06-18T00:00:00"/>
        <d v="2025-06-22T00:00:00"/>
        <d v="2025-06-26T00:00:00"/>
        <d v="2025-06-30T00:00:00"/>
        <d v="2025-07-01T00:00:00"/>
        <d v="2025-07-03T00:00:00"/>
        <d v="2025-07-04T00:00:00"/>
        <d v="2025-07-06T00:00:00"/>
        <d v="2025-07-07T00:00:00"/>
        <d v="2025-07-10T00:00:00"/>
        <d v="2025-07-14T00:00:00"/>
        <d v="2025-07-15T00:00:00"/>
        <d v="2025-07-16T00:00:00"/>
        <d v="2025-07-22T00:00:00"/>
        <d v="2025-07-23T00:00:00"/>
        <d v="2025-07-28T00:00:00"/>
        <d v="2025-07-29T00:00:00"/>
        <d v="2025-07-31T00:00:00"/>
        <d v="2025-08-01T00:00:00"/>
        <d v="2025-08-04T00:00:00"/>
        <d v="2025-08-07T00:00:00"/>
        <d v="2025-08-08T00:00:00"/>
        <d v="2025-08-10T00:00:00"/>
        <d v="2025-08-12T00:00:00"/>
        <d v="2025-08-14T00:00:00"/>
        <d v="2025-08-15T00:00:00"/>
        <d v="2025-08-17T00:00:00"/>
        <d v="2025-08-20T00:00:00"/>
        <d v="2025-08-25T00:00:00"/>
        <d v="2025-08-31T00:00:00"/>
        <d v="2025-09-01T00:00:00"/>
        <d v="2025-09-04T00:00:00"/>
        <d v="2025-09-05T00:00:00"/>
        <d v="2025-09-07T00:00:00"/>
        <d v="2025-09-14T00:00:00"/>
        <d v="2025-09-15T00:00:00"/>
        <d v="2025-09-16T00:00:00"/>
        <d v="2025-09-19T00:00:00"/>
        <d v="2025-09-21T00:00:00"/>
        <d v="2025-09-22T00:00:00"/>
        <d v="2025-09-23T00:00:00"/>
        <d v="2025-09-24T00:00:00"/>
        <d v="2025-10-09T00:00:00"/>
        <d v="2025-10-10T00:00:00"/>
        <d v="2025-10-11T00:00:00"/>
        <d v="2025-10-12T00:00:00"/>
        <d v="2025-10-13T00:00:00"/>
        <d v="2025-10-14T00:00:00"/>
        <d v="2025-10-16T00:00:00"/>
        <d v="2025-10-17T00:00:00"/>
        <d v="2025-10-28T00:00:00"/>
        <d v="2025-10-31T00:00:00"/>
        <d v="2025-11-03T00:00:00"/>
        <d v="2025-11-04T00:00:00"/>
        <d v="2025-11-10T00:00:00"/>
        <d v="2025-11-16T00:00:00"/>
        <d v="2025-11-17T00:00:00"/>
        <d v="2025-11-21T00:00:00"/>
        <d v="2025-11-23T00:00:00"/>
        <d v="2025-11-27T00:00:00"/>
        <d v="2025-11-28T00:00:00"/>
        <d v="2025-11-30T00:00:00"/>
        <d v="2025-12-01T00:00:00"/>
        <d v="2025-12-04T00:00:00"/>
        <d v="2025-12-05T00:00:00"/>
        <d v="2025-12-08T00:00:00"/>
        <d v="2025-12-10T00:00:00"/>
        <d v="2025-12-11T00:00:00"/>
        <d v="2025-12-12T00:00:00"/>
        <d v="2025-12-14T00:00:00"/>
        <d v="2025-12-15T00:00:00"/>
        <d v="2025-12-16T00:00:00"/>
        <d v="2025-12-17T00:00:00"/>
        <d v="2025-12-18T00:00:00"/>
        <d v="2025-12-21T00:00:00"/>
        <d v="2025-12-22T00:00:00"/>
        <d v="2025-12-23T00:00:00"/>
        <d v="2025-12-26T00:00:00"/>
        <d v="2025-12-29T00:00:00"/>
        <d v="2025-12-30T00:00:00"/>
        <d v="2025-12-31T00:00:00"/>
        <d v="2026-01-04T00:00:00"/>
        <d v="2026-01-05T00:00:00"/>
        <d v="2026-01-06T00:00:00"/>
        <d v="2026-01-07T00:00:00"/>
        <d v="2026-01-08T00:00:00"/>
        <d v="2026-01-12T00:00:00"/>
        <d v="2026-01-13T00:00:00"/>
        <d v="2026-01-16T00:00:00"/>
        <d v="2026-01-19T00:00:00"/>
        <d v="2026-01-23T00:00:00"/>
        <d v="2026-01-27T00:00:00"/>
        <d v="2026-01-28T00:00:00"/>
        <d v="2026-01-29T00:00:00"/>
        <d v="2026-01-30T00:00:00"/>
        <d v="2026-02-02T00:00:00"/>
        <d v="2026-02-03T00:00:00"/>
        <d v="2026-02-04T00:00:00"/>
        <d v="2026-02-06T00:00:00"/>
        <d v="2026-02-08T00:00:00"/>
        <d v="2026-02-09T00:00:00"/>
        <d v="2026-02-10T00:00:00"/>
        <d v="2026-02-13T00:00:00"/>
        <d v="2026-02-17T00:00:00"/>
        <d v="2026-02-18T00:00:00"/>
        <d v="2026-02-22T00:00:00"/>
        <d v="2026-02-24T00:00:00"/>
        <d v="2026-02-26T00:00:00"/>
        <d v="2026-02-28T00:00:00"/>
      </sharedItems>
      <fieldGroup par="18"/>
    </cacheField>
    <cacheField name="Month" numFmtId="0">
      <sharedItems count="11">
        <s v="Apr-2025"/>
        <s v="May-2025"/>
        <s v="Jun-2025"/>
        <s v="Jul-2025"/>
        <s v="Aug-2025"/>
        <s v="Sep-2025"/>
        <s v="Oct-2025"/>
        <s v="Nov-2025"/>
        <s v="Dec-2025"/>
        <s v="Jan-2026"/>
        <s v="Feb-2026"/>
      </sharedItems>
    </cacheField>
    <cacheField name="QTR" numFmtId="0">
      <sharedItems count="4">
        <s v="Q1"/>
        <s v="Q2"/>
        <s v="Q3"/>
        <s v="Q4"/>
      </sharedItems>
    </cacheField>
    <cacheField name="FY" numFmtId="0">
      <sharedItems count="1">
        <s v="2025-26"/>
      </sharedItems>
    </cacheField>
    <cacheField name="Inv.No" numFmtId="0">
      <sharedItems/>
    </cacheField>
    <cacheField name="Customer" numFmtId="0">
      <sharedItems/>
    </cacheField>
    <cacheField name="SUBGROUP" numFmtId="0">
      <sharedItems count="8">
        <s v="Blends"/>
        <s v="Straight Pouch"/>
        <s v="Straight Premium"/>
        <s v="Sprinkler"/>
        <s v="Cooking Paste"/>
        <s v="Combo"/>
        <s v="Hing"/>
        <s v="Mini Master"/>
      </sharedItems>
    </cacheField>
    <cacheField name="Product" numFmtId="0">
      <sharedItems count="58">
        <s v="CHATPATA CHAT MASALA 50GM*180"/>
        <s v="DHANIA POWDER 200GM*100"/>
        <s v="MEAT MASALA 50GM*180"/>
        <s v="RED CHILLI POWDER 500GM*40"/>
        <s v="DHANIA POWDER 500GM*40"/>
        <s v="KASHMIRI MIRCH POWDER 50GM*180"/>
        <s v="RED CHILLI POWDER 200GM*100"/>
        <s v="BLACK PEPPER POWDER 50GM*120"/>
        <s v="KASURI METHI 25GM*120"/>
        <s v="GARAM MASALA 50GM*180"/>
        <s v="SABZI MASALA 50GM*180"/>
        <s v="CHICKEN MASALA 50GM*180"/>
        <s v="TURMERIC POWDER 500GM*40"/>
        <s v="TURMERIC POWDER 200GM*100"/>
        <s v="GARAM MASALA 100GM*180"/>
        <s v="SABZI MASALA 100GM*180"/>
        <s v="CHATPATA CHAT MASALA 100GM*120"/>
        <s v="MEAT MASALA 100GM*180"/>
        <s v="BIRYANI MASALA 50GM*120"/>
        <s v="KITCHEN KING 100GM*180"/>
        <s v="CHICKEN MASALA 100GM*120"/>
        <s v="SHAHI PANEER MASALA 100GM*80"/>
        <s v="BLACK PEPPER POWDER 100GM*40"/>
        <s v="KASHMIRI MIRCH POWDER 100GM*180"/>
        <s v="WHITE PEPPER POWDER 100GM*40"/>
        <s v="BLACK PEPPER 100GM*48"/>
        <s v="CHAT MASALA 100GM*72"/>
        <s v="MOMO MASALA 100GM*120"/>
        <s v="AMCHUR POWDER 100GM*80"/>
        <s v="SCHEZWAN PASTE 100GM*120"/>
        <s v="GINGER GARLIC 200GM*60"/>
        <s v="PERI PERI 90GM*72"/>
        <s v="MOMO MASALA 50GM*120"/>
        <s v="AMCHOOR POWDER 50GM*180"/>
        <s v="WHITE PEPPER POWDER 50GM*80"/>
        <s v="RAITA MASALA 100GM*80"/>
        <s v="RAJMA MASALA 100GM*80"/>
        <s v="PANEER MASALA 50GM*180"/>
        <s v="PAV BHAJI MASALA 50GM*120"/>
        <s v="CHHOLE MASALA 50GM*180"/>
        <s v="SAMBHAR MASALA 50GM*120"/>
        <s v="CHHOLE MASALA 100GM*120"/>
        <s v="FISH CURRY MASALA 50GM*120"/>
        <s v="ITALIAN COMBO (OREGANO+CHILLI FLAKES) 33GM*60"/>
        <s v="JALJEERA POWDER 100GM*180"/>
        <s v="SAMBHAR MASALA 100GM*80"/>
        <s v="RAITA MASALA SPRINKLER 50GM*100"/>
        <s v="CHAT MASALA 50GM*100"/>
        <s v="KITCHEN KING MASALA 50GM*180"/>
        <s v="COMPOUNDED HING 50GM*120"/>
        <s v="COMPOUNDED HING 25GM*200"/>
        <s v="COMPOUNDED HING 100GM*60"/>
        <s v="PASTA &amp; PIZZA SEASONING 75GM*72"/>
        <s v="RED CHILLI POWDER 100GM*180"/>
        <s v="CORINADER POWDER 200GM*100"/>
        <s v="CORINADER POWDER 500GM*40"/>
        <s v="RED CHILLI PWDR 13GM*600"/>
        <s v="TURMERIC PWDR 20GM*600"/>
      </sharedItems>
    </cacheField>
    <cacheField name="Alt Qty" numFmtId="164">
      <sharedItems containsSemiMixedTypes="0" containsString="0" containsNumber="1" minValue="-2.42" maxValue="14"/>
    </cacheField>
    <cacheField name="Qty" numFmtId="164">
      <sharedItems containsSemiMixedTypes="0" containsString="0" containsNumber="1" containsInteger="1" minValue="-420" maxValue="2520"/>
    </cacheField>
    <cacheField name="Rate" numFmtId="164">
      <sharedItems containsSemiMixedTypes="0" containsString="0" containsNumber="1" minValue="0" maxValue="490.13"/>
    </cacheField>
    <cacheField name="Basic Amount" numFmtId="164">
      <sharedItems containsSemiMixedTypes="0" containsString="0" containsNumber="1" minValue="-39753" maxValue="328554"/>
    </cacheField>
    <cacheField name="Discount" numFmtId="164">
      <sharedItems containsMixedTypes="1" containsNumber="1" minValue="-29865.56" maxValue="3613.5499999999997"/>
    </cacheField>
    <cacheField name="Cash Discount" numFmtId="164">
      <sharedItems containsMixedTypes="1" containsNumber="1" minValue="-4125.6000000000004" maxValue="706.12884300000007"/>
    </cacheField>
    <cacheField name="VAT" numFmtId="164">
      <sharedItems containsMixedTypes="1" containsNumber="1" minValue="-4848.8163290000002" maxValue="38829.497553999994"/>
    </cacheField>
    <cacheField name="Total Amount" numFmtId="164">
      <sharedItems containsSemiMixedTypes="0" containsString="0" containsNumber="1" minValue="-42147.406328999998" maxValue="337517.937554"/>
    </cacheField>
    <cacheField name="Months (Date)" numFmtId="0" databaseField="0">
      <fieldGroup base="0">
        <rangePr groupBy="months" startDate="2025-04-06T00:00:00" endDate="2026-03-01T00:00:00"/>
        <groupItems count="14">
          <s v="&lt;4/6/2025"/>
          <s v="Jan"/>
          <s v="Feb"/>
          <s v="Mar"/>
          <s v="Apr"/>
          <s v="May"/>
          <s v="Jun"/>
          <s v="Jul"/>
          <s v="Aug"/>
          <s v="Sep"/>
          <s v="Oct"/>
          <s v="Nov"/>
          <s v="Dec"/>
          <s v="&gt;3/1/2026"/>
        </groupItems>
      </fieldGroup>
    </cacheField>
    <cacheField name="Quarters (Date)" numFmtId="0" databaseField="0">
      <fieldGroup base="0">
        <rangePr groupBy="quarters" startDate="2025-04-06T00:00:00" endDate="2026-03-01T00:00:00"/>
        <groupItems count="6">
          <s v="&lt;4/6/2025"/>
          <s v="Qtr1"/>
          <s v="Qtr2"/>
          <s v="Qtr3"/>
          <s v="Qtr4"/>
          <s v="&gt;3/1/2026"/>
        </groupItems>
      </fieldGroup>
    </cacheField>
    <cacheField name="Years (Date)" numFmtId="0" databaseField="0">
      <fieldGroup base="0">
        <rangePr groupBy="years" startDate="2025-04-06T00:00:00" endDate="2026-03-01T00:00:00"/>
        <groupItems count="4">
          <s v="&lt;4/6/2025"/>
          <s v="2025"/>
          <s v="2026"/>
          <s v="&gt;3/1/2026"/>
        </groupItems>
      </fieldGroup>
    </cacheField>
  </cacheFields>
  <extLst>
    <ext xmlns:x14="http://schemas.microsoft.com/office/spreadsheetml/2009/9/main" uri="{725AE2AE-9491-48be-B2B4-4EB974FC3084}">
      <x14:pivotCacheDefinition pivotCacheId="1965444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0">
  <r>
    <x v="0"/>
    <x v="0"/>
    <s v="Q1"/>
    <x v="0"/>
    <s v="KEPL/02398/81-82"/>
    <s v="SURUWAT ENTERPRISES"/>
    <s v="Blends"/>
    <x v="0"/>
    <n v="1"/>
    <n v="180"/>
    <n v="64.23"/>
    <n v="11561.4"/>
    <n v="-443.96"/>
    <n v="0"/>
    <n v="1445.2674020000002"/>
    <n v="12562.707402"/>
  </r>
  <r>
    <x v="0"/>
    <x v="0"/>
    <s v="Q1"/>
    <x v="0"/>
    <s v="KEPL/02398/81-82"/>
    <s v="SURUWAT ENTERPRISES"/>
    <s v="Straight Pouch"/>
    <x v="1"/>
    <n v="1"/>
    <n v="100"/>
    <n v="108.17"/>
    <n v="10817"/>
    <n v="-415.37"/>
    <n v="0"/>
    <n v="1352.2120889999999"/>
    <n v="11753.842089"/>
  </r>
  <r>
    <x v="0"/>
    <x v="0"/>
    <s v="Q1"/>
    <x v="0"/>
    <s v="KEPL/02398/81-82"/>
    <s v="SURUWAT ENTERPRISES"/>
    <s v="Blends"/>
    <x v="2"/>
    <n v="2"/>
    <n v="360"/>
    <n v="64.23"/>
    <n v="23122.799999999999"/>
    <n v="-887.92"/>
    <n v="0"/>
    <n v="2890.5348040000003"/>
    <n v="25125.414804"/>
  </r>
  <r>
    <x v="0"/>
    <x v="0"/>
    <s v="Q1"/>
    <x v="0"/>
    <s v="KEPL/02398/81-82"/>
    <s v="SURUWAT ENTERPRISES"/>
    <s v="Straight Pouch"/>
    <x v="3"/>
    <n v="1"/>
    <n v="40"/>
    <n v="459.72"/>
    <n v="18388.8"/>
    <n v="-706.12999999999988"/>
    <n v="0"/>
    <n v="2298.747421"/>
    <n v="19981.417420999998"/>
  </r>
  <r>
    <x v="0"/>
    <x v="0"/>
    <s v="Q1"/>
    <x v="0"/>
    <s v="KEPL/02398/81-82"/>
    <s v="SURUWAT ENTERPRISES"/>
    <s v="Straight Pouch"/>
    <x v="4"/>
    <n v="1"/>
    <n v="40"/>
    <n v="260.27999999999997"/>
    <n v="10411.200000000001"/>
    <n v="-399.79"/>
    <n v="0"/>
    <n v="1301.4834820000001"/>
    <n v="11312.893481999999"/>
  </r>
  <r>
    <x v="0"/>
    <x v="0"/>
    <s v="Q1"/>
    <x v="0"/>
    <s v="KEPL/02398/81-82"/>
    <s v="SURUWAT ENTERPRISES"/>
    <s v="Straight Premium"/>
    <x v="5"/>
    <n v="2"/>
    <n v="360"/>
    <n v="94.65"/>
    <n v="34074"/>
    <n v="-1308.44"/>
    <n v="0"/>
    <n v="4259.5233950000002"/>
    <n v="37025.083395000001"/>
  </r>
  <r>
    <x v="0"/>
    <x v="0"/>
    <s v="Q1"/>
    <x v="0"/>
    <s v="KEPL/02398/81-82"/>
    <s v="SURUWAT ENTERPRISES"/>
    <s v="Straight Pouch"/>
    <x v="6"/>
    <n v="1"/>
    <n v="100"/>
    <n v="189.3"/>
    <n v="18930"/>
    <n v="-726.91000000000008"/>
    <n v="0"/>
    <n v="2366.4020310000001"/>
    <n v="20569.492031000002"/>
  </r>
  <r>
    <x v="0"/>
    <x v="0"/>
    <s v="Q1"/>
    <x v="0"/>
    <s v="KEPL/02398/81-82"/>
    <s v="SURUWAT ENTERPRISES"/>
    <s v="Straight Premium"/>
    <x v="7"/>
    <n v="2"/>
    <n v="240"/>
    <n v="152.11000000000001"/>
    <n v="36506.400000000001"/>
    <n v="-1401.85"/>
    <n v="0"/>
    <n v="4563.592138"/>
    <n v="39668.142138000003"/>
  </r>
  <r>
    <x v="0"/>
    <x v="0"/>
    <s v="Q1"/>
    <x v="0"/>
    <s v="KEPL/02398/81-82"/>
    <s v="SURUWAT ENTERPRISES"/>
    <s v="Straight Premium"/>
    <x v="8"/>
    <n v="1"/>
    <n v="120"/>
    <n v="57.46"/>
    <n v="6895.2"/>
    <n v="-264.77999999999997"/>
    <n v="0"/>
    <n v="861.95471999999995"/>
    <n v="7492.3747199999998"/>
  </r>
  <r>
    <x v="0"/>
    <x v="0"/>
    <s v="Q1"/>
    <x v="0"/>
    <s v="KEPL/02398/81-82"/>
    <s v="SURUWAT ENTERPRISES"/>
    <s v="Blends"/>
    <x v="9"/>
    <n v="1"/>
    <n v="180"/>
    <n v="70.989999999999995"/>
    <n v="12778.2"/>
    <n v="-490.68"/>
    <n v="0"/>
    <n v="1597.377823"/>
    <n v="13884.897822999999"/>
  </r>
  <r>
    <x v="0"/>
    <x v="0"/>
    <s v="Q1"/>
    <x v="0"/>
    <s v="KEPL/02398/81-82"/>
    <s v="SURUWAT ENTERPRISES"/>
    <s v="Blends"/>
    <x v="10"/>
    <n v="1"/>
    <n v="180"/>
    <n v="60.84"/>
    <n v="10951.199999999999"/>
    <n v="-420.53"/>
    <n v="0"/>
    <n v="1368.9872909999999"/>
    <n v="11899.657291"/>
  </r>
  <r>
    <x v="0"/>
    <x v="0"/>
    <s v="Q1"/>
    <x v="0"/>
    <s v="KEPL/02398/81-82"/>
    <s v="SURUWAT ENTERPRISES"/>
    <s v="Blends"/>
    <x v="11"/>
    <n v="1"/>
    <n v="180"/>
    <n v="64.23"/>
    <n v="11561.4"/>
    <n v="-443.96"/>
    <n v="0"/>
    <n v="1445.2674020000002"/>
    <n v="12562.707402"/>
  </r>
  <r>
    <x v="0"/>
    <x v="0"/>
    <s v="Q1"/>
    <x v="0"/>
    <s v="KEPL/02399/81-82"/>
    <s v="AARYA TRADE LINK PVT.LTD"/>
    <s v="Straight Pouch"/>
    <x v="1"/>
    <n v="1"/>
    <n v="100"/>
    <n v="108.17"/>
    <n v="10817"/>
    <n v="-415.37"/>
    <n v="0"/>
    <n v="1352.2120889999999"/>
    <n v="11753.842089"/>
  </r>
  <r>
    <x v="0"/>
    <x v="0"/>
    <s v="Q1"/>
    <x v="0"/>
    <s v="KEPL/02399/81-82"/>
    <s v="AARYA TRADE LINK PVT.LTD"/>
    <s v="Blends"/>
    <x v="2"/>
    <n v="2"/>
    <n v="360"/>
    <n v="64.23"/>
    <n v="23122.799999999999"/>
    <n v="-887.92"/>
    <n v="0"/>
    <n v="2890.5348040000003"/>
    <n v="25125.414804"/>
  </r>
  <r>
    <x v="0"/>
    <x v="0"/>
    <s v="Q1"/>
    <x v="0"/>
    <s v="KEPL/02399/81-82"/>
    <s v="AARYA TRADE LINK PVT.LTD"/>
    <s v="Blends"/>
    <x v="10"/>
    <n v="1"/>
    <n v="180"/>
    <n v="60.84"/>
    <n v="10951.199999999999"/>
    <n v="-420.53"/>
    <n v="0"/>
    <n v="1368.9872909999999"/>
    <n v="11899.657291"/>
  </r>
  <r>
    <x v="0"/>
    <x v="0"/>
    <s v="Q1"/>
    <x v="0"/>
    <s v="KEPL/02399/81-82"/>
    <s v="AARYA TRADE LINK PVT.LTD"/>
    <s v="Blends"/>
    <x v="0"/>
    <n v="1"/>
    <n v="180"/>
    <n v="64.23"/>
    <n v="11561.4"/>
    <n v="-443.96"/>
    <n v="0"/>
    <n v="1445.2674020000002"/>
    <n v="12562.707402"/>
  </r>
  <r>
    <x v="0"/>
    <x v="0"/>
    <s v="Q1"/>
    <x v="0"/>
    <s v="KEPL/02399/81-82"/>
    <s v="AARYA TRADE LINK PVT.LTD"/>
    <s v="Blends"/>
    <x v="11"/>
    <n v="1"/>
    <n v="180"/>
    <n v="64.23"/>
    <n v="11561.4"/>
    <n v="-443.96"/>
    <n v="0"/>
    <n v="1445.2674020000002"/>
    <n v="12562.707402"/>
  </r>
  <r>
    <x v="0"/>
    <x v="0"/>
    <s v="Q1"/>
    <x v="0"/>
    <s v="KEPL/02399/81-82"/>
    <s v="AARYA TRADE LINK PVT.LTD"/>
    <s v="Straight Pouch"/>
    <x v="3"/>
    <n v="1"/>
    <n v="40"/>
    <n v="459.72"/>
    <n v="18388.8"/>
    <n v="-706.12999999999988"/>
    <n v="0"/>
    <n v="2298.747421"/>
    <n v="19981.417420999998"/>
  </r>
  <r>
    <x v="0"/>
    <x v="0"/>
    <s v="Q1"/>
    <x v="0"/>
    <s v="KEPL/02399/81-82"/>
    <s v="AARYA TRADE LINK PVT.LTD"/>
    <s v="Straight Pouch"/>
    <x v="4"/>
    <n v="1"/>
    <n v="40"/>
    <n v="260.27999999999997"/>
    <n v="10411.200000000001"/>
    <n v="-399.79"/>
    <n v="0"/>
    <n v="1301.4834820000001"/>
    <n v="11312.893481999999"/>
  </r>
  <r>
    <x v="0"/>
    <x v="0"/>
    <s v="Q1"/>
    <x v="0"/>
    <s v="KEPL/02399/81-82"/>
    <s v="AARYA TRADE LINK PVT.LTD"/>
    <s v="Straight Premium"/>
    <x v="5"/>
    <n v="2"/>
    <n v="360"/>
    <n v="94.65"/>
    <n v="34074"/>
    <n v="-1308.44"/>
    <n v="0"/>
    <n v="4259.5233950000002"/>
    <n v="37025.083395000001"/>
  </r>
  <r>
    <x v="0"/>
    <x v="0"/>
    <s v="Q1"/>
    <x v="0"/>
    <s v="KEPL/02399/81-82"/>
    <s v="AARYA TRADE LINK PVT.LTD"/>
    <s v="Straight Pouch"/>
    <x v="6"/>
    <n v="1"/>
    <n v="100"/>
    <n v="189.3"/>
    <n v="18930"/>
    <n v="-726.91000000000008"/>
    <n v="0"/>
    <n v="2366.4020310000001"/>
    <n v="20569.492031000002"/>
  </r>
  <r>
    <x v="0"/>
    <x v="0"/>
    <s v="Q1"/>
    <x v="0"/>
    <s v="KEPL/02399/81-82"/>
    <s v="AARYA TRADE LINK PVT.LTD"/>
    <s v="Blends"/>
    <x v="9"/>
    <n v="1"/>
    <n v="180"/>
    <n v="70.989999999999995"/>
    <n v="12778.2"/>
    <n v="-490.68"/>
    <n v="0"/>
    <n v="1597.377823"/>
    <n v="13884.897822999999"/>
  </r>
  <r>
    <x v="0"/>
    <x v="0"/>
    <s v="Q1"/>
    <x v="0"/>
    <s v="KEPL/02399/81-82"/>
    <s v="AARYA TRADE LINK PVT.LTD"/>
    <s v="Straight Premium"/>
    <x v="8"/>
    <n v="1"/>
    <n v="120"/>
    <n v="57.46"/>
    <n v="6895.2"/>
    <n v="-264.77999999999997"/>
    <n v="0"/>
    <n v="861.95471999999995"/>
    <n v="7492.3747199999998"/>
  </r>
  <r>
    <x v="0"/>
    <x v="0"/>
    <s v="Q1"/>
    <x v="0"/>
    <s v="KEPL/02399/81-82"/>
    <s v="AARYA TRADE LINK PVT.LTD"/>
    <s v="Straight Premium"/>
    <x v="7"/>
    <n v="2"/>
    <n v="240"/>
    <n v="152.11000000000001"/>
    <n v="36506.400000000001"/>
    <n v="-1401.85"/>
    <n v="0"/>
    <n v="4563.592138"/>
    <n v="39668.142138000003"/>
  </r>
  <r>
    <x v="0"/>
    <x v="0"/>
    <s v="Q1"/>
    <x v="0"/>
    <s v="KEPL/02400/81-82"/>
    <s v="DURGA AND AAMOSH SUPPLIERS PVT.LTD"/>
    <s v="Blends"/>
    <x v="9"/>
    <n v="1"/>
    <n v="180"/>
    <n v="70.989999999999995"/>
    <n v="12778.2"/>
    <n v="-490.68"/>
    <n v="0"/>
    <n v="1597.377823"/>
    <n v="13884.897822999999"/>
  </r>
  <r>
    <x v="0"/>
    <x v="0"/>
    <s v="Q1"/>
    <x v="0"/>
    <s v="KEPL/02400/81-82"/>
    <s v="DURGA AND AAMOSH SUPPLIERS PVT.LTD"/>
    <s v="Blends"/>
    <x v="0"/>
    <n v="1"/>
    <n v="180"/>
    <n v="64.23"/>
    <n v="11561.4"/>
    <n v="-443.96"/>
    <n v="0"/>
    <n v="1445.2674020000002"/>
    <n v="12562.707402"/>
  </r>
  <r>
    <x v="0"/>
    <x v="0"/>
    <s v="Q1"/>
    <x v="0"/>
    <s v="KEPL/02400/81-82"/>
    <s v="DURGA AND AAMOSH SUPPLIERS PVT.LTD"/>
    <s v="Straight Premium"/>
    <x v="7"/>
    <n v="2"/>
    <n v="240"/>
    <n v="152.11000000000001"/>
    <n v="36506.400000000001"/>
    <n v="-1401.85"/>
    <n v="0"/>
    <n v="4563.592138"/>
    <n v="39668.142138000003"/>
  </r>
  <r>
    <x v="0"/>
    <x v="0"/>
    <s v="Q1"/>
    <x v="0"/>
    <s v="KEPL/02400/81-82"/>
    <s v="DURGA AND AAMOSH SUPPLIERS PVT.LTD"/>
    <s v="Straight Premium"/>
    <x v="8"/>
    <n v="1"/>
    <n v="120"/>
    <n v="57.46"/>
    <n v="6895.2"/>
    <n v="-264.77999999999997"/>
    <n v="0"/>
    <n v="861.95471999999995"/>
    <n v="7492.3747199999998"/>
  </r>
  <r>
    <x v="0"/>
    <x v="0"/>
    <s v="Q1"/>
    <x v="0"/>
    <s v="KEPL/02400/81-82"/>
    <s v="DURGA AND AAMOSH SUPPLIERS PVT.LTD"/>
    <s v="Straight Pouch"/>
    <x v="6"/>
    <n v="1"/>
    <n v="100"/>
    <n v="189.3"/>
    <n v="18930"/>
    <n v="-726.91000000000008"/>
    <n v="0"/>
    <n v="2366.4020310000001"/>
    <n v="20569.492031000002"/>
  </r>
  <r>
    <x v="0"/>
    <x v="0"/>
    <s v="Q1"/>
    <x v="0"/>
    <s v="KEPL/02400/81-82"/>
    <s v="DURGA AND AAMOSH SUPPLIERS PVT.LTD"/>
    <s v="Straight Premium"/>
    <x v="5"/>
    <n v="2"/>
    <n v="360"/>
    <n v="94.65"/>
    <n v="34074"/>
    <n v="-1308.44"/>
    <n v="0"/>
    <n v="4259.5233950000002"/>
    <n v="37025.083395000001"/>
  </r>
  <r>
    <x v="0"/>
    <x v="0"/>
    <s v="Q1"/>
    <x v="0"/>
    <s v="KEPL/02400/81-82"/>
    <s v="DURGA AND AAMOSH SUPPLIERS PVT.LTD"/>
    <s v="Straight Pouch"/>
    <x v="3"/>
    <n v="1"/>
    <n v="40"/>
    <n v="459.72"/>
    <n v="18388.8"/>
    <n v="-706.12999999999988"/>
    <n v="0"/>
    <n v="2298.747421"/>
    <n v="19981.417420999998"/>
  </r>
  <r>
    <x v="0"/>
    <x v="0"/>
    <s v="Q1"/>
    <x v="0"/>
    <s v="KEPL/02400/81-82"/>
    <s v="DURGA AND AAMOSH SUPPLIERS PVT.LTD"/>
    <s v="Blends"/>
    <x v="2"/>
    <n v="2"/>
    <n v="360"/>
    <n v="64.23"/>
    <n v="23122.799999999999"/>
    <n v="-887.92"/>
    <n v="0"/>
    <n v="2890.5348040000003"/>
    <n v="25125.414804"/>
  </r>
  <r>
    <x v="0"/>
    <x v="0"/>
    <s v="Q1"/>
    <x v="0"/>
    <s v="KEPL/02400/81-82"/>
    <s v="DURGA AND AAMOSH SUPPLIERS PVT.LTD"/>
    <s v="Straight Pouch"/>
    <x v="1"/>
    <n v="1"/>
    <n v="100"/>
    <n v="108.17"/>
    <n v="10817"/>
    <n v="-415.37"/>
    <n v="0"/>
    <n v="1352.2120889999999"/>
    <n v="11753.842089"/>
  </r>
  <r>
    <x v="0"/>
    <x v="0"/>
    <s v="Q1"/>
    <x v="0"/>
    <s v="KEPL/02400/81-82"/>
    <s v="DURGA AND AAMOSH SUPPLIERS PVT.LTD"/>
    <s v="Blends"/>
    <x v="10"/>
    <n v="1"/>
    <n v="180"/>
    <n v="60.84"/>
    <n v="10951.199999999999"/>
    <n v="-420.53"/>
    <n v="0"/>
    <n v="1368.9872909999999"/>
    <n v="11899.657291"/>
  </r>
  <r>
    <x v="0"/>
    <x v="0"/>
    <s v="Q1"/>
    <x v="0"/>
    <s v="KEPL/02400/81-82"/>
    <s v="DURGA AND AAMOSH SUPPLIERS PVT.LTD"/>
    <s v="Blends"/>
    <x v="11"/>
    <n v="1"/>
    <n v="180"/>
    <n v="64.23"/>
    <n v="11561.4"/>
    <n v="-443.96"/>
    <n v="0"/>
    <n v="1445.2674020000002"/>
    <n v="12562.707402"/>
  </r>
  <r>
    <x v="0"/>
    <x v="0"/>
    <s v="Q1"/>
    <x v="0"/>
    <s v="KEPL/02400/81-82"/>
    <s v="DURGA AND AAMOSH SUPPLIERS PVT.LTD"/>
    <s v="Straight Pouch"/>
    <x v="4"/>
    <n v="1"/>
    <n v="40"/>
    <n v="260.27999999999997"/>
    <n v="10411.200000000001"/>
    <n v="-399.79"/>
    <n v="0"/>
    <n v="1301.4834820000001"/>
    <n v="11312.893481999999"/>
  </r>
  <r>
    <x v="0"/>
    <x v="0"/>
    <s v="Q1"/>
    <x v="0"/>
    <s v="KEPL/02404/81-82"/>
    <s v="HAMRO KIRANA PASAL"/>
    <s v="Blends"/>
    <x v="10"/>
    <n v="1"/>
    <n v="180"/>
    <n v="60.84"/>
    <n v="10951.199999999999"/>
    <n v="-420.53"/>
    <n v="0"/>
    <n v="1368.9872909999999"/>
    <n v="11899.657291"/>
  </r>
  <r>
    <x v="0"/>
    <x v="0"/>
    <s v="Q1"/>
    <x v="0"/>
    <s v="KEPL/02404/81-82"/>
    <s v="HAMRO KIRANA PASAL"/>
    <s v="Straight Pouch"/>
    <x v="3"/>
    <n v="1"/>
    <n v="40"/>
    <n v="459.72"/>
    <n v="18388.8"/>
    <n v="-706.12999999999988"/>
    <n v="0"/>
    <n v="2298.747421"/>
    <n v="19981.417420999998"/>
  </r>
  <r>
    <x v="0"/>
    <x v="0"/>
    <s v="Q1"/>
    <x v="0"/>
    <s v="KEPL/02404/81-82"/>
    <s v="HAMRO KIRANA PASAL"/>
    <s v="Blends"/>
    <x v="2"/>
    <n v="2"/>
    <n v="360"/>
    <n v="64.23"/>
    <n v="23122.799999999999"/>
    <n v="-887.92"/>
    <n v="0"/>
    <n v="2890.5348040000003"/>
    <n v="25125.414804"/>
  </r>
  <r>
    <x v="0"/>
    <x v="0"/>
    <s v="Q1"/>
    <x v="0"/>
    <s v="KEPL/02404/81-82"/>
    <s v="HAMRO KIRANA PASAL"/>
    <s v="Blends"/>
    <x v="0"/>
    <n v="1"/>
    <n v="180"/>
    <n v="64.23"/>
    <n v="11561.4"/>
    <n v="-443.96"/>
    <n v="0"/>
    <n v="1445.2674020000002"/>
    <n v="12562.707402"/>
  </r>
  <r>
    <x v="0"/>
    <x v="0"/>
    <s v="Q1"/>
    <x v="0"/>
    <s v="KEPL/02404/81-82"/>
    <s v="HAMRO KIRANA PASAL"/>
    <s v="Straight Pouch"/>
    <x v="1"/>
    <n v="1"/>
    <n v="100"/>
    <n v="108.17"/>
    <n v="10817"/>
    <n v="-415.37"/>
    <n v="0"/>
    <n v="1352.2120889999999"/>
    <n v="11753.842089"/>
  </r>
  <r>
    <x v="0"/>
    <x v="0"/>
    <s v="Q1"/>
    <x v="0"/>
    <s v="KEPL/02404/81-82"/>
    <s v="HAMRO KIRANA PASAL"/>
    <s v="Blends"/>
    <x v="9"/>
    <n v="1"/>
    <n v="180"/>
    <n v="70.989999999999995"/>
    <n v="12778.2"/>
    <n v="-490.68"/>
    <n v="0"/>
    <n v="1597.377823"/>
    <n v="13884.897822999999"/>
  </r>
  <r>
    <x v="0"/>
    <x v="0"/>
    <s v="Q1"/>
    <x v="0"/>
    <s v="KEPL/02404/81-82"/>
    <s v="HAMRO KIRANA PASAL"/>
    <s v="Straight Pouch"/>
    <x v="4"/>
    <n v="1"/>
    <n v="40"/>
    <n v="260.27999999999997"/>
    <n v="10411.200000000001"/>
    <n v="-399.79"/>
    <n v="0"/>
    <n v="1301.4834820000001"/>
    <n v="11312.893481999999"/>
  </r>
  <r>
    <x v="0"/>
    <x v="0"/>
    <s v="Q1"/>
    <x v="0"/>
    <s v="KEPL/02404/81-82"/>
    <s v="HAMRO KIRANA PASAL"/>
    <s v="Straight Premium"/>
    <x v="7"/>
    <n v="2"/>
    <n v="240"/>
    <n v="152.11000000000001"/>
    <n v="36506.400000000001"/>
    <n v="-1401.85"/>
    <n v="0"/>
    <n v="4563.592138"/>
    <n v="39668.142138000003"/>
  </r>
  <r>
    <x v="0"/>
    <x v="0"/>
    <s v="Q1"/>
    <x v="0"/>
    <s v="KEPL/02404/81-82"/>
    <s v="HAMRO KIRANA PASAL"/>
    <s v="Blends"/>
    <x v="11"/>
    <n v="1"/>
    <n v="180"/>
    <n v="64.23"/>
    <n v="11561.4"/>
    <n v="-443.96"/>
    <n v="0"/>
    <n v="1445.2674020000002"/>
    <n v="12562.707402"/>
  </r>
  <r>
    <x v="0"/>
    <x v="0"/>
    <s v="Q1"/>
    <x v="0"/>
    <s v="KEPL/02404/81-82"/>
    <s v="HAMRO KIRANA PASAL"/>
    <s v="Straight Premium"/>
    <x v="8"/>
    <n v="1"/>
    <n v="120"/>
    <n v="57.46"/>
    <n v="6895.2"/>
    <n v="-264.77999999999997"/>
    <n v="0"/>
    <n v="861.95471999999995"/>
    <n v="7492.3747199999998"/>
  </r>
  <r>
    <x v="0"/>
    <x v="0"/>
    <s v="Q1"/>
    <x v="0"/>
    <s v="KEPL/02404/81-82"/>
    <s v="HAMRO KIRANA PASAL"/>
    <s v="Straight Pouch"/>
    <x v="6"/>
    <n v="1"/>
    <n v="100"/>
    <n v="189.3"/>
    <n v="18930"/>
    <n v="-726.91000000000008"/>
    <n v="0"/>
    <n v="2366.4020310000001"/>
    <n v="20569.492031000002"/>
  </r>
  <r>
    <x v="0"/>
    <x v="0"/>
    <s v="Q1"/>
    <x v="0"/>
    <s v="KEPL/02404/81-82"/>
    <s v="HAMRO KIRANA PASAL"/>
    <s v="Straight Premium"/>
    <x v="5"/>
    <n v="2"/>
    <n v="360"/>
    <n v="94.65"/>
    <n v="34074"/>
    <n v="-1308.44"/>
    <n v="0"/>
    <n v="4259.5233950000002"/>
    <n v="37025.083395000001"/>
  </r>
  <r>
    <x v="0"/>
    <x v="0"/>
    <s v="Q1"/>
    <x v="0"/>
    <s v="KEPL/02405/81-82"/>
    <s v="HAMRO KIRANA PASAL"/>
    <s v="Straight Pouch"/>
    <x v="12"/>
    <n v="1"/>
    <n v="40"/>
    <n v="297.52"/>
    <n v="11900.8"/>
    <n v="-456.99"/>
    <n v="0"/>
    <n v="0"/>
    <n v="11443.81"/>
  </r>
  <r>
    <x v="0"/>
    <x v="0"/>
    <s v="Q1"/>
    <x v="0"/>
    <s v="KEPL/02405/81-82"/>
    <s v="HAMRO KIRANA PASAL"/>
    <s v="Straight Pouch"/>
    <x v="13"/>
    <n v="1"/>
    <n v="100"/>
    <n v="124.88"/>
    <n v="12488"/>
    <n v="-479.54"/>
    <n v="0"/>
    <n v="0"/>
    <n v="12008.46"/>
  </r>
  <r>
    <x v="0"/>
    <x v="0"/>
    <s v="Q1"/>
    <x v="0"/>
    <s v="KEPL/02406/81-82"/>
    <s v="SHIVA SHAKTI CONCERN"/>
    <s v="Straight Pouch"/>
    <x v="12"/>
    <n v="1"/>
    <n v="40"/>
    <n v="297.52"/>
    <n v="11900.8"/>
    <n v="-456.99"/>
    <n v="0"/>
    <n v="0"/>
    <n v="11443.81"/>
  </r>
  <r>
    <x v="0"/>
    <x v="0"/>
    <s v="Q1"/>
    <x v="0"/>
    <s v="KEPL/02406/81-82"/>
    <s v="SHIVA SHAKTI CONCERN"/>
    <s v="Straight Pouch"/>
    <x v="13"/>
    <n v="1"/>
    <n v="100"/>
    <n v="124.88"/>
    <n v="12488"/>
    <n v="-479.54"/>
    <n v="0"/>
    <n v="0"/>
    <n v="12008.46"/>
  </r>
  <r>
    <x v="0"/>
    <x v="0"/>
    <s v="Q1"/>
    <x v="0"/>
    <s v="KEPL/02407/81-82"/>
    <s v="SHIVA SHAKTI CONCERN"/>
    <s v="Blends"/>
    <x v="11"/>
    <n v="1"/>
    <n v="180"/>
    <n v="64.23"/>
    <n v="11561.4"/>
    <n v="-443.96"/>
    <n v="0"/>
    <n v="1445.2674020000002"/>
    <n v="12562.707402"/>
  </r>
  <r>
    <x v="0"/>
    <x v="0"/>
    <s v="Q1"/>
    <x v="0"/>
    <s v="KEPL/02407/81-82"/>
    <s v="SHIVA SHAKTI CONCERN"/>
    <s v="Straight Pouch"/>
    <x v="4"/>
    <n v="1"/>
    <n v="40"/>
    <n v="260.27999999999997"/>
    <n v="10411.200000000001"/>
    <n v="-399.79"/>
    <n v="0"/>
    <n v="1301.4834820000001"/>
    <n v="11312.893481999999"/>
  </r>
  <r>
    <x v="0"/>
    <x v="0"/>
    <s v="Q1"/>
    <x v="0"/>
    <s v="KEPL/02407/81-82"/>
    <s v="SHIVA SHAKTI CONCERN"/>
    <s v="Blends"/>
    <x v="10"/>
    <n v="1"/>
    <n v="180"/>
    <n v="60.84"/>
    <n v="10951.199999999999"/>
    <n v="-420.53"/>
    <n v="0"/>
    <n v="1368.9872909999999"/>
    <n v="11899.657291"/>
  </r>
  <r>
    <x v="0"/>
    <x v="0"/>
    <s v="Q1"/>
    <x v="0"/>
    <s v="KEPL/02407/81-82"/>
    <s v="SHIVA SHAKTI CONCERN"/>
    <s v="Straight Pouch"/>
    <x v="3"/>
    <n v="1"/>
    <n v="40"/>
    <n v="459.72"/>
    <n v="18388.8"/>
    <n v="-706.12999999999988"/>
    <n v="0"/>
    <n v="2298.747421"/>
    <n v="19981.417420999998"/>
  </r>
  <r>
    <x v="0"/>
    <x v="0"/>
    <s v="Q1"/>
    <x v="0"/>
    <s v="KEPL/02407/81-82"/>
    <s v="SHIVA SHAKTI CONCERN"/>
    <s v="Straight Premium"/>
    <x v="7"/>
    <n v="2"/>
    <n v="240"/>
    <n v="152.11000000000001"/>
    <n v="36506.400000000001"/>
    <n v="-1401.85"/>
    <n v="0"/>
    <n v="4563.592138"/>
    <n v="39668.142138000003"/>
  </r>
  <r>
    <x v="0"/>
    <x v="0"/>
    <s v="Q1"/>
    <x v="0"/>
    <s v="KEPL/02407/81-82"/>
    <s v="SHIVA SHAKTI CONCERN"/>
    <s v="Straight Premium"/>
    <x v="5"/>
    <n v="2"/>
    <n v="360"/>
    <n v="94.65"/>
    <n v="34074"/>
    <n v="-1308.44"/>
    <n v="0"/>
    <n v="4259.5233950000002"/>
    <n v="37025.083395000001"/>
  </r>
  <r>
    <x v="0"/>
    <x v="0"/>
    <s v="Q1"/>
    <x v="0"/>
    <s v="KEPL/02407/81-82"/>
    <s v="SHIVA SHAKTI CONCERN"/>
    <s v="Blends"/>
    <x v="9"/>
    <n v="1"/>
    <n v="180"/>
    <n v="70.989999999999995"/>
    <n v="12778.2"/>
    <n v="-490.68"/>
    <n v="0"/>
    <n v="1597.377823"/>
    <n v="13884.897822999999"/>
  </r>
  <r>
    <x v="0"/>
    <x v="0"/>
    <s v="Q1"/>
    <x v="0"/>
    <s v="KEPL/02407/81-82"/>
    <s v="SHIVA SHAKTI CONCERN"/>
    <s v="Straight Premium"/>
    <x v="8"/>
    <n v="1"/>
    <n v="120"/>
    <n v="57.46"/>
    <n v="6895.2"/>
    <n v="-264.77999999999997"/>
    <n v="0"/>
    <n v="861.95471999999995"/>
    <n v="7492.3747199999998"/>
  </r>
  <r>
    <x v="0"/>
    <x v="0"/>
    <s v="Q1"/>
    <x v="0"/>
    <s v="KEPL/02407/81-82"/>
    <s v="SHIVA SHAKTI CONCERN"/>
    <s v="Straight Pouch"/>
    <x v="6"/>
    <n v="1"/>
    <n v="100"/>
    <n v="189.3"/>
    <n v="18930"/>
    <n v="-726.91000000000008"/>
    <n v="0"/>
    <n v="2366.4020310000001"/>
    <n v="20569.492031000002"/>
  </r>
  <r>
    <x v="0"/>
    <x v="0"/>
    <s v="Q1"/>
    <x v="0"/>
    <s v="KEPL/02407/81-82"/>
    <s v="SHIVA SHAKTI CONCERN"/>
    <s v="Blends"/>
    <x v="2"/>
    <n v="2"/>
    <n v="360"/>
    <n v="64.23"/>
    <n v="23122.799999999999"/>
    <n v="-887.92"/>
    <n v="0"/>
    <n v="2890.5348040000003"/>
    <n v="25125.414804"/>
  </r>
  <r>
    <x v="0"/>
    <x v="0"/>
    <s v="Q1"/>
    <x v="0"/>
    <s v="KEPL/02407/81-82"/>
    <s v="SHIVA SHAKTI CONCERN"/>
    <s v="Blends"/>
    <x v="0"/>
    <n v="1"/>
    <n v="180"/>
    <n v="64.23"/>
    <n v="11561.4"/>
    <n v="-443.96"/>
    <n v="0"/>
    <n v="1445.2674020000002"/>
    <n v="12562.707402"/>
  </r>
  <r>
    <x v="0"/>
    <x v="0"/>
    <s v="Q1"/>
    <x v="0"/>
    <s v="KEPL/02407/81-82"/>
    <s v="SHIVA SHAKTI CONCERN"/>
    <s v="Straight Pouch"/>
    <x v="1"/>
    <n v="1"/>
    <n v="100"/>
    <n v="108.17"/>
    <n v="10817"/>
    <n v="-415.37"/>
    <n v="0"/>
    <n v="1352.2120889999999"/>
    <n v="11753.842089"/>
  </r>
  <r>
    <x v="0"/>
    <x v="0"/>
    <s v="Q1"/>
    <x v="0"/>
    <s v="KEPL/02408/81-82"/>
    <s v="SURUWAT ENTERPRISES"/>
    <s v="Straight Pouch"/>
    <x v="13"/>
    <n v="1"/>
    <n v="100"/>
    <n v="124.88"/>
    <n v="12488"/>
    <n v="-479.54"/>
    <n v="0"/>
    <n v="0"/>
    <n v="12008.46"/>
  </r>
  <r>
    <x v="0"/>
    <x v="0"/>
    <s v="Q1"/>
    <x v="0"/>
    <s v="KEPL/02408/81-82"/>
    <s v="SURUWAT ENTERPRISES"/>
    <s v="Straight Pouch"/>
    <x v="12"/>
    <n v="1"/>
    <n v="40"/>
    <n v="297.52"/>
    <n v="11900.8"/>
    <n v="-456.99"/>
    <n v="0"/>
    <n v="0"/>
    <n v="11443.81"/>
  </r>
  <r>
    <x v="0"/>
    <x v="0"/>
    <s v="Q1"/>
    <x v="0"/>
    <s v="KEPL/02409/81-82"/>
    <s v="AARYA TRADE LINK PVT.LTD"/>
    <s v="Straight Pouch"/>
    <x v="12"/>
    <n v="1"/>
    <n v="40"/>
    <n v="297.52"/>
    <n v="11900.8"/>
    <n v="-456.99"/>
    <n v="0"/>
    <n v="0"/>
    <n v="11443.81"/>
  </r>
  <r>
    <x v="0"/>
    <x v="0"/>
    <s v="Q1"/>
    <x v="0"/>
    <s v="KEPL/02409/81-82"/>
    <s v="AARYA TRADE LINK PVT.LTD"/>
    <s v="Straight Pouch"/>
    <x v="13"/>
    <n v="1"/>
    <n v="100"/>
    <n v="124.88"/>
    <n v="12488"/>
    <n v="-479.54"/>
    <n v="0"/>
    <n v="0"/>
    <n v="12008.46"/>
  </r>
  <r>
    <x v="0"/>
    <x v="0"/>
    <s v="Q1"/>
    <x v="0"/>
    <s v="KEPL/02410/81-82"/>
    <s v="DURGA AND AAMOSH SUPPLIERS PVT.LTD"/>
    <s v="Straight Pouch"/>
    <x v="13"/>
    <n v="1"/>
    <n v="100"/>
    <n v="124.88"/>
    <n v="12488"/>
    <n v="-479.54"/>
    <n v="0"/>
    <n v="0"/>
    <n v="12008.46"/>
  </r>
  <r>
    <x v="0"/>
    <x v="0"/>
    <s v="Q1"/>
    <x v="0"/>
    <s v="KEPL/02410/81-82"/>
    <s v="DURGA AND AAMOSH SUPPLIERS PVT.LTD"/>
    <s v="Straight Pouch"/>
    <x v="12"/>
    <n v="1"/>
    <n v="40"/>
    <n v="297.52"/>
    <n v="11900.8"/>
    <n v="-456.99"/>
    <n v="0"/>
    <n v="0"/>
    <n v="11443.81"/>
  </r>
  <r>
    <x v="1"/>
    <x v="0"/>
    <s v="Q1"/>
    <x v="0"/>
    <s v="KEPL/02414/81-82"/>
    <s v="AMRIT TRADE CONCERN"/>
    <s v="Straight Premium"/>
    <x v="8"/>
    <n v="1"/>
    <n v="120"/>
    <n v="57.46"/>
    <n v="6895.2"/>
    <n v="-264.77999999999997"/>
    <n v="0"/>
    <n v="861.95471999999995"/>
    <n v="7492.3747199999998"/>
  </r>
  <r>
    <x v="1"/>
    <x v="0"/>
    <s v="Q1"/>
    <x v="0"/>
    <s v="KEPL/02414/81-82"/>
    <s v="AMRIT TRADE CONCERN"/>
    <s v="Straight Pouch"/>
    <x v="3"/>
    <n v="1"/>
    <n v="40"/>
    <n v="459.72"/>
    <n v="18388.8"/>
    <n v="-706.12999999999988"/>
    <n v="0"/>
    <n v="2298.747421"/>
    <n v="19981.417420999998"/>
  </r>
  <r>
    <x v="1"/>
    <x v="0"/>
    <s v="Q1"/>
    <x v="0"/>
    <s v="KEPL/02414/81-82"/>
    <s v="AMRIT TRADE CONCERN"/>
    <s v="Blends"/>
    <x v="10"/>
    <n v="1"/>
    <n v="180"/>
    <n v="60.84"/>
    <n v="10951.199999999999"/>
    <n v="-420.53"/>
    <n v="0"/>
    <n v="1368.9872909999999"/>
    <n v="11899.657291"/>
  </r>
  <r>
    <x v="1"/>
    <x v="0"/>
    <s v="Q1"/>
    <x v="0"/>
    <s v="KEPL/02414/81-82"/>
    <s v="AMRIT TRADE CONCERN"/>
    <s v="Blends"/>
    <x v="11"/>
    <n v="1"/>
    <n v="180"/>
    <n v="64.23"/>
    <n v="11561.4"/>
    <n v="-443.96"/>
    <n v="0"/>
    <n v="1445.2674020000002"/>
    <n v="12562.707402"/>
  </r>
  <r>
    <x v="1"/>
    <x v="0"/>
    <s v="Q1"/>
    <x v="0"/>
    <s v="KEPL/02414/81-82"/>
    <s v="AMRIT TRADE CONCERN"/>
    <s v="Blends"/>
    <x v="0"/>
    <n v="1"/>
    <n v="180"/>
    <n v="64.23"/>
    <n v="11561.4"/>
    <n v="-443.96"/>
    <n v="0"/>
    <n v="1445.2674020000002"/>
    <n v="12562.707402"/>
  </r>
  <r>
    <x v="1"/>
    <x v="0"/>
    <s v="Q1"/>
    <x v="0"/>
    <s v="KEPL/02414/81-82"/>
    <s v="AMRIT TRADE CONCERN"/>
    <s v="Straight Premium"/>
    <x v="7"/>
    <n v="2"/>
    <n v="240"/>
    <n v="152.11000000000001"/>
    <n v="36506.400000000001"/>
    <n v="-1401.85"/>
    <n v="0"/>
    <n v="4563.592138"/>
    <n v="39668.142138000003"/>
  </r>
  <r>
    <x v="1"/>
    <x v="0"/>
    <s v="Q1"/>
    <x v="0"/>
    <s v="KEPL/02414/81-82"/>
    <s v="AMRIT TRADE CONCERN"/>
    <s v="Straight Pouch"/>
    <x v="4"/>
    <n v="1"/>
    <n v="40"/>
    <n v="260.27999999999997"/>
    <n v="10411.200000000001"/>
    <n v="-399.79"/>
    <n v="0"/>
    <n v="1301.4834820000001"/>
    <n v="11312.893481999999"/>
  </r>
  <r>
    <x v="1"/>
    <x v="0"/>
    <s v="Q1"/>
    <x v="0"/>
    <s v="KEPL/02414/81-82"/>
    <s v="AMRIT TRADE CONCERN"/>
    <s v="Straight Premium"/>
    <x v="5"/>
    <n v="2"/>
    <n v="360"/>
    <n v="94.65"/>
    <n v="34074"/>
    <n v="-1308.44"/>
    <n v="0"/>
    <n v="4259.5233950000002"/>
    <n v="37025.083395000001"/>
  </r>
  <r>
    <x v="1"/>
    <x v="0"/>
    <s v="Q1"/>
    <x v="0"/>
    <s v="KEPL/02414/81-82"/>
    <s v="AMRIT TRADE CONCERN"/>
    <s v="Straight Pouch"/>
    <x v="1"/>
    <n v="1"/>
    <n v="100"/>
    <n v="108.17"/>
    <n v="10817"/>
    <n v="-415.37"/>
    <n v="0"/>
    <n v="1352.2120889999999"/>
    <n v="11753.842089"/>
  </r>
  <r>
    <x v="1"/>
    <x v="0"/>
    <s v="Q1"/>
    <x v="0"/>
    <s v="KEPL/02414/81-82"/>
    <s v="AMRIT TRADE CONCERN"/>
    <s v="Blends"/>
    <x v="2"/>
    <n v="2"/>
    <n v="360"/>
    <n v="64.23"/>
    <n v="23122.799999999999"/>
    <n v="-887.92"/>
    <n v="0"/>
    <n v="2890.5348040000003"/>
    <n v="25125.414804"/>
  </r>
  <r>
    <x v="1"/>
    <x v="0"/>
    <s v="Q1"/>
    <x v="0"/>
    <s v="KEPL/02414/81-82"/>
    <s v="AMRIT TRADE CONCERN"/>
    <s v="Straight Pouch"/>
    <x v="6"/>
    <n v="1"/>
    <n v="100"/>
    <n v="189.3"/>
    <n v="18930"/>
    <n v="-726.91000000000008"/>
    <n v="0"/>
    <n v="2366.4020310000001"/>
    <n v="20569.492031000002"/>
  </r>
  <r>
    <x v="1"/>
    <x v="0"/>
    <s v="Q1"/>
    <x v="0"/>
    <s v="KEPL/02414/81-82"/>
    <s v="AMRIT TRADE CONCERN"/>
    <s v="Blends"/>
    <x v="9"/>
    <n v="1"/>
    <n v="180"/>
    <n v="70.989999999999995"/>
    <n v="12778.2"/>
    <n v="-490.68"/>
    <n v="0"/>
    <n v="1597.377823"/>
    <n v="13884.897822999999"/>
  </r>
  <r>
    <x v="1"/>
    <x v="0"/>
    <s v="Q1"/>
    <x v="0"/>
    <s v="KEPL/02415/81-82"/>
    <s v="AMRIT TRADE CONCERN"/>
    <s v="Straight Pouch"/>
    <x v="13"/>
    <n v="1"/>
    <n v="100"/>
    <n v="124.88"/>
    <n v="12488"/>
    <n v="-479.54"/>
    <n v="0"/>
    <n v="0"/>
    <n v="12008.46"/>
  </r>
  <r>
    <x v="1"/>
    <x v="0"/>
    <s v="Q1"/>
    <x v="0"/>
    <s v="KEPL/02415/81-82"/>
    <s v="AMRIT TRADE CONCERN"/>
    <s v="Straight Pouch"/>
    <x v="12"/>
    <n v="1"/>
    <n v="40"/>
    <n v="297.52"/>
    <n v="11900.8"/>
    <n v="-456.99"/>
    <n v="0"/>
    <n v="0"/>
    <n v="11443.81"/>
  </r>
  <r>
    <x v="2"/>
    <x v="0"/>
    <s v="Q1"/>
    <x v="0"/>
    <s v="KEPL/02420/81-82"/>
    <s v="BEERA BARJEE INTERNATIONAL PVT.LTD"/>
    <s v="Straight Pouch"/>
    <x v="12"/>
    <n v="1"/>
    <n v="40"/>
    <n v="309.39999999999998"/>
    <n v="12376"/>
    <n v="-475.24"/>
    <n v="0"/>
    <n v="0"/>
    <n v="11900.76"/>
  </r>
  <r>
    <x v="2"/>
    <x v="0"/>
    <s v="Q1"/>
    <x v="0"/>
    <s v="KEPL/02420/81-82"/>
    <s v="BEERA BARJEE INTERNATIONAL PVT.LTD"/>
    <s v="Straight Pouch"/>
    <x v="13"/>
    <n v="1"/>
    <n v="100"/>
    <n v="129.88"/>
    <n v="12988.000000000002"/>
    <n v="-498.74"/>
    <n v="0"/>
    <n v="0"/>
    <n v="12489.26"/>
  </r>
  <r>
    <x v="2"/>
    <x v="0"/>
    <s v="Q1"/>
    <x v="0"/>
    <s v="KEPL/02421/81-82"/>
    <s v="BEERA BARJEE INTERNATIONAL PVT.LTD"/>
    <s v="Blends"/>
    <x v="14"/>
    <n v="1"/>
    <n v="180"/>
    <n v="135.21"/>
    <n v="24337.8"/>
    <n v="-934.56999999999994"/>
    <n v="0"/>
    <n v="3042.420204"/>
    <n v="26445.650204000001"/>
  </r>
  <r>
    <x v="2"/>
    <x v="0"/>
    <s v="Q1"/>
    <x v="0"/>
    <s v="KEPL/02421/81-82"/>
    <s v="BEERA BARJEE INTERNATIONAL PVT.LTD"/>
    <s v="Blends"/>
    <x v="15"/>
    <n v="1"/>
    <n v="180"/>
    <n v="114.93"/>
    <n v="20687.400000000001"/>
    <n v="-794.4"/>
    <n v="0"/>
    <n v="2586.0902579999997"/>
    <n v="22479.090258"/>
  </r>
  <r>
    <x v="2"/>
    <x v="0"/>
    <s v="Q1"/>
    <x v="0"/>
    <s v="KEPL/02421/81-82"/>
    <s v="BEERA BARJEE INTERNATIONAL PVT.LTD"/>
    <s v="Blends"/>
    <x v="16"/>
    <n v="1"/>
    <n v="120"/>
    <n v="121.69"/>
    <n v="14602.800000000001"/>
    <n v="-560.75"/>
    <n v="0"/>
    <n v="1825.466682"/>
    <n v="15867.516681999999"/>
  </r>
  <r>
    <x v="2"/>
    <x v="0"/>
    <s v="Q1"/>
    <x v="0"/>
    <s v="KEPL/02421/81-82"/>
    <s v="BEERA BARJEE INTERNATIONAL PVT.LTD"/>
    <s v="Blends"/>
    <x v="11"/>
    <n v="1"/>
    <n v="180"/>
    <n v="64.23"/>
    <n v="11561.4"/>
    <n v="-443.96"/>
    <n v="0"/>
    <n v="1445.2673439999999"/>
    <n v="12562.707344"/>
  </r>
  <r>
    <x v="2"/>
    <x v="0"/>
    <s v="Q1"/>
    <x v="0"/>
    <s v="KEPL/02421/81-82"/>
    <s v="BEERA BARJEE INTERNATIONAL PVT.LTD"/>
    <s v="Blends"/>
    <x v="17"/>
    <n v="1"/>
    <n v="180"/>
    <n v="121.69"/>
    <n v="21904.199999999997"/>
    <n v="-841.12"/>
    <n v="0"/>
    <n v="2738.2006740000002"/>
    <n v="23801.280674000001"/>
  </r>
  <r>
    <x v="2"/>
    <x v="0"/>
    <s v="Q1"/>
    <x v="0"/>
    <s v="KEPL/02421/81-82"/>
    <s v="BEERA BARJEE INTERNATIONAL PVT.LTD"/>
    <s v="Blends"/>
    <x v="2"/>
    <n v="1"/>
    <n v="180"/>
    <n v="64.23"/>
    <n v="11561.4"/>
    <n v="-443.96"/>
    <n v="0"/>
    <n v="1445.2673439999999"/>
    <n v="12562.707344"/>
  </r>
  <r>
    <x v="2"/>
    <x v="0"/>
    <s v="Q1"/>
    <x v="0"/>
    <s v="KEPL/02421/81-82"/>
    <s v="BEERA BARJEE INTERNATIONAL PVT.LTD"/>
    <s v="Blends"/>
    <x v="18"/>
    <n v="1"/>
    <n v="120"/>
    <n v="141.97"/>
    <n v="17036.400000000001"/>
    <n v="-654.20000000000005"/>
    <n v="0"/>
    <n v="2129.686213"/>
    <n v="18511.886213000002"/>
  </r>
  <r>
    <x v="2"/>
    <x v="0"/>
    <s v="Q1"/>
    <x v="0"/>
    <s v="KEPL/02421/81-82"/>
    <s v="BEERA BARJEE INTERNATIONAL PVT.LTD"/>
    <s v="Blends"/>
    <x v="9"/>
    <n v="1"/>
    <n v="180"/>
    <n v="70.989999999999995"/>
    <n v="12778.2"/>
    <n v="-490.68"/>
    <n v="0"/>
    <n v="1597.3777600000001"/>
    <n v="13884.89776"/>
  </r>
  <r>
    <x v="2"/>
    <x v="0"/>
    <s v="Q1"/>
    <x v="0"/>
    <s v="KEPL/02421/81-82"/>
    <s v="BEERA BARJEE INTERNATIONAL PVT.LTD"/>
    <s v="Blends"/>
    <x v="19"/>
    <n v="1"/>
    <n v="180"/>
    <n v="155.49"/>
    <n v="27988.2"/>
    <n v="-1074.75"/>
    <n v="0"/>
    <n v="3498.7488490000001"/>
    <n v="30412.198849"/>
  </r>
  <r>
    <x v="2"/>
    <x v="0"/>
    <s v="Q1"/>
    <x v="0"/>
    <s v="KEPL/02421/81-82"/>
    <s v="BEERA BARJEE INTERNATIONAL PVT.LTD"/>
    <s v="Blends"/>
    <x v="20"/>
    <n v="1"/>
    <n v="120"/>
    <n v="121.69"/>
    <n v="14602.800000000001"/>
    <n v="-560.75"/>
    <n v="0"/>
    <n v="1825.466682"/>
    <n v="15867.516681999999"/>
  </r>
  <r>
    <x v="2"/>
    <x v="0"/>
    <s v="Q1"/>
    <x v="0"/>
    <s v="KEPL/02421/81-82"/>
    <s v="BEERA BARJEE INTERNATIONAL PVT.LTD"/>
    <s v="Blends"/>
    <x v="21"/>
    <n v="1"/>
    <n v="80"/>
    <n v="189.3"/>
    <n v="15144"/>
    <n v="-581.53"/>
    <n v="0"/>
    <n v="1893.1212889999999"/>
    <n v="16455.591289"/>
  </r>
  <r>
    <x v="2"/>
    <x v="0"/>
    <s v="Q1"/>
    <x v="0"/>
    <s v="KEPL/02421/81-82"/>
    <s v="BEERA BARJEE INTERNATIONAL PVT.LTD"/>
    <s v="Straight Premium"/>
    <x v="22"/>
    <n v="1"/>
    <n v="40"/>
    <n v="297.45999999999998"/>
    <n v="11898.4"/>
    <n v="-456.9"/>
    <n v="0"/>
    <n v="1487.3951489999999"/>
    <n v="12928.895149"/>
  </r>
  <r>
    <x v="2"/>
    <x v="0"/>
    <s v="Q1"/>
    <x v="0"/>
    <s v="KEPL/02421/81-82"/>
    <s v="BEERA BARJEE INTERNATIONAL PVT.LTD"/>
    <s v="Straight Premium"/>
    <x v="7"/>
    <n v="1"/>
    <n v="120"/>
    <n v="152.11000000000001"/>
    <n v="18253.2"/>
    <n v="-700.92"/>
    <n v="0"/>
    <n v="2281.7966280000001"/>
    <n v="19834.076627999999"/>
  </r>
  <r>
    <x v="2"/>
    <x v="0"/>
    <s v="Q1"/>
    <x v="0"/>
    <s v="KEPL/02421/81-82"/>
    <s v="BEERA BARJEE INTERNATIONAL PVT.LTD"/>
    <s v="Straight Premium"/>
    <x v="5"/>
    <n v="1"/>
    <n v="180"/>
    <n v="94.65"/>
    <n v="17037"/>
    <n v="-654.22"/>
    <n v="0"/>
    <n v="2129.7616129999997"/>
    <n v="18512.541613000001"/>
  </r>
  <r>
    <x v="2"/>
    <x v="0"/>
    <s v="Q1"/>
    <x v="0"/>
    <s v="KEPL/02421/81-82"/>
    <s v="BEERA BARJEE INTERNATIONAL PVT.LTD"/>
    <s v="Blends"/>
    <x v="0"/>
    <n v="1"/>
    <n v="180"/>
    <n v="64.23"/>
    <n v="11561.4"/>
    <n v="-443.96"/>
    <n v="0"/>
    <n v="1445.2673439999999"/>
    <n v="12562.707344"/>
  </r>
  <r>
    <x v="2"/>
    <x v="0"/>
    <s v="Q1"/>
    <x v="0"/>
    <s v="KEPL/02421/81-82"/>
    <s v="BEERA BARJEE INTERNATIONAL PVT.LTD"/>
    <s v="Straight Premium"/>
    <x v="23"/>
    <n v="1"/>
    <n v="180"/>
    <n v="182.53"/>
    <n v="32855.4"/>
    <n v="-1261.6499999999999"/>
    <n v="0"/>
    <n v="4107.1879099999996"/>
    <n v="35700.937910000001"/>
  </r>
  <r>
    <x v="2"/>
    <x v="0"/>
    <s v="Q1"/>
    <x v="0"/>
    <s v="KEPL/02421/81-82"/>
    <s v="BEERA BARJEE INTERNATIONAL PVT.LTD"/>
    <s v="Blends"/>
    <x v="10"/>
    <n v="1"/>
    <n v="180"/>
    <n v="60.84"/>
    <n v="10951.199999999999"/>
    <n v="-420.53"/>
    <n v="0"/>
    <n v="1368.9872370000001"/>
    <n v="11899.657236999999"/>
  </r>
  <r>
    <x v="2"/>
    <x v="0"/>
    <s v="Q1"/>
    <x v="0"/>
    <s v="KEPL/02421/81-82"/>
    <s v="BEERA BARJEE INTERNATIONAL PVT.LTD"/>
    <s v="Straight Premium"/>
    <x v="24"/>
    <n v="1"/>
    <n v="40"/>
    <n v="439.44"/>
    <n v="17577.599999999999"/>
    <n v="-674.98"/>
    <n v="0"/>
    <n v="2197.340819"/>
    <n v="19099.960819"/>
  </r>
  <r>
    <x v="2"/>
    <x v="0"/>
    <s v="Q1"/>
    <x v="0"/>
    <s v="KEPL/02422/81-82"/>
    <s v="BEERA BARJEE INTERNATIONAL PVT.LTD"/>
    <s v="Sprinkler"/>
    <x v="25"/>
    <n v="2"/>
    <n v="96"/>
    <n v="310.99"/>
    <n v="29855.039999999997"/>
    <n v="-1146.43"/>
    <n v="0"/>
    <n v="3732.119087"/>
    <n v="32440.729087"/>
  </r>
  <r>
    <x v="2"/>
    <x v="0"/>
    <s v="Q1"/>
    <x v="0"/>
    <s v="KEPL/02422/81-82"/>
    <s v="BEERA BARJEE INTERNATIONAL PVT.LTD"/>
    <s v="Sprinkler"/>
    <x v="26"/>
    <n v="2"/>
    <n v="144"/>
    <n v="131.83000000000001"/>
    <n v="18983.52"/>
    <n v="-728.96999999999991"/>
    <n v="0"/>
    <n v="2373.0913640000003"/>
    <n v="20627.641363999999"/>
  </r>
  <r>
    <x v="2"/>
    <x v="0"/>
    <s v="Q1"/>
    <x v="0"/>
    <s v="KEPL/02422/81-82"/>
    <s v="BEERA BARJEE INTERNATIONAL PVT.LTD"/>
    <s v="Straight Pouch"/>
    <x v="4"/>
    <n v="1"/>
    <n v="40"/>
    <n v="260.27999999999997"/>
    <n v="10411.200000000001"/>
    <n v="-399.79"/>
    <n v="0"/>
    <n v="1301.4832260000001"/>
    <n v="11312.893226"/>
  </r>
  <r>
    <x v="2"/>
    <x v="0"/>
    <s v="Q1"/>
    <x v="0"/>
    <s v="KEPL/02422/81-82"/>
    <s v="BEERA BARJEE INTERNATIONAL PVT.LTD"/>
    <s v="Blends"/>
    <x v="27"/>
    <n v="1"/>
    <n v="120"/>
    <n v="118.31"/>
    <n v="14197.199999999999"/>
    <n v="-545.16999999999996"/>
    <n v="0"/>
    <n v="1774.7637990000001"/>
    <n v="15426.793798999999"/>
  </r>
  <r>
    <x v="2"/>
    <x v="0"/>
    <s v="Q1"/>
    <x v="0"/>
    <s v="KEPL/02422/81-82"/>
    <s v="BEERA BARJEE INTERNATIONAL PVT.LTD"/>
    <s v="Straight Premium"/>
    <x v="8"/>
    <n v="1"/>
    <n v="120"/>
    <n v="57.46"/>
    <n v="6895.2"/>
    <n v="-264.77999999999997"/>
    <n v="0"/>
    <n v="861.95455099999992"/>
    <n v="7492.3745509999999"/>
  </r>
  <r>
    <x v="2"/>
    <x v="0"/>
    <s v="Q1"/>
    <x v="0"/>
    <s v="KEPL/02422/81-82"/>
    <s v="BEERA BARJEE INTERNATIONAL PVT.LTD"/>
    <s v="Straight Premium"/>
    <x v="28"/>
    <n v="1"/>
    <n v="80"/>
    <n v="169.01"/>
    <n v="13520.8"/>
    <n v="-519.20000000000005"/>
    <n v="0"/>
    <n v="1690.207903"/>
    <n v="14691.807903000001"/>
  </r>
  <r>
    <x v="2"/>
    <x v="0"/>
    <s v="Q1"/>
    <x v="0"/>
    <s v="KEPL/02422/81-82"/>
    <s v="BEERA BARJEE INTERNATIONAL PVT.LTD"/>
    <s v="Straight Pouch"/>
    <x v="1"/>
    <n v="1"/>
    <n v="100"/>
    <n v="108.17"/>
    <n v="10817"/>
    <n v="-415.37"/>
    <n v="0"/>
    <n v="1352.2118229999999"/>
    <n v="11753.841823000001"/>
  </r>
  <r>
    <x v="2"/>
    <x v="0"/>
    <s v="Q1"/>
    <x v="0"/>
    <s v="KEPL/02422/81-82"/>
    <s v="BEERA BARJEE INTERNATIONAL PVT.LTD"/>
    <s v="Cooking Paste"/>
    <x v="29"/>
    <n v="1"/>
    <n v="120"/>
    <n v="57.46"/>
    <n v="6895.2"/>
    <n v="-264.77999999999997"/>
    <n v="0"/>
    <n v="861.95455099999992"/>
    <n v="7492.3745509999999"/>
  </r>
  <r>
    <x v="2"/>
    <x v="0"/>
    <s v="Q1"/>
    <x v="0"/>
    <s v="KEPL/02422/81-82"/>
    <s v="BEERA BARJEE INTERNATIONAL PVT.LTD"/>
    <s v="Straight Pouch"/>
    <x v="6"/>
    <n v="1"/>
    <n v="100"/>
    <n v="189.3"/>
    <n v="18930"/>
    <n v="-726.91000000000008"/>
    <n v="0"/>
    <n v="2366.4015649999997"/>
    <n v="20569.491565"/>
  </r>
  <r>
    <x v="2"/>
    <x v="0"/>
    <s v="Q1"/>
    <x v="0"/>
    <s v="KEPL/02422/81-82"/>
    <s v="BEERA BARJEE INTERNATIONAL PVT.LTD"/>
    <s v="Cooking Paste"/>
    <x v="30"/>
    <n v="2"/>
    <n v="120"/>
    <n v="98.03"/>
    <n v="11763.6"/>
    <n v="-451.72"/>
    <n v="0"/>
    <n v="1470.544316"/>
    <n v="12782.424316000001"/>
  </r>
  <r>
    <x v="2"/>
    <x v="0"/>
    <s v="Q1"/>
    <x v="0"/>
    <s v="KEPL/02422/81-82"/>
    <s v="BEERA BARJEE INTERNATIONAL PVT.LTD"/>
    <s v="Straight Pouch"/>
    <x v="3"/>
    <n v="1"/>
    <n v="40"/>
    <n v="459.72"/>
    <n v="18388.8"/>
    <n v="-706.12999999999988"/>
    <n v="0"/>
    <n v="2298.7469690000003"/>
    <n v="19981.416969000002"/>
  </r>
  <r>
    <x v="2"/>
    <x v="0"/>
    <s v="Q1"/>
    <x v="0"/>
    <s v="KEPL/02422/81-82"/>
    <s v="BEERA BARJEE INTERNATIONAL PVT.LTD"/>
    <s v="Sprinkler"/>
    <x v="31"/>
    <n v="2"/>
    <n v="144"/>
    <n v="148.72999999999999"/>
    <n v="21417.119999999999"/>
    <n v="-822.42"/>
    <n v="0"/>
    <n v="2677.3108469999997"/>
    <n v="23272.010847000001"/>
  </r>
  <r>
    <x v="3"/>
    <x v="0"/>
    <s v="Q1"/>
    <x v="0"/>
    <s v="KEPL/02436/81-82"/>
    <s v="DS SPICECO L &amp; D"/>
    <s v="Blends"/>
    <x v="19"/>
    <n v="0.03"/>
    <n v="5"/>
    <n v="155.49"/>
    <n v="777.44999999999993"/>
    <n v="-29.85"/>
    <n v="0"/>
    <n v="97.187963999999994"/>
    <n v="844.78796399999999"/>
  </r>
  <r>
    <x v="3"/>
    <x v="0"/>
    <s v="Q1"/>
    <x v="0"/>
    <s v="KEPL/02436/81-82"/>
    <s v="DS SPICECO L &amp; D"/>
    <s v="Straight Premium"/>
    <x v="22"/>
    <n v="0.13"/>
    <n v="5"/>
    <n v="297.45999999999998"/>
    <n v="1487.3"/>
    <n v="-57.11"/>
    <n v="0"/>
    <n v="185.92463100000001"/>
    <n v="1616.1146309999999"/>
  </r>
  <r>
    <x v="3"/>
    <x v="0"/>
    <s v="Q1"/>
    <x v="0"/>
    <s v="KEPL/02436/81-82"/>
    <s v="DS SPICECO L &amp; D"/>
    <s v="Straight Premium"/>
    <x v="23"/>
    <n v="0.03"/>
    <n v="5"/>
    <n v="182.53"/>
    <n v="912.65"/>
    <n v="-35.049999999999997"/>
    <n v="0"/>
    <n v="114.08795800000001"/>
    <n v="991.68795799999998"/>
  </r>
  <r>
    <x v="3"/>
    <x v="0"/>
    <s v="Q1"/>
    <x v="0"/>
    <s v="KEPL/02436/81-82"/>
    <s v="DS SPICECO L &amp; D"/>
    <s v="Blends"/>
    <x v="2"/>
    <n v="0.03"/>
    <n v="5"/>
    <n v="64.23"/>
    <n v="321.14999999999998"/>
    <n v="-12.33"/>
    <n v="0"/>
    <n v="40.146584999999995"/>
    <n v="348.96658500000001"/>
  </r>
  <r>
    <x v="3"/>
    <x v="0"/>
    <s v="Q1"/>
    <x v="0"/>
    <s v="KEPL/02436/81-82"/>
    <s v="DS SPICECO L &amp; D"/>
    <s v="Blends"/>
    <x v="10"/>
    <n v="0.03"/>
    <n v="5"/>
    <n v="60.84"/>
    <n v="304.2"/>
    <n v="-11.68"/>
    <n v="0"/>
    <n v="38.027585999999999"/>
    <n v="330.54758600000002"/>
  </r>
  <r>
    <x v="3"/>
    <x v="0"/>
    <s v="Q1"/>
    <x v="0"/>
    <s v="KEPL/02436/81-82"/>
    <s v="DS SPICECO L &amp; D"/>
    <s v="Blends"/>
    <x v="16"/>
    <n v="0.04"/>
    <n v="5"/>
    <n v="121.69"/>
    <n v="608.44999999999993"/>
    <n v="-23.36"/>
    <n v="0"/>
    <n v="76.061672000000002"/>
    <n v="661.15167199999996"/>
  </r>
  <r>
    <x v="3"/>
    <x v="0"/>
    <s v="Q1"/>
    <x v="0"/>
    <s v="KEPL/02436/81-82"/>
    <s v="DS SPICECO L &amp; D"/>
    <s v="Blends"/>
    <x v="15"/>
    <n v="0.03"/>
    <n v="5"/>
    <n v="114.93"/>
    <n v="574.65"/>
    <n v="-22.07"/>
    <n v="0"/>
    <n v="71.83537299999999"/>
    <n v="624.41537300000005"/>
  </r>
  <r>
    <x v="3"/>
    <x v="0"/>
    <s v="Q1"/>
    <x v="0"/>
    <s v="KEPL/02436/81-82"/>
    <s v="DS SPICECO L &amp; D"/>
    <s v="Straight Premium"/>
    <x v="5"/>
    <n v="0.03"/>
    <n v="5"/>
    <n v="94.65"/>
    <n v="473.25"/>
    <n v="-18.170000000000002"/>
    <n v="0"/>
    <n v="59.160378000000001"/>
    <n v="514.24037799999996"/>
  </r>
  <r>
    <x v="3"/>
    <x v="0"/>
    <s v="Q1"/>
    <x v="0"/>
    <s v="KEPL/02436/81-82"/>
    <s v="DS SPICECO L &amp; D"/>
    <s v="Blends"/>
    <x v="18"/>
    <n v="0.04"/>
    <n v="5"/>
    <n v="141.97"/>
    <n v="709.84999999999991"/>
    <n v="-27.26"/>
    <n v="0"/>
    <n v="88.736666999999997"/>
    <n v="771.32666700000004"/>
  </r>
  <r>
    <x v="3"/>
    <x v="0"/>
    <s v="Q1"/>
    <x v="0"/>
    <s v="KEPL/02436/81-82"/>
    <s v="DS SPICECO L &amp; D"/>
    <s v="Straight Premium"/>
    <x v="7"/>
    <n v="0.04"/>
    <n v="5"/>
    <n v="152.11000000000001"/>
    <n v="760.55000000000007"/>
    <n v="-29.21"/>
    <n v="0"/>
    <n v="95.074164999999994"/>
    <n v="826.41416500000003"/>
  </r>
  <r>
    <x v="3"/>
    <x v="0"/>
    <s v="Q1"/>
    <x v="0"/>
    <s v="KEPL/02436/81-82"/>
    <s v="DS SPICECO L &amp; D"/>
    <s v="Blends"/>
    <x v="11"/>
    <n v="0.03"/>
    <n v="5"/>
    <n v="64.23"/>
    <n v="321.14999999999998"/>
    <n v="-12.33"/>
    <n v="0"/>
    <n v="40.146584999999995"/>
    <n v="348.96658500000001"/>
  </r>
  <r>
    <x v="3"/>
    <x v="0"/>
    <s v="Q1"/>
    <x v="0"/>
    <s v="KEPL/02436/81-82"/>
    <s v="DS SPICECO L &amp; D"/>
    <s v="Straight Premium"/>
    <x v="24"/>
    <n v="0.13"/>
    <n v="5"/>
    <n v="439.44"/>
    <n v="2197.1999999999998"/>
    <n v="-84.37"/>
    <n v="0"/>
    <n v="274.667798"/>
    <n v="2387.4977979999999"/>
  </r>
  <r>
    <x v="3"/>
    <x v="0"/>
    <s v="Q1"/>
    <x v="0"/>
    <s v="KEPL/02436/81-82"/>
    <s v="DS SPICECO L &amp; D"/>
    <s v="Blends"/>
    <x v="14"/>
    <n v="0.03"/>
    <n v="5"/>
    <n v="135.21"/>
    <n v="676.05"/>
    <n v="-25.96"/>
    <n v="0"/>
    <n v="84.511668999999998"/>
    <n v="734.60166900000002"/>
  </r>
  <r>
    <x v="3"/>
    <x v="0"/>
    <s v="Q1"/>
    <x v="0"/>
    <s v="KEPL/02436/81-82"/>
    <s v="DS SPICECO L &amp; D"/>
    <s v="Blends"/>
    <x v="17"/>
    <n v="0.03"/>
    <n v="5"/>
    <n v="121.69"/>
    <n v="608.44999999999993"/>
    <n v="-23.36"/>
    <n v="0"/>
    <n v="76.061672000000002"/>
    <n v="661.15167199999996"/>
  </r>
  <r>
    <x v="3"/>
    <x v="0"/>
    <s v="Q1"/>
    <x v="0"/>
    <s v="KEPL/02436/81-82"/>
    <s v="DS SPICECO L &amp; D"/>
    <s v="Blends"/>
    <x v="20"/>
    <n v="0.04"/>
    <n v="5"/>
    <n v="121.69"/>
    <n v="608.44999999999993"/>
    <n v="-23.36"/>
    <n v="0"/>
    <n v="76.061672000000002"/>
    <n v="661.15167199999996"/>
  </r>
  <r>
    <x v="3"/>
    <x v="0"/>
    <s v="Q1"/>
    <x v="0"/>
    <s v="KEPL/02436/81-82"/>
    <s v="DS SPICECO L &amp; D"/>
    <s v="Blends"/>
    <x v="21"/>
    <n v="0.06"/>
    <n v="5"/>
    <n v="189.3"/>
    <n v="946.5"/>
    <n v="-36.35"/>
    <n v="0"/>
    <n v="118.319456"/>
    <n v="1028.469456"/>
  </r>
  <r>
    <x v="3"/>
    <x v="0"/>
    <s v="Q1"/>
    <x v="0"/>
    <s v="KEPL/02436/81-82"/>
    <s v="DS SPICECO L &amp; D"/>
    <s v="Blends"/>
    <x v="9"/>
    <n v="0.03"/>
    <n v="5"/>
    <n v="70.989999999999995"/>
    <n v="354.95"/>
    <n v="-13.63"/>
    <n v="0"/>
    <n v="44.371583999999999"/>
    <n v="385.69158399999998"/>
  </r>
  <r>
    <x v="3"/>
    <x v="0"/>
    <s v="Q1"/>
    <x v="0"/>
    <s v="KEPL/02436/81-82"/>
    <s v="DS SPICECO L &amp; D"/>
    <s v="Blends"/>
    <x v="0"/>
    <n v="0.03"/>
    <n v="5"/>
    <n v="64.23"/>
    <n v="321.14999999999998"/>
    <n v="-12.33"/>
    <n v="0"/>
    <n v="40.146584999999995"/>
    <n v="348.96658500000001"/>
  </r>
  <r>
    <x v="3"/>
    <x v="0"/>
    <s v="Q1"/>
    <x v="0"/>
    <s v="KEPL/02437/81-82"/>
    <s v="DS SPICECO L &amp; D"/>
    <s v="Straight Pouch"/>
    <x v="6"/>
    <n v="0.05"/>
    <n v="5"/>
    <n v="189.3"/>
    <n v="946.5"/>
    <n v="-36.35"/>
    <n v="0"/>
    <n v="118.319518"/>
    <n v="1028.4695180000001"/>
  </r>
  <r>
    <x v="3"/>
    <x v="0"/>
    <s v="Q1"/>
    <x v="0"/>
    <s v="KEPL/02437/81-82"/>
    <s v="DS SPICECO L &amp; D"/>
    <s v="Straight Premium"/>
    <x v="28"/>
    <n v="0.06"/>
    <n v="5"/>
    <n v="169.01"/>
    <n v="845.05"/>
    <n v="-32.450000000000003"/>
    <n v="0"/>
    <n v="105.63801599999999"/>
    <n v="918.23801600000002"/>
  </r>
  <r>
    <x v="3"/>
    <x v="0"/>
    <s v="Q1"/>
    <x v="0"/>
    <s v="KEPL/02437/81-82"/>
    <s v="DS SPICECO L &amp; D"/>
    <s v="Straight Pouch"/>
    <x v="1"/>
    <n v="0.05"/>
    <n v="5"/>
    <n v="108.17"/>
    <n v="540.85"/>
    <n v="-20.77"/>
    <n v="0"/>
    <n v="67.610410000000002"/>
    <n v="587.69041000000004"/>
  </r>
  <r>
    <x v="3"/>
    <x v="0"/>
    <s v="Q1"/>
    <x v="0"/>
    <s v="KEPL/02437/81-82"/>
    <s v="DS SPICECO L &amp; D"/>
    <s v="Cooking Paste"/>
    <x v="29"/>
    <n v="0.04"/>
    <n v="5"/>
    <n v="57.46"/>
    <n v="287.3"/>
    <n v="-11.03"/>
    <n v="0"/>
    <n v="35.915104999999997"/>
    <n v="312.18510500000002"/>
  </r>
  <r>
    <x v="3"/>
    <x v="0"/>
    <s v="Q1"/>
    <x v="0"/>
    <s v="KEPL/02437/81-82"/>
    <s v="DS SPICECO L &amp; D"/>
    <s v="Straight Premium"/>
    <x v="8"/>
    <n v="0.04"/>
    <n v="5"/>
    <n v="57.46"/>
    <n v="287.3"/>
    <n v="-11.03"/>
    <n v="0"/>
    <n v="35.915104999999997"/>
    <n v="312.18510500000002"/>
  </r>
  <r>
    <x v="3"/>
    <x v="0"/>
    <s v="Q1"/>
    <x v="0"/>
    <s v="KEPL/02437/81-82"/>
    <s v="DS SPICECO L &amp; D"/>
    <s v="Straight Pouch"/>
    <x v="3"/>
    <n v="0.13"/>
    <n v="5"/>
    <n v="459.72"/>
    <n v="2298.6"/>
    <n v="-88.27"/>
    <n v="0"/>
    <n v="287.34294399999999"/>
    <n v="2497.6729439999999"/>
  </r>
  <r>
    <x v="3"/>
    <x v="0"/>
    <s v="Q1"/>
    <x v="0"/>
    <s v="KEPL/02437/81-82"/>
    <s v="DS SPICECO L &amp; D"/>
    <s v="Straight Pouch"/>
    <x v="4"/>
    <n v="0.13"/>
    <n v="5"/>
    <n v="260.27999999999997"/>
    <n v="1301.4000000000001"/>
    <n v="-49.97"/>
    <n v="0"/>
    <n v="162.68592500000003"/>
    <n v="1414.1159250000001"/>
  </r>
  <r>
    <x v="3"/>
    <x v="0"/>
    <s v="Q1"/>
    <x v="0"/>
    <s v="KEPL/02437/81-82"/>
    <s v="DS SPICECO L &amp; D"/>
    <s v="Sprinkler"/>
    <x v="25"/>
    <n v="0.1"/>
    <n v="5"/>
    <n v="310.99"/>
    <n v="1554.95"/>
    <n v="-59.71"/>
    <n v="0"/>
    <n v="194.38122900000002"/>
    <n v="1689.6212290000001"/>
  </r>
  <r>
    <x v="3"/>
    <x v="0"/>
    <s v="Q1"/>
    <x v="0"/>
    <s v="KEPL/02437/81-82"/>
    <s v="DS SPICECO L &amp; D"/>
    <s v="Sprinkler"/>
    <x v="31"/>
    <n v="7.0000000000000007E-2"/>
    <n v="5"/>
    <n v="148.72999999999999"/>
    <n v="743.65"/>
    <n v="-28.56"/>
    <n v="0"/>
    <n v="92.961713999999986"/>
    <n v="808.05171399999995"/>
  </r>
  <r>
    <x v="3"/>
    <x v="0"/>
    <s v="Q1"/>
    <x v="0"/>
    <s v="KEPL/02437/81-82"/>
    <s v="DS SPICECO L &amp; D"/>
    <s v="Blends"/>
    <x v="27"/>
    <n v="0.04"/>
    <n v="5"/>
    <n v="118.31"/>
    <n v="591.55000000000007"/>
    <n v="-22.72"/>
    <n v="0"/>
    <n v="73.947911000000005"/>
    <n v="642.77791100000002"/>
  </r>
  <r>
    <x v="3"/>
    <x v="0"/>
    <s v="Q1"/>
    <x v="0"/>
    <s v="KEPL/02437/81-82"/>
    <s v="DS SPICECO L &amp; D"/>
    <s v="Sprinkler"/>
    <x v="26"/>
    <n v="7.0000000000000007E-2"/>
    <n v="5"/>
    <n v="131.83000000000001"/>
    <n v="659.15000000000009"/>
    <n v="-25.31"/>
    <n v="0"/>
    <n v="82.399212000000006"/>
    <n v="716.23921199999995"/>
  </r>
  <r>
    <x v="3"/>
    <x v="0"/>
    <s v="Q1"/>
    <x v="0"/>
    <s v="KEPL/02437/81-82"/>
    <s v="DS SPICECO L &amp; D"/>
    <s v="Cooking Paste"/>
    <x v="30"/>
    <n v="0.08"/>
    <n v="5"/>
    <n v="98.03"/>
    <n v="490.15"/>
    <n v="-18.82"/>
    <n v="0"/>
    <n v="61.272908999999999"/>
    <n v="532.60290899999995"/>
  </r>
  <r>
    <x v="3"/>
    <x v="0"/>
    <s v="Q1"/>
    <x v="0"/>
    <s v="KEPL/02438/81-82"/>
    <s v="DS SPICECO L &amp; D"/>
    <s v="Straight Pouch"/>
    <x v="13"/>
    <n v="0.05"/>
    <n v="5"/>
    <n v="129.88"/>
    <n v="649.4"/>
    <n v="-24.94"/>
    <n v="0"/>
    <n v="0"/>
    <n v="624.46"/>
  </r>
  <r>
    <x v="3"/>
    <x v="0"/>
    <s v="Q1"/>
    <x v="0"/>
    <s v="KEPL/02438/81-82"/>
    <s v="DS SPICECO L &amp; D"/>
    <s v="Straight Pouch"/>
    <x v="12"/>
    <n v="0.13"/>
    <n v="5"/>
    <n v="309.39999999999998"/>
    <n v="1547"/>
    <n v="-59.4"/>
    <n v="0"/>
    <n v="0"/>
    <n v="1487.6"/>
  </r>
  <r>
    <x v="4"/>
    <x v="0"/>
    <s v="Q1"/>
    <x v="0"/>
    <s v="KEPL/02446/81-82"/>
    <s v="SAFAL MART PVT.LTD"/>
    <s v="Blends"/>
    <x v="18"/>
    <n v="1"/>
    <n v="120"/>
    <n v="141.97"/>
    <n v="17036.400000000001"/>
    <n v="-654.20000000000005"/>
    <n v="0"/>
    <n v="2129.6860619999998"/>
    <n v="18511.886062000001"/>
  </r>
  <r>
    <x v="4"/>
    <x v="0"/>
    <s v="Q1"/>
    <x v="0"/>
    <s v="KEPL/02446/81-82"/>
    <s v="SAFAL MART PVT.LTD"/>
    <s v="Blends"/>
    <x v="27"/>
    <n v="2"/>
    <n v="240"/>
    <n v="118.31"/>
    <n v="28394.399999999998"/>
    <n v="-1090.3399999999999"/>
    <n v="0"/>
    <n v="3549.5279030000002"/>
    <n v="30853.587903"/>
  </r>
  <r>
    <x v="4"/>
    <x v="0"/>
    <s v="Q1"/>
    <x v="0"/>
    <s v="KEPL/02446/81-82"/>
    <s v="SAFAL MART PVT.LTD"/>
    <s v="Blends"/>
    <x v="17"/>
    <n v="1"/>
    <n v="180"/>
    <n v="121.69"/>
    <n v="21904.199999999997"/>
    <n v="-841.12"/>
    <n v="0"/>
    <n v="2738.20048"/>
    <n v="23801.280480000001"/>
  </r>
  <r>
    <x v="4"/>
    <x v="0"/>
    <s v="Q1"/>
    <x v="0"/>
    <s v="KEPL/02446/81-82"/>
    <s v="SAFAL MART PVT.LTD"/>
    <s v="Straight Pouch"/>
    <x v="3"/>
    <n v="1"/>
    <n v="40"/>
    <n v="459.72"/>
    <n v="18388.8"/>
    <n v="-706.12999999999988"/>
    <n v="0"/>
    <n v="2298.747167"/>
    <n v="19981.417167"/>
  </r>
  <r>
    <x v="4"/>
    <x v="0"/>
    <s v="Q1"/>
    <x v="0"/>
    <s v="KEPL/02446/81-82"/>
    <s v="SAFAL MART PVT.LTD"/>
    <s v="Straight Premium"/>
    <x v="28"/>
    <n v="1"/>
    <n v="80"/>
    <n v="169.01"/>
    <n v="13520.8"/>
    <n v="-519.20000000000005"/>
    <n v="0"/>
    <n v="1690.2080490000001"/>
    <n v="14691.808048999999"/>
  </r>
  <r>
    <x v="4"/>
    <x v="0"/>
    <s v="Q1"/>
    <x v="0"/>
    <s v="KEPL/02446/81-82"/>
    <s v="SAFAL MART PVT.LTD"/>
    <s v="Sprinkler"/>
    <x v="26"/>
    <n v="1"/>
    <n v="72"/>
    <n v="131.83000000000001"/>
    <n v="9491.76"/>
    <n v="-364.48"/>
    <n v="0"/>
    <n v="1186.546435"/>
    <n v="10313.826435000001"/>
  </r>
  <r>
    <x v="4"/>
    <x v="0"/>
    <s v="Q1"/>
    <x v="0"/>
    <s v="KEPL/02446/81-82"/>
    <s v="SAFAL MART PVT.LTD"/>
    <s v="Straight Premium"/>
    <x v="23"/>
    <n v="5"/>
    <n v="900"/>
    <n v="182.53"/>
    <n v="164277"/>
    <n v="-6308.24"/>
    <n v="0"/>
    <n v="20535.939398999999"/>
    <n v="178504.699399"/>
  </r>
  <r>
    <x v="4"/>
    <x v="0"/>
    <s v="Q1"/>
    <x v="0"/>
    <s v="KEPL/02446/81-82"/>
    <s v="SAFAL MART PVT.LTD"/>
    <s v="Straight Premium"/>
    <x v="8"/>
    <n v="1"/>
    <n v="120"/>
    <n v="57.46"/>
    <n v="6895.2"/>
    <n v="-264.77999999999997"/>
    <n v="0"/>
    <n v="861.95462500000008"/>
    <n v="7492.3746250000004"/>
  </r>
  <r>
    <x v="4"/>
    <x v="0"/>
    <s v="Q1"/>
    <x v="0"/>
    <s v="KEPL/02446/81-82"/>
    <s v="SAFAL MART PVT.LTD"/>
    <s v="Blends"/>
    <x v="14"/>
    <n v="1"/>
    <n v="180"/>
    <n v="135.21"/>
    <n v="24337.8"/>
    <n v="-934.56999999999994"/>
    <n v="0"/>
    <n v="3042.419989"/>
    <n v="26445.649989000001"/>
  </r>
  <r>
    <x v="4"/>
    <x v="0"/>
    <s v="Q1"/>
    <x v="0"/>
    <s v="KEPL/02446/81-82"/>
    <s v="SAFAL MART PVT.LTD"/>
    <s v="Blends"/>
    <x v="20"/>
    <n v="1"/>
    <n v="120"/>
    <n v="121.69"/>
    <n v="14602.800000000001"/>
    <n v="-560.75"/>
    <n v="0"/>
    <n v="1825.466553"/>
    <n v="15867.516552999999"/>
  </r>
  <r>
    <x v="4"/>
    <x v="0"/>
    <s v="Q1"/>
    <x v="0"/>
    <s v="KEPL/02446/81-82"/>
    <s v="SAFAL MART PVT.LTD"/>
    <s v="Straight Pouch"/>
    <x v="4"/>
    <n v="1"/>
    <n v="40"/>
    <n v="260.27999999999997"/>
    <n v="10411.200000000001"/>
    <n v="-399.79"/>
    <n v="0"/>
    <n v="1301.483338"/>
    <n v="11312.893338"/>
  </r>
  <r>
    <x v="4"/>
    <x v="0"/>
    <s v="Q1"/>
    <x v="0"/>
    <s v="KEPL/02447/81-82"/>
    <s v="SAFAL MART PVT.LTD"/>
    <s v="Straight Pouch"/>
    <x v="12"/>
    <n v="1"/>
    <n v="40"/>
    <n v="309.39999999999998"/>
    <n v="12376"/>
    <n v="-475.24"/>
    <n v="0"/>
    <n v="0"/>
    <n v="11900.76"/>
  </r>
  <r>
    <x v="5"/>
    <x v="0"/>
    <s v="Q1"/>
    <x v="0"/>
    <s v="KEPL/02451/81-82"/>
    <s v="DS SPICECO L &amp; D"/>
    <s v="Straight Pouch"/>
    <x v="12"/>
    <n v="0.05"/>
    <n v="2"/>
    <n v="309.39999999999998"/>
    <n v="618.79999999999995"/>
    <n v="-23.76"/>
    <n v="0"/>
    <n v="0"/>
    <n v="595.04"/>
  </r>
  <r>
    <x v="5"/>
    <x v="0"/>
    <s v="Q1"/>
    <x v="0"/>
    <s v="KEPL/02452/81-82"/>
    <s v="DS SPICECO L &amp; D"/>
    <s v="Straight Premium"/>
    <x v="23"/>
    <n v="0.01"/>
    <n v="2"/>
    <n v="182.53"/>
    <n v="365.06"/>
    <n v="-14.02"/>
    <n v="0"/>
    <n v="45.635687000000004"/>
    <n v="396.67568699999998"/>
  </r>
  <r>
    <x v="5"/>
    <x v="0"/>
    <s v="Q1"/>
    <x v="0"/>
    <s v="KEPL/02452/81-82"/>
    <s v="DS SPICECO L &amp; D"/>
    <s v="Cooking Paste"/>
    <x v="30"/>
    <n v="0.03"/>
    <n v="2"/>
    <n v="98.03"/>
    <n v="196.06"/>
    <n v="-7.53"/>
    <n v="0"/>
    <n v="24.509162"/>
    <n v="213.039162"/>
  </r>
  <r>
    <x v="5"/>
    <x v="0"/>
    <s v="Q1"/>
    <x v="0"/>
    <s v="KEPL/02452/81-82"/>
    <s v="DS SPICECO L &amp; D"/>
    <s v="Straight Premium"/>
    <x v="22"/>
    <n v="0.05"/>
    <n v="2"/>
    <n v="297.45999999999998"/>
    <n v="594.91999999999996"/>
    <n v="-22.84"/>
    <n v="0"/>
    <n v="74.371193999999988"/>
    <n v="646.45119399999999"/>
  </r>
  <r>
    <x v="5"/>
    <x v="0"/>
    <s v="Q1"/>
    <x v="0"/>
    <s v="KEPL/02452/81-82"/>
    <s v="DS SPICECO L &amp; D"/>
    <s v="Straight Premium"/>
    <x v="28"/>
    <n v="0.03"/>
    <n v="2"/>
    <n v="169.01"/>
    <n v="338.02"/>
    <n v="-12.98"/>
    <n v="0"/>
    <n v="42.255651000000007"/>
    <n v="367.29565100000002"/>
  </r>
  <r>
    <x v="5"/>
    <x v="0"/>
    <s v="Q1"/>
    <x v="0"/>
    <s v="KEPL/02452/81-82"/>
    <s v="DS SPICECO L &amp; D"/>
    <s v="Straight Pouch"/>
    <x v="4"/>
    <n v="0.05"/>
    <n v="2"/>
    <n v="260.27999999999997"/>
    <n v="520.55999999999995"/>
    <n v="-19.989999999999998"/>
    <n v="0"/>
    <n v="65.074795000000009"/>
    <n v="565.64479500000004"/>
  </r>
  <r>
    <x v="5"/>
    <x v="0"/>
    <s v="Q1"/>
    <x v="0"/>
    <s v="KEPL/02452/81-82"/>
    <s v="DS SPICECO L &amp; D"/>
    <s v="Straight Pouch"/>
    <x v="3"/>
    <n v="0.05"/>
    <n v="2"/>
    <n v="459.72"/>
    <n v="919.44"/>
    <n v="-35.31"/>
    <n v="0"/>
    <n v="114.93812700000001"/>
    <n v="999.068127"/>
  </r>
  <r>
    <x v="5"/>
    <x v="0"/>
    <s v="Q1"/>
    <x v="0"/>
    <s v="KEPL/02452/81-82"/>
    <s v="DS SPICECO L &amp; D"/>
    <s v="Blends"/>
    <x v="15"/>
    <n v="0.01"/>
    <n v="2"/>
    <n v="114.93"/>
    <n v="229.86"/>
    <n v="-8.83"/>
    <n v="0"/>
    <n v="28.734207000000001"/>
    <n v="249.764207"/>
  </r>
  <r>
    <x v="5"/>
    <x v="0"/>
    <s v="Q1"/>
    <x v="0"/>
    <s v="KEPL/02452/81-82"/>
    <s v="DS SPICECO L &amp; D"/>
    <s v="Blends"/>
    <x v="14"/>
    <n v="0.01"/>
    <n v="2"/>
    <n v="135.21"/>
    <n v="270.42"/>
    <n v="-10.38"/>
    <n v="0"/>
    <n v="33.805560999999997"/>
    <n v="293.84556099999998"/>
  </r>
  <r>
    <x v="5"/>
    <x v="0"/>
    <s v="Q1"/>
    <x v="0"/>
    <s v="KEPL/02452/81-82"/>
    <s v="DS SPICECO L &amp; D"/>
    <s v="Blends"/>
    <x v="19"/>
    <n v="0.01"/>
    <n v="2"/>
    <n v="155.49"/>
    <n v="310.98"/>
    <n v="-11.94"/>
    <n v="0"/>
    <n v="38.875615000000003"/>
    <n v="337.915615"/>
  </r>
  <r>
    <x v="6"/>
    <x v="0"/>
    <s v="Q1"/>
    <x v="0"/>
    <s v="KEPL/02459/81-82"/>
    <s v="DS SPICECO L &amp; D"/>
    <s v="Blends"/>
    <x v="27"/>
    <n v="0.02"/>
    <n v="2"/>
    <n v="118.31"/>
    <n v="236.62"/>
    <n v="-9.09"/>
    <n v="0"/>
    <n v="29.58"/>
    <n v="257.11"/>
  </r>
  <r>
    <x v="7"/>
    <x v="0"/>
    <s v="Q1"/>
    <x v="0"/>
    <s v="KEPL/02469/81-82"/>
    <s v="SHIVA SHAKTI CONCERN"/>
    <s v="Blends"/>
    <x v="10"/>
    <n v="1"/>
    <n v="180"/>
    <n v="60.84"/>
    <n v="10951.199999999999"/>
    <n v="-420.53"/>
    <n v="0"/>
    <n v="1368.9876400000001"/>
    <n v="11899.657639999999"/>
  </r>
  <r>
    <x v="7"/>
    <x v="0"/>
    <s v="Q1"/>
    <x v="0"/>
    <s v="KEPL/02469/81-82"/>
    <s v="SHIVA SHAKTI CONCERN"/>
    <s v="Blends"/>
    <x v="11"/>
    <n v="1"/>
    <n v="180"/>
    <n v="64.23"/>
    <n v="11561.4"/>
    <n v="-443.96"/>
    <n v="0"/>
    <n v="1445.267771"/>
    <n v="12562.707770999999"/>
  </r>
  <r>
    <x v="7"/>
    <x v="0"/>
    <s v="Q1"/>
    <x v="0"/>
    <s v="KEPL/02469/81-82"/>
    <s v="SHIVA SHAKTI CONCERN"/>
    <s v="Straight Premium"/>
    <x v="8"/>
    <n v="1"/>
    <n v="120"/>
    <n v="57.46"/>
    <n v="6895.2"/>
    <n v="-264.77999999999997"/>
    <n v="0"/>
    <n v="861.95493999999997"/>
    <n v="7492.3749399999997"/>
  </r>
  <r>
    <x v="7"/>
    <x v="0"/>
    <s v="Q1"/>
    <x v="0"/>
    <s v="KEPL/02469/81-82"/>
    <s v="SHIVA SHAKTI CONCERN"/>
    <s v="Blends"/>
    <x v="0"/>
    <n v="1"/>
    <n v="180"/>
    <n v="64.23"/>
    <n v="11561.4"/>
    <n v="-443.96"/>
    <n v="0"/>
    <n v="1445.267771"/>
    <n v="12562.707770999999"/>
  </r>
  <r>
    <x v="7"/>
    <x v="0"/>
    <s v="Q1"/>
    <x v="0"/>
    <s v="KEPL/02469/81-82"/>
    <s v="SHIVA SHAKTI CONCERN"/>
    <s v="Straight Premium"/>
    <x v="28"/>
    <n v="1"/>
    <n v="80"/>
    <n v="169.01"/>
    <n v="13520.8"/>
    <n v="-519.20000000000005"/>
    <n v="0"/>
    <n v="1690.2086669999999"/>
    <n v="14691.808666999999"/>
  </r>
  <r>
    <x v="7"/>
    <x v="0"/>
    <s v="Q1"/>
    <x v="0"/>
    <s v="KEPL/02469/81-82"/>
    <s v="SHIVA SHAKTI CONCERN"/>
    <s v="Cooking Paste"/>
    <x v="30"/>
    <n v="2"/>
    <n v="120"/>
    <n v="98.03"/>
    <n v="11763.6"/>
    <n v="-451.72"/>
    <n v="0"/>
    <n v="1470.544981"/>
    <n v="12782.424981"/>
  </r>
  <r>
    <x v="7"/>
    <x v="0"/>
    <s v="Q1"/>
    <x v="0"/>
    <s v="KEPL/02469/81-82"/>
    <s v="SHIVA SHAKTI CONCERN"/>
    <s v="Blends"/>
    <x v="9"/>
    <n v="1"/>
    <n v="180"/>
    <n v="70.989999999999995"/>
    <n v="12778.2"/>
    <n v="-490.68"/>
    <n v="0"/>
    <n v="1597.3782310000001"/>
    <n v="13884.898230999999"/>
  </r>
  <r>
    <x v="7"/>
    <x v="0"/>
    <s v="Q1"/>
    <x v="0"/>
    <s v="KEPL/02470/81-82"/>
    <s v="SHIVA SHAKTI CONCERN"/>
    <s v="Sprinkler"/>
    <x v="25"/>
    <n v="1"/>
    <n v="48"/>
    <n v="310.99"/>
    <n v="14927.519999999999"/>
    <n v="-573.22"/>
    <n v="0"/>
    <n v="1866.0586179999998"/>
    <n v="16220.358618"/>
  </r>
  <r>
    <x v="7"/>
    <x v="0"/>
    <s v="Q1"/>
    <x v="0"/>
    <s v="KEPL/02470/81-82"/>
    <s v="SHIVA SHAKTI CONCERN"/>
    <s v="Sprinkler"/>
    <x v="31"/>
    <n v="1"/>
    <n v="72"/>
    <n v="148.72999999999999"/>
    <n v="10708.56"/>
    <n v="-411.21"/>
    <n v="0"/>
    <n v="1338.6552259999999"/>
    <n v="11636.005225999999"/>
  </r>
  <r>
    <x v="7"/>
    <x v="0"/>
    <s v="Q1"/>
    <x v="0"/>
    <s v="KEPL/02470/81-82"/>
    <s v="SHIVA SHAKTI CONCERN"/>
    <s v="Sprinkler"/>
    <x v="26"/>
    <n v="1"/>
    <n v="72"/>
    <n v="131.83000000000001"/>
    <n v="9491.76"/>
    <n v="-364.48"/>
    <n v="0"/>
    <n v="1186.546157"/>
    <n v="10313.826157"/>
  </r>
  <r>
    <x v="8"/>
    <x v="0"/>
    <s v="Q1"/>
    <x v="0"/>
    <s v="KEPL/02487/81-82"/>
    <s v="SHIVA SHAKTI CONCERN"/>
    <s v="Blends"/>
    <x v="18"/>
    <n v="1"/>
    <n v="120"/>
    <n v="141.97"/>
    <n v="17036.400000000001"/>
    <n v="-654.20000000000005"/>
    <n v="0"/>
    <n v="2129.69"/>
    <n v="18511.89"/>
  </r>
  <r>
    <x v="8"/>
    <x v="0"/>
    <s v="Q1"/>
    <x v="0"/>
    <s v="KEPL/02490/81-82"/>
    <s v="SIMPEX SOLUTION PVT. LTD"/>
    <s v="Blends"/>
    <x v="10"/>
    <n v="0.11"/>
    <n v="20"/>
    <n v="63.72"/>
    <n v="1274.4000000000001"/>
    <n v="-48.94"/>
    <n v="0"/>
    <n v="159.30988400000001"/>
    <n v="1384.769884"/>
  </r>
  <r>
    <x v="8"/>
    <x v="0"/>
    <s v="Q1"/>
    <x v="0"/>
    <s v="KEPL/02490/81-82"/>
    <s v="SIMPEX SOLUTION PVT. LTD"/>
    <s v="Straight Premium"/>
    <x v="22"/>
    <n v="0.5"/>
    <n v="20"/>
    <n v="311.5"/>
    <n v="6230.0000000000009"/>
    <n v="-239.23"/>
    <n v="0"/>
    <n v="778.80051200000003"/>
    <n v="6769.5705120000002"/>
  </r>
  <r>
    <x v="8"/>
    <x v="0"/>
    <s v="Q1"/>
    <x v="0"/>
    <s v="KEPL/02490/81-82"/>
    <s v="SIMPEX SOLUTION PVT. LTD"/>
    <s v="Blends"/>
    <x v="19"/>
    <n v="0.11"/>
    <n v="20"/>
    <n v="162.83000000000001"/>
    <n v="3256.6000000000004"/>
    <n v="-125.05"/>
    <n v="0"/>
    <n v="407.10171500000001"/>
    <n v="3538.651715"/>
  </r>
  <r>
    <x v="8"/>
    <x v="0"/>
    <s v="Q1"/>
    <x v="0"/>
    <s v="KEPL/02490/81-82"/>
    <s v="SIMPEX SOLUTION PVT. LTD"/>
    <s v="Blends"/>
    <x v="9"/>
    <n v="0.11"/>
    <n v="20"/>
    <n v="74.34"/>
    <n v="1486.8"/>
    <n v="-57.09"/>
    <n v="0"/>
    <n v="185.86239800000001"/>
    <n v="1615.572398"/>
  </r>
  <r>
    <x v="8"/>
    <x v="0"/>
    <s v="Q1"/>
    <x v="0"/>
    <s v="KEPL/02490/81-82"/>
    <s v="SIMPEX SOLUTION PVT. LTD"/>
    <s v="Blends"/>
    <x v="2"/>
    <n v="0.11"/>
    <n v="20"/>
    <n v="67.260000000000005"/>
    <n v="1345.2"/>
    <n v="-51.66"/>
    <n v="0"/>
    <n v="168.16028900000001"/>
    <n v="1461.7002890000001"/>
  </r>
  <r>
    <x v="8"/>
    <x v="0"/>
    <s v="Q1"/>
    <x v="0"/>
    <s v="KEPL/02490/81-82"/>
    <s v="SIMPEX SOLUTION PVT. LTD"/>
    <s v="Blends"/>
    <x v="14"/>
    <n v="0.11"/>
    <n v="20"/>
    <n v="141.59"/>
    <n v="2831.8"/>
    <n v="-108.74"/>
    <n v="0"/>
    <n v="353.99798699999997"/>
    <n v="3077.0579870000001"/>
  </r>
  <r>
    <x v="8"/>
    <x v="0"/>
    <s v="Q1"/>
    <x v="0"/>
    <s v="KEPL/02490/81-82"/>
    <s v="SIMPEX SOLUTION PVT. LTD"/>
    <s v="Blends"/>
    <x v="17"/>
    <n v="0.11"/>
    <n v="20"/>
    <n v="127.43"/>
    <n v="2548.6000000000004"/>
    <n v="-97.87"/>
    <n v="0"/>
    <n v="318.59506900000002"/>
    <n v="2769.325069"/>
  </r>
  <r>
    <x v="8"/>
    <x v="0"/>
    <s v="Q1"/>
    <x v="0"/>
    <s v="KEPL/02490/81-82"/>
    <s v="SIMPEX SOLUTION PVT. LTD"/>
    <s v="Blends"/>
    <x v="15"/>
    <n v="0.11"/>
    <n v="20"/>
    <n v="120.35"/>
    <n v="2407.0000000000005"/>
    <n v="-92.43"/>
    <n v="0"/>
    <n v="300.89425899999998"/>
    <n v="2615.4642589999999"/>
  </r>
  <r>
    <x v="8"/>
    <x v="0"/>
    <s v="Q1"/>
    <x v="0"/>
    <s v="KEPL/02490/81-82"/>
    <s v="SIMPEX SOLUTION PVT. LTD"/>
    <s v="Blends"/>
    <x v="16"/>
    <n v="0.17"/>
    <n v="20"/>
    <n v="127.43"/>
    <n v="2548.6000000000004"/>
    <n v="-97.87"/>
    <n v="0"/>
    <n v="318.59506900000002"/>
    <n v="2769.325069"/>
  </r>
  <r>
    <x v="8"/>
    <x v="0"/>
    <s v="Q1"/>
    <x v="0"/>
    <s v="KEPL/02490/81-82"/>
    <s v="SIMPEX SOLUTION PVT. LTD"/>
    <s v="Blends"/>
    <x v="18"/>
    <n v="0.17"/>
    <n v="20"/>
    <n v="148.66999999999999"/>
    <n v="2973.4"/>
    <n v="-114.18"/>
    <n v="0"/>
    <n v="371.69879700000001"/>
    <n v="3230.9187969999998"/>
  </r>
  <r>
    <x v="8"/>
    <x v="0"/>
    <s v="Q1"/>
    <x v="0"/>
    <s v="KEPL/02490/81-82"/>
    <s v="SIMPEX SOLUTION PVT. LTD"/>
    <s v="Straight Premium"/>
    <x v="7"/>
    <n v="0.17"/>
    <n v="20"/>
    <n v="159.29"/>
    <n v="3185.7999999999997"/>
    <n v="-122.33"/>
    <n v="0"/>
    <n v="398.25131099999999"/>
    <n v="3461.7213109999998"/>
  </r>
  <r>
    <x v="8"/>
    <x v="0"/>
    <s v="Q1"/>
    <x v="0"/>
    <s v="KEPL/02490/81-82"/>
    <s v="SIMPEX SOLUTION PVT. LTD"/>
    <s v="Blends"/>
    <x v="20"/>
    <n v="0.17"/>
    <n v="20"/>
    <n v="127.43"/>
    <n v="2548.6000000000004"/>
    <n v="-97.87"/>
    <n v="0"/>
    <n v="318.59506900000002"/>
    <n v="2769.325069"/>
  </r>
  <r>
    <x v="8"/>
    <x v="0"/>
    <s v="Q1"/>
    <x v="0"/>
    <s v="KEPL/02490/81-82"/>
    <s v="SIMPEX SOLUTION PVT. LTD"/>
    <s v="Blends"/>
    <x v="0"/>
    <n v="0.11"/>
    <n v="20"/>
    <n v="67.260000000000005"/>
    <n v="1345.2"/>
    <n v="-51.66"/>
    <n v="0"/>
    <n v="168.16028900000001"/>
    <n v="1461.7002890000001"/>
  </r>
  <r>
    <x v="8"/>
    <x v="0"/>
    <s v="Q1"/>
    <x v="0"/>
    <s v="KEPL/02490/81-82"/>
    <s v="SIMPEX SOLUTION PVT. LTD"/>
    <s v="Blends"/>
    <x v="21"/>
    <n v="0.25"/>
    <n v="20"/>
    <n v="198.23"/>
    <n v="3964.6000000000004"/>
    <n v="-152.24"/>
    <n v="0"/>
    <n v="495.60706199999998"/>
    <n v="4307.9670619999997"/>
  </r>
  <r>
    <x v="8"/>
    <x v="0"/>
    <s v="Q1"/>
    <x v="0"/>
    <s v="KEPL/02490/81-82"/>
    <s v="SIMPEX SOLUTION PVT. LTD"/>
    <s v="Blends"/>
    <x v="11"/>
    <n v="0.11"/>
    <n v="20"/>
    <n v="67.260000000000005"/>
    <n v="1345.2"/>
    <n v="-51.66"/>
    <n v="0"/>
    <n v="168.16028900000001"/>
    <n v="1461.7002890000001"/>
  </r>
  <r>
    <x v="8"/>
    <x v="0"/>
    <s v="Q1"/>
    <x v="0"/>
    <s v="KEPL/02491/81-82"/>
    <s v="SIMPEX SOLUTION PVT. LTD"/>
    <s v="Sprinkler"/>
    <x v="25"/>
    <n v="0.42"/>
    <n v="20"/>
    <n v="325.66000000000003"/>
    <n v="6513.2000000000007"/>
    <n v="-250.11"/>
    <n v="0"/>
    <n v="814.20194200000003"/>
    <n v="7077.2919419999998"/>
  </r>
  <r>
    <x v="8"/>
    <x v="0"/>
    <s v="Q1"/>
    <x v="0"/>
    <s v="KEPL/02491/81-82"/>
    <s v="SIMPEX SOLUTION PVT. LTD"/>
    <s v="Straight Pouch"/>
    <x v="6"/>
    <n v="0.2"/>
    <n v="20"/>
    <n v="198.23"/>
    <n v="3964.6000000000004"/>
    <n v="-152.24"/>
    <n v="0"/>
    <n v="495.60694699999999"/>
    <n v="4307.9669469999999"/>
  </r>
  <r>
    <x v="8"/>
    <x v="0"/>
    <s v="Q1"/>
    <x v="0"/>
    <s v="KEPL/02491/81-82"/>
    <s v="SIMPEX SOLUTION PVT. LTD"/>
    <s v="Straight Premium"/>
    <x v="24"/>
    <n v="0.5"/>
    <n v="20"/>
    <n v="460.18"/>
    <n v="9203.6"/>
    <n v="-353.42"/>
    <n v="0"/>
    <n v="1150.5237420000001"/>
    <n v="10000.703742"/>
  </r>
  <r>
    <x v="8"/>
    <x v="0"/>
    <s v="Q1"/>
    <x v="0"/>
    <s v="KEPL/02491/81-82"/>
    <s v="SIMPEX SOLUTION PVT. LTD"/>
    <s v="Straight Premium"/>
    <x v="28"/>
    <n v="0.25"/>
    <n v="20"/>
    <n v="176.99"/>
    <n v="3539.8"/>
    <n v="-135.93"/>
    <n v="0"/>
    <n v="442.50323200000003"/>
    <n v="3846.3732319999999"/>
  </r>
  <r>
    <x v="8"/>
    <x v="0"/>
    <s v="Q1"/>
    <x v="0"/>
    <s v="KEPL/02491/81-82"/>
    <s v="SIMPEX SOLUTION PVT. LTD"/>
    <s v="Straight Pouch"/>
    <x v="3"/>
    <n v="0.5"/>
    <n v="20"/>
    <n v="481.42"/>
    <n v="9628.4"/>
    <n v="-369.73"/>
    <n v="0"/>
    <n v="1203.6274580000002"/>
    <n v="10462.297457999999"/>
  </r>
  <r>
    <x v="8"/>
    <x v="0"/>
    <s v="Q1"/>
    <x v="0"/>
    <s v="KEPL/02491/81-82"/>
    <s v="SIMPEX SOLUTION PVT. LTD"/>
    <s v="Straight Pouch"/>
    <x v="1"/>
    <n v="0.2"/>
    <n v="20"/>
    <n v="113.27"/>
    <n v="2265.4"/>
    <n v="-86.99"/>
    <n v="0"/>
    <n v="283.19338399999998"/>
    <n v="2461.603384"/>
  </r>
  <r>
    <x v="8"/>
    <x v="0"/>
    <s v="Q1"/>
    <x v="0"/>
    <s v="KEPL/02491/81-82"/>
    <s v="SIMPEX SOLUTION PVT. LTD"/>
    <s v="Straight Premium"/>
    <x v="5"/>
    <n v="0.11"/>
    <n v="20"/>
    <n v="99.12"/>
    <n v="1982.4"/>
    <n v="-76.12"/>
    <n v="0"/>
    <n v="247.816474"/>
    <n v="2154.0964739999999"/>
  </r>
  <r>
    <x v="8"/>
    <x v="0"/>
    <s v="Q1"/>
    <x v="0"/>
    <s v="KEPL/02491/81-82"/>
    <s v="SIMPEX SOLUTION PVT. LTD"/>
    <s v="Straight Premium"/>
    <x v="8"/>
    <n v="0.17"/>
    <n v="20"/>
    <n v="60.18"/>
    <n v="1203.5999999999999"/>
    <n v="-46.22"/>
    <n v="0"/>
    <n v="150.45944500000002"/>
    <n v="1307.8394450000001"/>
  </r>
  <r>
    <x v="8"/>
    <x v="0"/>
    <s v="Q1"/>
    <x v="0"/>
    <s v="KEPL/02491/81-82"/>
    <s v="SIMPEX SOLUTION PVT. LTD"/>
    <s v="Straight Pouch"/>
    <x v="4"/>
    <n v="0.5"/>
    <n v="20"/>
    <n v="272.57"/>
    <n v="5451.4"/>
    <n v="-209.33"/>
    <n v="0"/>
    <n v="681.46930299999997"/>
    <n v="5923.5393029999996"/>
  </r>
  <r>
    <x v="8"/>
    <x v="0"/>
    <s v="Q1"/>
    <x v="0"/>
    <s v="KEPL/02491/81-82"/>
    <s v="SIMPEX SOLUTION PVT. LTD"/>
    <s v="Cooking Paste"/>
    <x v="29"/>
    <n v="0.17"/>
    <n v="20"/>
    <n v="60.18"/>
    <n v="1203.5999999999999"/>
    <n v="-46.22"/>
    <n v="0"/>
    <n v="150.45944500000002"/>
    <n v="1307.8394450000001"/>
  </r>
  <r>
    <x v="8"/>
    <x v="0"/>
    <s v="Q1"/>
    <x v="0"/>
    <s v="KEPL/02491/81-82"/>
    <s v="SIMPEX SOLUTION PVT. LTD"/>
    <s v="Sprinkler"/>
    <x v="26"/>
    <n v="0.28000000000000003"/>
    <n v="20"/>
    <n v="138.05000000000001"/>
    <n v="2760.9999999999995"/>
    <n v="-106.02"/>
    <n v="0"/>
    <n v="345.14750300000003"/>
    <n v="3000.1275030000002"/>
  </r>
  <r>
    <x v="8"/>
    <x v="0"/>
    <s v="Q1"/>
    <x v="0"/>
    <s v="KEPL/02491/81-82"/>
    <s v="SIMPEX SOLUTION PVT. LTD"/>
    <s v="Cooking Paste"/>
    <x v="30"/>
    <n v="0.33"/>
    <n v="20"/>
    <n v="102.65"/>
    <n v="2053"/>
    <n v="-78.84"/>
    <n v="0"/>
    <n v="256.64087599999999"/>
    <n v="2230.8008759999998"/>
  </r>
  <r>
    <x v="8"/>
    <x v="0"/>
    <s v="Q1"/>
    <x v="0"/>
    <s v="KEPL/02491/81-82"/>
    <s v="SIMPEX SOLUTION PVT. LTD"/>
    <s v="Straight Premium"/>
    <x v="23"/>
    <n v="0.11"/>
    <n v="20"/>
    <n v="191.15"/>
    <n v="3823.0000000000005"/>
    <n v="-146.80000000000001"/>
    <n v="0"/>
    <n v="477.90614199999999"/>
    <n v="4154.1061419999996"/>
  </r>
  <r>
    <x v="8"/>
    <x v="0"/>
    <s v="Q1"/>
    <x v="0"/>
    <s v="KEPL/02491/81-82"/>
    <s v="SIMPEX SOLUTION PVT. LTD"/>
    <s v="Sprinkler"/>
    <x v="31"/>
    <n v="0.28000000000000003"/>
    <n v="20"/>
    <n v="155.75"/>
    <n v="3115.0000000000005"/>
    <n v="-119.62"/>
    <n v="0"/>
    <n v="389.39951600000001"/>
    <n v="3384.7795160000001"/>
  </r>
  <r>
    <x v="8"/>
    <x v="0"/>
    <s v="Q1"/>
    <x v="0"/>
    <s v="KEPL/02491/81-82"/>
    <s v="SIMPEX SOLUTION PVT. LTD"/>
    <s v="Blends"/>
    <x v="27"/>
    <n v="0.17"/>
    <n v="20"/>
    <n v="123.89"/>
    <n v="2477.7999999999997"/>
    <n v="-95.15"/>
    <n v="0"/>
    <n v="309.74459200000001"/>
    <n v="2692.3945920000001"/>
  </r>
  <r>
    <x v="8"/>
    <x v="0"/>
    <s v="Q1"/>
    <x v="0"/>
    <s v="KEPL/02492/81-82"/>
    <s v="SIMPEX SOLUTION PVT. LTD"/>
    <s v="Straight Pouch"/>
    <x v="13"/>
    <n v="0.2"/>
    <n v="20"/>
    <n v="120.35"/>
    <n v="2407.0000000000005"/>
    <n v="-92.43"/>
    <n v="0"/>
    <n v="0"/>
    <n v="2314.5700000000002"/>
  </r>
  <r>
    <x v="8"/>
    <x v="0"/>
    <s v="Q1"/>
    <x v="0"/>
    <s v="KEPL/02492/81-82"/>
    <s v="SIMPEX SOLUTION PVT. LTD"/>
    <s v="Straight Pouch"/>
    <x v="12"/>
    <n v="0.5"/>
    <n v="20"/>
    <n v="286.73"/>
    <n v="5734.5999999999995"/>
    <n v="-220.21"/>
    <n v="0"/>
    <n v="0"/>
    <n v="5514.39"/>
  </r>
  <r>
    <x v="8"/>
    <x v="0"/>
    <s v="Q1"/>
    <x v="0"/>
    <s v="KEPL/02493/81-82"/>
    <s v="HAMRO KIRANA PASAL"/>
    <s v="Cooking Paste"/>
    <x v="30"/>
    <n v="2"/>
    <n v="120"/>
    <n v="98.03"/>
    <n v="11763.6"/>
    <n v="-451.72"/>
    <n v="0"/>
    <n v="1470.5442090000001"/>
    <n v="12782.424209000001"/>
  </r>
  <r>
    <x v="8"/>
    <x v="0"/>
    <s v="Q1"/>
    <x v="0"/>
    <s v="KEPL/02493/81-82"/>
    <s v="HAMRO KIRANA PASAL"/>
    <s v="Blends"/>
    <x v="2"/>
    <n v="1"/>
    <n v="180"/>
    <n v="64.23"/>
    <n v="11561.4"/>
    <n v="-443.96"/>
    <n v="0"/>
    <n v="1445.267012"/>
    <n v="12562.707012000001"/>
  </r>
  <r>
    <x v="8"/>
    <x v="0"/>
    <s v="Q1"/>
    <x v="0"/>
    <s v="KEPL/02493/81-82"/>
    <s v="HAMRO KIRANA PASAL"/>
    <s v="Sprinkler"/>
    <x v="26"/>
    <n v="1"/>
    <n v="72"/>
    <n v="131.83000000000001"/>
    <n v="9491.76"/>
    <n v="-364.48"/>
    <n v="0"/>
    <n v="1186.5462460000001"/>
    <n v="10313.826246000001"/>
  </r>
  <r>
    <x v="8"/>
    <x v="0"/>
    <s v="Q1"/>
    <x v="0"/>
    <s v="KEPL/02493/81-82"/>
    <s v="HAMRO KIRANA PASAL"/>
    <s v="Blends"/>
    <x v="11"/>
    <n v="1"/>
    <n v="180"/>
    <n v="64.23"/>
    <n v="11561.4"/>
    <n v="-443.96"/>
    <n v="0"/>
    <n v="1445.267012"/>
    <n v="12562.707012000001"/>
  </r>
  <r>
    <x v="8"/>
    <x v="0"/>
    <s v="Q1"/>
    <x v="0"/>
    <s v="KEPL/02493/81-82"/>
    <s v="HAMRO KIRANA PASAL"/>
    <s v="Straight Premium"/>
    <x v="28"/>
    <n v="1"/>
    <n v="80"/>
    <n v="169.01"/>
    <n v="13520.8"/>
    <n v="-519.20000000000005"/>
    <n v="0"/>
    <n v="1690.2077800000002"/>
    <n v="14691.807779999999"/>
  </r>
  <r>
    <x v="8"/>
    <x v="0"/>
    <s v="Q1"/>
    <x v="0"/>
    <s v="KEPL/02493/81-82"/>
    <s v="HAMRO KIRANA PASAL"/>
    <s v="Cooking Paste"/>
    <x v="29"/>
    <n v="1"/>
    <n v="120"/>
    <n v="57.46"/>
    <n v="6895.2"/>
    <n v="-264.77999999999997"/>
    <n v="0"/>
    <n v="861.95448800000008"/>
    <n v="7492.3744880000004"/>
  </r>
  <r>
    <x v="8"/>
    <x v="0"/>
    <s v="Q1"/>
    <x v="0"/>
    <s v="KEPL/02493/81-82"/>
    <s v="HAMRO KIRANA PASAL"/>
    <s v="Blends"/>
    <x v="19"/>
    <n v="1"/>
    <n v="180"/>
    <n v="155.49"/>
    <n v="27988.2"/>
    <n v="-1074.75"/>
    <n v="0"/>
    <n v="3498.7480449999998"/>
    <n v="30412.198045000001"/>
  </r>
  <r>
    <x v="8"/>
    <x v="0"/>
    <s v="Q1"/>
    <x v="0"/>
    <s v="KEPL/02493/81-82"/>
    <s v="HAMRO KIRANA PASAL"/>
    <s v="Straight Premium"/>
    <x v="5"/>
    <n v="1"/>
    <n v="180"/>
    <n v="94.65"/>
    <n v="17037"/>
    <n v="-654.22"/>
    <n v="0"/>
    <n v="2129.7611229999998"/>
    <n v="18512.541122999999"/>
  </r>
  <r>
    <x v="8"/>
    <x v="0"/>
    <s v="Q1"/>
    <x v="0"/>
    <s v="KEPL/02493/81-82"/>
    <s v="HAMRO KIRANA PASAL"/>
    <s v="Sprinkler"/>
    <x v="25"/>
    <n v="1"/>
    <n v="48"/>
    <n v="310.99"/>
    <n v="14927.519999999999"/>
    <n v="-573.22"/>
    <n v="0"/>
    <n v="1866.0587580000001"/>
    <n v="16220.358758"/>
  </r>
  <r>
    <x v="8"/>
    <x v="0"/>
    <s v="Q1"/>
    <x v="0"/>
    <s v="KEPL/02493/81-82"/>
    <s v="HAMRO KIRANA PASAL"/>
    <s v="Sprinkler"/>
    <x v="31"/>
    <n v="1"/>
    <n v="72"/>
    <n v="148.72999999999999"/>
    <n v="10708.56"/>
    <n v="-411.21"/>
    <n v="0"/>
    <n v="1338.6553260000001"/>
    <n v="11636.005326"/>
  </r>
  <r>
    <x v="8"/>
    <x v="0"/>
    <s v="Q1"/>
    <x v="0"/>
    <s v="KEPL/02494/81-82"/>
    <s v="SAFAL MART PVT.LTD"/>
    <s v="Straight Premium"/>
    <x v="8"/>
    <n v="2"/>
    <n v="240"/>
    <n v="57.46"/>
    <n v="13790.4"/>
    <n v="-529.54999999999995"/>
    <n v="0"/>
    <n v="1723.910376"/>
    <n v="14984.760376"/>
  </r>
  <r>
    <x v="8"/>
    <x v="0"/>
    <s v="Q1"/>
    <x v="0"/>
    <s v="KEPL/02494/81-82"/>
    <s v="SAFAL MART PVT.LTD"/>
    <s v="Blends"/>
    <x v="17"/>
    <n v="2"/>
    <n v="360"/>
    <n v="121.69"/>
    <n v="43808.399999999994"/>
    <n v="-1682.24"/>
    <n v="0"/>
    <n v="5476.4004050000003"/>
    <n v="47602.560404999997"/>
  </r>
  <r>
    <x v="8"/>
    <x v="0"/>
    <s v="Q1"/>
    <x v="0"/>
    <s v="KEPL/02494/81-82"/>
    <s v="SAFAL MART PVT.LTD"/>
    <s v="Straight Premium"/>
    <x v="23"/>
    <n v="4"/>
    <n v="720"/>
    <n v="182.53"/>
    <n v="131421.6"/>
    <n v="-5046.59"/>
    <n v="0"/>
    <n v="16428.750114999999"/>
    <n v="142803.76011500001"/>
  </r>
  <r>
    <x v="8"/>
    <x v="0"/>
    <s v="Q1"/>
    <x v="0"/>
    <s v="KEPL/02494/81-82"/>
    <s v="SAFAL MART PVT.LTD"/>
    <s v="Blends"/>
    <x v="20"/>
    <n v="1"/>
    <n v="120"/>
    <n v="121.69"/>
    <n v="14602.800000000001"/>
    <n v="-560.75"/>
    <n v="0"/>
    <n v="1825.4663680000001"/>
    <n v="15867.516368000001"/>
  </r>
  <r>
    <x v="8"/>
    <x v="0"/>
    <s v="Q1"/>
    <x v="0"/>
    <s v="KEPL/02494/81-82"/>
    <s v="SAFAL MART PVT.LTD"/>
    <s v="Blends"/>
    <x v="16"/>
    <n v="2"/>
    <n v="240"/>
    <n v="121.69"/>
    <n v="29205.600000000002"/>
    <n v="-1121.5"/>
    <n v="0"/>
    <n v="3650.9327370000001"/>
    <n v="31735.032737000001"/>
  </r>
  <r>
    <x v="9"/>
    <x v="0"/>
    <s v="Q1"/>
    <x v="0"/>
    <s v="KEPL/02496/81-82"/>
    <s v="AARYA TRADE LINK PVT.LTD"/>
    <s v="Sprinkler"/>
    <x v="25"/>
    <n v="2"/>
    <n v="96"/>
    <n v="310.99"/>
    <n v="29855.039999999997"/>
    <n v="-1146.43"/>
    <n v="0"/>
    <n v="3732.1195600000001"/>
    <n v="32440.72956"/>
  </r>
  <r>
    <x v="9"/>
    <x v="0"/>
    <s v="Q1"/>
    <x v="0"/>
    <s v="KEPL/02496/81-82"/>
    <s v="AARYA TRADE LINK PVT.LTD"/>
    <s v="Sprinkler"/>
    <x v="26"/>
    <n v="1"/>
    <n v="72"/>
    <n v="131.83000000000001"/>
    <n v="9491.76"/>
    <n v="-364.48"/>
    <n v="0"/>
    <n v="1186.5464830000001"/>
    <n v="10313.826483000001"/>
  </r>
  <r>
    <x v="9"/>
    <x v="0"/>
    <s v="Q1"/>
    <x v="0"/>
    <s v="KEPL/02496/81-82"/>
    <s v="AARYA TRADE LINK PVT.LTD"/>
    <s v="Cooking Paste"/>
    <x v="30"/>
    <n v="3"/>
    <n v="180"/>
    <n v="98.03"/>
    <n v="17645.400000000001"/>
    <n v="-677.58"/>
    <n v="0"/>
    <n v="2205.8167539999999"/>
    <n v="19173.636753999999"/>
  </r>
  <r>
    <x v="9"/>
    <x v="0"/>
    <s v="Q1"/>
    <x v="0"/>
    <s v="KEPL/02496/81-82"/>
    <s v="AARYA TRADE LINK PVT.LTD"/>
    <s v="Blends"/>
    <x v="21"/>
    <n v="1"/>
    <n v="80"/>
    <n v="189.3"/>
    <n v="15144"/>
    <n v="-581.53"/>
    <n v="0"/>
    <n v="1893.121232"/>
    <n v="16455.591231999999"/>
  </r>
  <r>
    <x v="9"/>
    <x v="0"/>
    <s v="Q1"/>
    <x v="0"/>
    <s v="KEPL/02496/81-82"/>
    <s v="AARYA TRADE LINK PVT.LTD"/>
    <s v="Straight Premium"/>
    <x v="24"/>
    <n v="1"/>
    <n v="40"/>
    <n v="439.44"/>
    <n v="17577.599999999999"/>
    <n v="-674.98"/>
    <n v="0"/>
    <n v="2197.3407529999999"/>
    <n v="19099.960752999999"/>
  </r>
  <r>
    <x v="9"/>
    <x v="0"/>
    <s v="Q1"/>
    <x v="0"/>
    <s v="KEPL/02496/81-82"/>
    <s v="AARYA TRADE LINK PVT.LTD"/>
    <s v="Cooking Paste"/>
    <x v="29"/>
    <n v="1"/>
    <n v="120"/>
    <n v="57.46"/>
    <n v="6895.2"/>
    <n v="-264.77999999999997"/>
    <n v="0"/>
    <n v="861.95465999999999"/>
    <n v="7492.3746600000004"/>
  </r>
  <r>
    <x v="9"/>
    <x v="0"/>
    <s v="Q1"/>
    <x v="0"/>
    <s v="KEPL/02496/81-82"/>
    <s v="AARYA TRADE LINK PVT.LTD"/>
    <s v="Straight Premium"/>
    <x v="28"/>
    <n v="0.63"/>
    <n v="50"/>
    <n v="169.01"/>
    <n v="8450.5"/>
    <n v="-324.5"/>
    <n v="0"/>
    <n v="1056.3800739999999"/>
    <n v="9182.3800740000006"/>
  </r>
  <r>
    <x v="9"/>
    <x v="0"/>
    <s v="Q1"/>
    <x v="0"/>
    <s v="KEPL/02496/81-82"/>
    <s v="AARYA TRADE LINK PVT.LTD"/>
    <s v="Blends"/>
    <x v="18"/>
    <n v="1"/>
    <n v="120"/>
    <n v="141.97"/>
    <n v="17036.400000000001"/>
    <n v="-654.20000000000005"/>
    <n v="0"/>
    <n v="2129.6861479999998"/>
    <n v="18511.886148000001"/>
  </r>
  <r>
    <x v="9"/>
    <x v="0"/>
    <s v="Q1"/>
    <x v="0"/>
    <s v="KEPL/02496/81-82"/>
    <s v="AARYA TRADE LINK PVT.LTD"/>
    <s v="Blends"/>
    <x v="19"/>
    <n v="1"/>
    <n v="180"/>
    <n v="155.49"/>
    <n v="27988.2"/>
    <n v="-1074.75"/>
    <n v="0"/>
    <n v="3498.7487440000004"/>
    <n v="30412.198744000001"/>
  </r>
  <r>
    <x v="9"/>
    <x v="0"/>
    <s v="Q1"/>
    <x v="0"/>
    <s v="KEPL/02496/81-82"/>
    <s v="AARYA TRADE LINK PVT.LTD"/>
    <s v="Sprinkler"/>
    <x v="31"/>
    <n v="1"/>
    <n v="72"/>
    <n v="148.72999999999999"/>
    <n v="10708.56"/>
    <n v="-411.21"/>
    <n v="0"/>
    <n v="1338.655593"/>
    <n v="11636.005593"/>
  </r>
  <r>
    <x v="10"/>
    <x v="0"/>
    <s v="Q1"/>
    <x v="0"/>
    <s v="KEPL/02514/81-82"/>
    <s v="BEERA BARJEE INTERNATIONAL PVT.LTD"/>
    <s v="Blends"/>
    <x v="27"/>
    <n v="2"/>
    <n v="240"/>
    <n v="118.31"/>
    <n v="28394.399999999998"/>
    <n v="-1090.3399999999999"/>
    <n v="0"/>
    <n v="3549.5285650000001"/>
    <n v="30853.588564999998"/>
  </r>
  <r>
    <x v="10"/>
    <x v="0"/>
    <s v="Q1"/>
    <x v="0"/>
    <s v="KEPL/02514/81-82"/>
    <s v="BEERA BARJEE INTERNATIONAL PVT.LTD"/>
    <s v="Cooking Paste"/>
    <x v="30"/>
    <n v="0.47"/>
    <n v="28"/>
    <n v="98.03"/>
    <n v="2744.8399999999997"/>
    <n v="-105.4"/>
    <n v="0"/>
    <n v="343.127274"/>
    <n v="2982.567274"/>
  </r>
  <r>
    <x v="10"/>
    <x v="0"/>
    <s v="Q1"/>
    <x v="0"/>
    <s v="KEPL/02514/81-82"/>
    <s v="BEERA BARJEE INTERNATIONAL PVT.LTD"/>
    <s v="Straight Premium"/>
    <x v="22"/>
    <n v="1"/>
    <n v="40"/>
    <n v="297.45999999999998"/>
    <n v="11898.4"/>
    <n v="-456.9"/>
    <n v="0"/>
    <n v="1487.3953200000001"/>
    <n v="12928.89532"/>
  </r>
  <r>
    <x v="10"/>
    <x v="0"/>
    <s v="Q1"/>
    <x v="0"/>
    <s v="KEPL/02514/81-82"/>
    <s v="BEERA BARJEE INTERNATIONAL PVT.LTD"/>
    <s v="Sprinkler"/>
    <x v="26"/>
    <n v="1"/>
    <n v="72"/>
    <n v="131.83000000000001"/>
    <n v="9491.76"/>
    <n v="-364.48"/>
    <n v="0"/>
    <n v="1186.5466560000002"/>
    <n v="10313.826655999999"/>
  </r>
  <r>
    <x v="10"/>
    <x v="0"/>
    <s v="Q1"/>
    <x v="0"/>
    <s v="KEPL/02514/81-82"/>
    <s v="BEERA BARJEE INTERNATIONAL PVT.LTD"/>
    <s v="Sprinkler"/>
    <x v="31"/>
    <n v="1"/>
    <n v="72"/>
    <n v="148.72999999999999"/>
    <n v="10708.56"/>
    <n v="-411.21"/>
    <n v="0"/>
    <n v="1338.655788"/>
    <n v="11636.005788"/>
  </r>
  <r>
    <x v="10"/>
    <x v="0"/>
    <s v="Q1"/>
    <x v="0"/>
    <s v="KEPL/02514/81-82"/>
    <s v="BEERA BARJEE INTERNATIONAL PVT.LTD"/>
    <s v="Cooking Paste"/>
    <x v="29"/>
    <n v="1"/>
    <n v="120"/>
    <n v="57.46"/>
    <n v="6895.2"/>
    <n v="-264.77999999999997"/>
    <n v="0"/>
    <n v="861.95478600000001"/>
    <n v="7492.3747860000003"/>
  </r>
  <r>
    <x v="10"/>
    <x v="0"/>
    <s v="Q1"/>
    <x v="0"/>
    <s v="KEPL/02514/81-82"/>
    <s v="BEERA BARJEE INTERNATIONAL PVT.LTD"/>
    <s v="Blends"/>
    <x v="21"/>
    <n v="1"/>
    <n v="80"/>
    <n v="189.3"/>
    <n v="15144"/>
    <n v="-581.53"/>
    <n v="0"/>
    <n v="1893.1215080000002"/>
    <n v="16455.591508000001"/>
  </r>
  <r>
    <x v="10"/>
    <x v="0"/>
    <s v="Q1"/>
    <x v="0"/>
    <s v="KEPL/02514/81-82"/>
    <s v="BEERA BARJEE INTERNATIONAL PVT.LTD"/>
    <s v="Sprinkler"/>
    <x v="25"/>
    <n v="2"/>
    <n v="96"/>
    <n v="310.99"/>
    <n v="29855.039999999997"/>
    <n v="-1146.43"/>
    <n v="0"/>
    <n v="3732.1201039999996"/>
    <n v="32440.730103999998"/>
  </r>
  <r>
    <x v="11"/>
    <x v="0"/>
    <s v="Q1"/>
    <x v="0"/>
    <s v="KEPL/02519/81-82"/>
    <s v="NEPAL SENA SUPATH MULYA CANTEEN"/>
    <s v="Blends"/>
    <x v="2"/>
    <n v="0.56000000000000005"/>
    <n v="100"/>
    <n v="64.23"/>
    <n v="6423"/>
    <n v="0"/>
    <n v="0"/>
    <n v="834.99013300000001"/>
    <n v="7257.9901330000002"/>
  </r>
  <r>
    <x v="11"/>
    <x v="0"/>
    <s v="Q1"/>
    <x v="0"/>
    <s v="KEPL/02519/81-82"/>
    <s v="NEPAL SENA SUPATH MULYA CANTEEN"/>
    <s v="Blends"/>
    <x v="15"/>
    <n v="0.56000000000000005"/>
    <n v="100"/>
    <n v="114.93"/>
    <n v="11493"/>
    <n v="0"/>
    <n v="0"/>
    <n v="1494.0902379999998"/>
    <n v="12987.090238000001"/>
  </r>
  <r>
    <x v="11"/>
    <x v="0"/>
    <s v="Q1"/>
    <x v="0"/>
    <s v="KEPL/02519/81-82"/>
    <s v="NEPAL SENA SUPATH MULYA CANTEEN"/>
    <s v="Straight Pouch"/>
    <x v="1"/>
    <n v="1"/>
    <n v="100"/>
    <n v="108.17"/>
    <n v="10817"/>
    <n v="0"/>
    <n v="0"/>
    <n v="1406.2102240000002"/>
    <n v="12223.210224"/>
  </r>
  <r>
    <x v="11"/>
    <x v="0"/>
    <s v="Q1"/>
    <x v="0"/>
    <s v="KEPL/02519/81-82"/>
    <s v="NEPAL SENA SUPATH MULYA CANTEEN"/>
    <s v="Blends"/>
    <x v="9"/>
    <n v="0.56000000000000005"/>
    <n v="100"/>
    <n v="70.989999999999995"/>
    <n v="7099"/>
    <n v="0"/>
    <n v="0"/>
    <n v="922.87014700000009"/>
    <n v="8021.8701469999996"/>
  </r>
  <r>
    <x v="11"/>
    <x v="0"/>
    <s v="Q1"/>
    <x v="0"/>
    <s v="KEPL/02519/81-82"/>
    <s v="NEPAL SENA SUPATH MULYA CANTEEN"/>
    <s v="Blends"/>
    <x v="17"/>
    <n v="0.56000000000000005"/>
    <n v="100"/>
    <n v="121.69"/>
    <n v="12169"/>
    <n v="0"/>
    <n v="0"/>
    <n v="1581.9702519999998"/>
    <n v="13750.970251999999"/>
  </r>
  <r>
    <x v="11"/>
    <x v="0"/>
    <s v="Q1"/>
    <x v="0"/>
    <s v="KEPL/02519/81-82"/>
    <s v="NEPAL SENA SUPATH MULYA CANTEEN"/>
    <s v="Straight Pouch"/>
    <x v="4"/>
    <n v="1"/>
    <n v="40"/>
    <n v="260.27999999999997"/>
    <n v="10411.200000000001"/>
    <n v="0"/>
    <n v="0"/>
    <n v="1353.4562159999998"/>
    <n v="11764.656215999999"/>
  </r>
  <r>
    <x v="11"/>
    <x v="0"/>
    <s v="Q1"/>
    <x v="0"/>
    <s v="KEPL/02519/81-82"/>
    <s v="NEPAL SENA SUPATH MULYA CANTEEN"/>
    <s v="Blends"/>
    <x v="21"/>
    <n v="1"/>
    <n v="80"/>
    <n v="189.3"/>
    <n v="15144"/>
    <n v="0"/>
    <n v="0"/>
    <n v="1968.7203139999999"/>
    <n v="17112.720313999998"/>
  </r>
  <r>
    <x v="11"/>
    <x v="0"/>
    <s v="Q1"/>
    <x v="0"/>
    <s v="KEPL/02519/81-82"/>
    <s v="NEPAL SENA SUPATH MULYA CANTEEN"/>
    <s v="Straight Premium"/>
    <x v="5"/>
    <n v="0.56000000000000005"/>
    <n v="100"/>
    <n v="94.65"/>
    <n v="9465"/>
    <n v="0"/>
    <n v="0"/>
    <n v="1230.450196"/>
    <n v="10695.450196"/>
  </r>
  <r>
    <x v="11"/>
    <x v="0"/>
    <s v="Q1"/>
    <x v="0"/>
    <s v="KEPL/02519/81-82"/>
    <s v="NEPAL SENA SUPATH MULYA CANTEEN"/>
    <s v="Sprinkler"/>
    <x v="25"/>
    <n v="1"/>
    <n v="48"/>
    <n v="310.99"/>
    <n v="14927.519999999999"/>
    <n v="0"/>
    <n v="0"/>
    <n v="1940.57791"/>
    <n v="16868.09791"/>
  </r>
  <r>
    <x v="11"/>
    <x v="0"/>
    <s v="Q1"/>
    <x v="0"/>
    <s v="KEPL/02519/81-82"/>
    <s v="NEPAL SENA SUPATH MULYA CANTEEN"/>
    <s v="Blends"/>
    <x v="14"/>
    <n v="0.56000000000000005"/>
    <n v="100"/>
    <n v="136.15"/>
    <n v="13615"/>
    <n v="0"/>
    <n v="0"/>
    <n v="1769.950282"/>
    <n v="15384.950282"/>
  </r>
  <r>
    <x v="11"/>
    <x v="0"/>
    <s v="Q1"/>
    <x v="0"/>
    <s v="KEPL/02519/81-82"/>
    <s v="NEPAL SENA SUPATH MULYA CANTEEN"/>
    <s v="Blends"/>
    <x v="20"/>
    <n v="0.83"/>
    <n v="100"/>
    <n v="121.69"/>
    <n v="12169"/>
    <n v="0"/>
    <n v="0"/>
    <n v="1581.9702519999998"/>
    <n v="13750.970251999999"/>
  </r>
  <r>
    <x v="11"/>
    <x v="0"/>
    <s v="Q1"/>
    <x v="0"/>
    <s v="KEPL/02519/81-82"/>
    <s v="NEPAL SENA SUPATH MULYA CANTEEN"/>
    <s v="Sprinkler"/>
    <x v="26"/>
    <n v="1"/>
    <n v="72"/>
    <n v="131.83000000000001"/>
    <n v="9491.76"/>
    <n v="0"/>
    <n v="0"/>
    <n v="1233.928997"/>
    <n v="10725.688996999999"/>
  </r>
  <r>
    <x v="11"/>
    <x v="0"/>
    <s v="Q1"/>
    <x v="0"/>
    <s v="KEPL/02519/81-82"/>
    <s v="NEPAL SENA SUPATH MULYA CANTEEN"/>
    <s v="Straight Premium"/>
    <x v="23"/>
    <n v="0.56000000000000005"/>
    <n v="100"/>
    <n v="182.53"/>
    <n v="18253"/>
    <n v="0"/>
    <n v="0"/>
    <n v="2372.8903789999999"/>
    <n v="20625.890379"/>
  </r>
  <r>
    <x v="11"/>
    <x v="0"/>
    <s v="Q1"/>
    <x v="0"/>
    <s v="KEPL/02519/81-82"/>
    <s v="NEPAL SENA SUPATH MULYA CANTEEN"/>
    <s v="Straight Premium"/>
    <x v="8"/>
    <n v="1"/>
    <n v="120"/>
    <n v="57.46"/>
    <n v="6895.2"/>
    <n v="0"/>
    <n v="0"/>
    <n v="896.37614299999996"/>
    <n v="7791.5761430000002"/>
  </r>
  <r>
    <x v="11"/>
    <x v="0"/>
    <s v="Q1"/>
    <x v="0"/>
    <s v="KEPL/02519/81-82"/>
    <s v="NEPAL SENA SUPATH MULYA CANTEEN"/>
    <s v="Blends"/>
    <x v="0"/>
    <n v="0.56000000000000005"/>
    <n v="100"/>
    <n v="64.23"/>
    <n v="6423"/>
    <n v="0"/>
    <n v="0"/>
    <n v="834.99013300000001"/>
    <n v="7257.9901330000002"/>
  </r>
  <r>
    <x v="11"/>
    <x v="0"/>
    <s v="Q1"/>
    <x v="0"/>
    <s v="KEPL/02519/81-82"/>
    <s v="NEPAL SENA SUPATH MULYA CANTEEN"/>
    <s v="Blends"/>
    <x v="11"/>
    <n v="0.56000000000000005"/>
    <n v="100"/>
    <n v="64.23"/>
    <n v="6423"/>
    <n v="0"/>
    <n v="0"/>
    <n v="834.99013300000001"/>
    <n v="7257.9901330000002"/>
  </r>
  <r>
    <x v="11"/>
    <x v="0"/>
    <s v="Q1"/>
    <x v="0"/>
    <s v="KEPL/02519/81-82"/>
    <s v="NEPAL SENA SUPATH MULYA CANTEEN"/>
    <s v="Sprinkler"/>
    <x v="31"/>
    <n v="1"/>
    <n v="72"/>
    <n v="148.72999999999999"/>
    <n v="10708.56"/>
    <n v="0"/>
    <n v="0"/>
    <n v="1392.1130219999998"/>
    <n v="12100.673022000001"/>
  </r>
  <r>
    <x v="11"/>
    <x v="0"/>
    <s v="Q1"/>
    <x v="0"/>
    <s v="KEPL/02519/81-82"/>
    <s v="NEPAL SENA SUPATH MULYA CANTEEN"/>
    <s v="Straight Pouch"/>
    <x v="3"/>
    <n v="1"/>
    <n v="40"/>
    <n v="459.72"/>
    <n v="18388.8"/>
    <n v="0"/>
    <n v="0"/>
    <n v="2390.5443810000002"/>
    <n v="20779.344380999999"/>
  </r>
  <r>
    <x v="11"/>
    <x v="0"/>
    <s v="Q1"/>
    <x v="0"/>
    <s v="KEPL/02519/81-82"/>
    <s v="NEPAL SENA SUPATH MULYA CANTEEN"/>
    <s v="Blends"/>
    <x v="16"/>
    <n v="0.83"/>
    <n v="100"/>
    <n v="121.69"/>
    <n v="12169"/>
    <n v="0"/>
    <n v="0"/>
    <n v="1581.9702519999998"/>
    <n v="13750.970251999999"/>
  </r>
  <r>
    <x v="11"/>
    <x v="0"/>
    <s v="Q1"/>
    <x v="0"/>
    <s v="KEPL/02519/81-82"/>
    <s v="NEPAL SENA SUPATH MULYA CANTEEN"/>
    <s v="Straight Pouch"/>
    <x v="6"/>
    <n v="1"/>
    <n v="100"/>
    <n v="189.3"/>
    <n v="18930"/>
    <n v="0"/>
    <n v="0"/>
    <n v="2460.9003929999999"/>
    <n v="21390.900393"/>
  </r>
  <r>
    <x v="11"/>
    <x v="0"/>
    <s v="Q1"/>
    <x v="0"/>
    <s v="KEPL/02520/81-82"/>
    <s v="NEPAL SENA SUPATH MULYA CANTEEN"/>
    <s v="Straight Pouch"/>
    <x v="12"/>
    <n v="1"/>
    <n v="40"/>
    <n v="311.54000000000002"/>
    <n v="12461.599999999999"/>
    <s v=""/>
    <s v=""/>
    <s v=""/>
    <n v="12461.6"/>
  </r>
  <r>
    <x v="11"/>
    <x v="0"/>
    <s v="Q1"/>
    <x v="0"/>
    <s v="KEPL/02520/81-82"/>
    <s v="NEPAL SENA SUPATH MULYA CANTEEN"/>
    <s v="Straight Pouch"/>
    <x v="13"/>
    <n v="1"/>
    <n v="100"/>
    <n v="130.77000000000001"/>
    <n v="13077"/>
    <s v=""/>
    <s v=""/>
    <s v=""/>
    <n v="13077"/>
  </r>
  <r>
    <x v="12"/>
    <x v="1"/>
    <s v="Q1"/>
    <x v="0"/>
    <s v="KEPL/02577/81-82"/>
    <s v="DS SPICECO L &amp; D"/>
    <s v="Sprinkler"/>
    <x v="25"/>
    <n v="0.1"/>
    <n v="5"/>
    <n v="310.99"/>
    <n v="1554.95"/>
    <n v="-59.71"/>
    <n v="0"/>
    <n v="194.38009600000001"/>
    <n v="1689.6200960000001"/>
  </r>
  <r>
    <x v="12"/>
    <x v="1"/>
    <s v="Q1"/>
    <x v="0"/>
    <s v="KEPL/02577/81-82"/>
    <s v="DS SPICECO L &amp; D"/>
    <s v="Sprinkler"/>
    <x v="26"/>
    <n v="7.0000000000000007E-2"/>
    <n v="5"/>
    <n v="131.83000000000001"/>
    <n v="659.15000000000009"/>
    <n v="-25.31"/>
    <n v="0"/>
    <n v="82.398731999999995"/>
    <n v="716.23873200000003"/>
  </r>
  <r>
    <x v="12"/>
    <x v="1"/>
    <s v="Q1"/>
    <x v="0"/>
    <s v="KEPL/02577/81-82"/>
    <s v="DS SPICECO L &amp; D"/>
    <s v="Sprinkler"/>
    <x v="31"/>
    <n v="7.0000000000000007E-2"/>
    <n v="5"/>
    <n v="148.72999999999999"/>
    <n v="743.65"/>
    <n v="-28.56"/>
    <n v="0"/>
    <n v="92.961172000000005"/>
    <n v="808.05117199999995"/>
  </r>
  <r>
    <x v="13"/>
    <x v="1"/>
    <s v="Q1"/>
    <x v="0"/>
    <s v="KEPL/02579/81-82"/>
    <s v="WELSON TRADE &amp; RASAN MART"/>
    <s v="Blends"/>
    <x v="11"/>
    <n v="2"/>
    <n v="360"/>
    <n v="64.23"/>
    <n v="23122.799999999999"/>
    <n v="-2101.8599999999997"/>
    <n v="0"/>
    <n v="2732.7223169999997"/>
    <n v="23753.662316999998"/>
  </r>
  <r>
    <x v="13"/>
    <x v="1"/>
    <s v="Q1"/>
    <x v="0"/>
    <s v="KEPL/02579/81-82"/>
    <s v="WELSON TRADE &amp; RASAN MART"/>
    <s v="Blends"/>
    <x v="10"/>
    <n v="1"/>
    <n v="180"/>
    <n v="60.84"/>
    <n v="10951.199999999999"/>
    <n v="-995.46"/>
    <n v="0"/>
    <n v="1294.2462549999998"/>
    <n v="11249.986255"/>
  </r>
  <r>
    <x v="13"/>
    <x v="1"/>
    <s v="Q1"/>
    <x v="0"/>
    <s v="KEPL/02579/81-82"/>
    <s v="WELSON TRADE &amp; RASAN MART"/>
    <s v="Blends"/>
    <x v="20"/>
    <n v="1"/>
    <n v="120"/>
    <n v="121.69"/>
    <n v="14602.800000000001"/>
    <n v="-1327.39"/>
    <n v="0"/>
    <n v="1725.8033739999998"/>
    <n v="15001.213374000001"/>
  </r>
  <r>
    <x v="13"/>
    <x v="1"/>
    <s v="Q1"/>
    <x v="0"/>
    <s v="KEPL/02579/81-82"/>
    <s v="WELSON TRADE &amp; RASAN MART"/>
    <s v="Straight Premium"/>
    <x v="7"/>
    <n v="1"/>
    <n v="120"/>
    <n v="152.11000000000001"/>
    <n v="18253.2"/>
    <n v="-1659.2199999999998"/>
    <n v="0"/>
    <n v="2157.2174919999998"/>
    <n v="18751.197491999999"/>
  </r>
  <r>
    <x v="13"/>
    <x v="1"/>
    <s v="Q1"/>
    <x v="0"/>
    <s v="KEPL/02579/81-82"/>
    <s v="WELSON TRADE &amp; RASAN MART"/>
    <s v="Blends"/>
    <x v="9"/>
    <n v="1"/>
    <n v="180"/>
    <n v="70.989999999999995"/>
    <n v="12778.2"/>
    <n v="-1161.54"/>
    <n v="0"/>
    <n v="1510.1658649999999"/>
    <n v="13126.825865000001"/>
  </r>
  <r>
    <x v="13"/>
    <x v="1"/>
    <s v="Q1"/>
    <x v="0"/>
    <s v="KEPL/02579/81-82"/>
    <s v="WELSON TRADE &amp; RASAN MART"/>
    <s v="Blends"/>
    <x v="2"/>
    <n v="2"/>
    <n v="360"/>
    <n v="64.23"/>
    <n v="23122.799999999999"/>
    <n v="-2101.8599999999997"/>
    <n v="0"/>
    <n v="2732.7223169999997"/>
    <n v="23753.662316999998"/>
  </r>
  <r>
    <x v="13"/>
    <x v="1"/>
    <s v="Q1"/>
    <x v="0"/>
    <s v="KEPL/02579/81-82"/>
    <s v="WELSON TRADE &amp; RASAN MART"/>
    <s v="Blends"/>
    <x v="16"/>
    <n v="1"/>
    <n v="120"/>
    <n v="121.69"/>
    <n v="14602.800000000001"/>
    <n v="-1327.39"/>
    <n v="0"/>
    <n v="1725.8033739999998"/>
    <n v="15001.213374000001"/>
  </r>
  <r>
    <x v="13"/>
    <x v="1"/>
    <s v="Q1"/>
    <x v="0"/>
    <s v="KEPL/02579/81-82"/>
    <s v="WELSON TRADE &amp; RASAN MART"/>
    <s v="Straight Pouch"/>
    <x v="6"/>
    <n v="1"/>
    <n v="100"/>
    <n v="189.3"/>
    <n v="18930"/>
    <n v="-1720.7399999999998"/>
    <n v="0"/>
    <n v="2237.203896"/>
    <n v="19446.463896000001"/>
  </r>
  <r>
    <x v="13"/>
    <x v="1"/>
    <s v="Q1"/>
    <x v="0"/>
    <s v="KEPL/02579/81-82"/>
    <s v="WELSON TRADE &amp; RASAN MART"/>
    <s v="Blends"/>
    <x v="27"/>
    <n v="1"/>
    <n v="120"/>
    <n v="118.31"/>
    <n v="14197.199999999999"/>
    <n v="-1290.53"/>
    <n v="0"/>
    <n v="1677.8671720000002"/>
    <n v="14584.537172"/>
  </r>
  <r>
    <x v="13"/>
    <x v="1"/>
    <s v="Q1"/>
    <x v="0"/>
    <s v="KEPL/02579/81-82"/>
    <s v="WELSON TRADE &amp; RASAN MART"/>
    <s v="Straight Premium"/>
    <x v="5"/>
    <n v="1"/>
    <n v="180"/>
    <n v="94.65"/>
    <n v="17037"/>
    <n v="-1548.6599999999999"/>
    <n v="0"/>
    <n v="2013.4842859999999"/>
    <n v="17501.824285999999"/>
  </r>
  <r>
    <x v="13"/>
    <x v="1"/>
    <s v="Q1"/>
    <x v="0"/>
    <s v="KEPL/02579/81-82"/>
    <s v="WELSON TRADE &amp; RASAN MART"/>
    <s v="Blends"/>
    <x v="17"/>
    <n v="1"/>
    <n v="180"/>
    <n v="121.69"/>
    <n v="21904.199999999997"/>
    <n v="-1991.09"/>
    <n v="0"/>
    <n v="2588.7044110000002"/>
    <n v="22501.814410999999"/>
  </r>
  <r>
    <x v="13"/>
    <x v="1"/>
    <s v="Q1"/>
    <x v="0"/>
    <s v="KEPL/02579/81-82"/>
    <s v="WELSON TRADE &amp; RASAN MART"/>
    <s v="Blends"/>
    <x v="19"/>
    <n v="1"/>
    <n v="180"/>
    <n v="155.49"/>
    <n v="27988.2"/>
    <n v="-2544.13"/>
    <n v="0"/>
    <n v="3307.7292419999999"/>
    <n v="28751.799242000001"/>
  </r>
  <r>
    <x v="13"/>
    <x v="1"/>
    <s v="Q1"/>
    <x v="0"/>
    <s v="KEPL/02580/81-82"/>
    <s v="SHIVA SHAKTI CONCERN"/>
    <s v="Straight Premium"/>
    <x v="5"/>
    <n v="1"/>
    <n v="180"/>
    <n v="94.65"/>
    <n v="17037"/>
    <n v="-1548.6599999999999"/>
    <n v="0"/>
    <n v="2013.485727"/>
    <n v="17501.825726999999"/>
  </r>
  <r>
    <x v="13"/>
    <x v="1"/>
    <s v="Q1"/>
    <x v="0"/>
    <s v="KEPL/02580/81-82"/>
    <s v="SHIVA SHAKTI CONCERN"/>
    <s v="Blends"/>
    <x v="11"/>
    <n v="1"/>
    <n v="180"/>
    <n v="64.23"/>
    <n v="11561.4"/>
    <n v="-1050.9299999999998"/>
    <n v="0"/>
    <n v="1366.362136"/>
    <n v="11876.832136000001"/>
  </r>
  <r>
    <x v="13"/>
    <x v="1"/>
    <s v="Q1"/>
    <x v="0"/>
    <s v="KEPL/02580/81-82"/>
    <s v="SHIVA SHAKTI CONCERN"/>
    <s v="Blends"/>
    <x v="2"/>
    <n v="1"/>
    <n v="180"/>
    <n v="64.23"/>
    <n v="11561.4"/>
    <n v="-1050.9299999999998"/>
    <n v="0"/>
    <n v="1366.362136"/>
    <n v="11876.832136000001"/>
  </r>
  <r>
    <x v="13"/>
    <x v="1"/>
    <s v="Q1"/>
    <x v="0"/>
    <s v="KEPL/02581/81-82"/>
    <s v="AMRIT TRADE CONCERN"/>
    <s v="Sprinkler"/>
    <x v="26"/>
    <n v="1"/>
    <n v="72"/>
    <n v="131.83000000000001"/>
    <n v="9491.76"/>
    <n v="-862.8"/>
    <n v="0"/>
    <n v="1121.7644850000001"/>
    <n v="9750.7244850000006"/>
  </r>
  <r>
    <x v="13"/>
    <x v="1"/>
    <s v="Q1"/>
    <x v="0"/>
    <s v="KEPL/02581/81-82"/>
    <s v="AMRIT TRADE CONCERN"/>
    <s v="Blends"/>
    <x v="27"/>
    <n v="1"/>
    <n v="120"/>
    <n v="118.31"/>
    <n v="14197.199999999999"/>
    <n v="-1290.53"/>
    <n v="0"/>
    <n v="1677.866628"/>
    <n v="14584.536628"/>
  </r>
  <r>
    <x v="13"/>
    <x v="1"/>
    <s v="Q1"/>
    <x v="0"/>
    <s v="KEPL/02581/81-82"/>
    <s v="AMRIT TRADE CONCERN"/>
    <s v="Blends"/>
    <x v="18"/>
    <n v="0.75"/>
    <n v="90"/>
    <n v="141.97"/>
    <n v="12777.3"/>
    <n v="-1161.46"/>
    <n v="0"/>
    <n v="1510.0587759999999"/>
    <n v="13125.898776"/>
  </r>
  <r>
    <x v="13"/>
    <x v="1"/>
    <s v="Q1"/>
    <x v="0"/>
    <s v="KEPL/02581/81-82"/>
    <s v="AMRIT TRADE CONCERN"/>
    <s v="Sprinkler"/>
    <x v="31"/>
    <n v="1"/>
    <n v="72"/>
    <n v="148.72999999999999"/>
    <n v="10708.56"/>
    <n v="-973.41"/>
    <n v="0"/>
    <n v="1265.5691440000001"/>
    <n v="11000.719144000001"/>
  </r>
  <r>
    <x v="13"/>
    <x v="1"/>
    <s v="Q1"/>
    <x v="0"/>
    <s v="KEPL/02581/81-82"/>
    <s v="AMRIT TRADE CONCERN"/>
    <s v="Blends"/>
    <x v="19"/>
    <n v="1"/>
    <n v="180"/>
    <n v="155.49"/>
    <n v="27988.2"/>
    <n v="-2544.13"/>
    <n v="0"/>
    <n v="3307.7281700000003"/>
    <n v="28751.798169999998"/>
  </r>
  <r>
    <x v="13"/>
    <x v="1"/>
    <s v="Q1"/>
    <x v="0"/>
    <s v="KEPL/02581/81-82"/>
    <s v="AMRIT TRADE CONCERN"/>
    <s v="Blends"/>
    <x v="21"/>
    <n v="1"/>
    <n v="80"/>
    <n v="189.3"/>
    <n v="15144"/>
    <n v="-1376.5900000000001"/>
    <n v="0"/>
    <n v="1789.7627970000001"/>
    <n v="15557.172796999999"/>
  </r>
  <r>
    <x v="14"/>
    <x v="1"/>
    <s v="Q1"/>
    <x v="0"/>
    <s v="KEPL/02584/81-82"/>
    <s v="BEERA BARJEE INTERNATIONAL PVT.LTD"/>
    <s v="Blends"/>
    <x v="2"/>
    <n v="1"/>
    <n v="180"/>
    <n v="64.23"/>
    <n v="11561.4"/>
    <n v="-1050.9299999999998"/>
    <n v="0"/>
    <n v="1366.3610019999999"/>
    <n v="11876.831002000001"/>
  </r>
  <r>
    <x v="14"/>
    <x v="1"/>
    <s v="Q1"/>
    <x v="0"/>
    <s v="KEPL/02584/81-82"/>
    <s v="BEERA BARJEE INTERNATIONAL PVT.LTD"/>
    <s v="Blends"/>
    <x v="11"/>
    <n v="1"/>
    <n v="180"/>
    <n v="64.23"/>
    <n v="11561.4"/>
    <n v="-1050.9299999999998"/>
    <n v="0"/>
    <n v="1366.3610019999999"/>
    <n v="11876.831002000001"/>
  </r>
  <r>
    <x v="14"/>
    <x v="1"/>
    <s v="Q1"/>
    <x v="0"/>
    <s v="KEPL/02584/81-82"/>
    <s v="BEERA BARJEE INTERNATIONAL PVT.LTD"/>
    <s v="Blends"/>
    <x v="9"/>
    <n v="1"/>
    <n v="180"/>
    <n v="70.989999999999995"/>
    <n v="12778.2"/>
    <n v="-1161.54"/>
    <n v="0"/>
    <n v="1510.165692"/>
    <n v="13126.825692"/>
  </r>
  <r>
    <x v="14"/>
    <x v="1"/>
    <s v="Q1"/>
    <x v="0"/>
    <s v="KEPL/02584/81-82"/>
    <s v="BEERA BARJEE INTERNATIONAL PVT.LTD"/>
    <s v="Blends"/>
    <x v="0"/>
    <n v="1"/>
    <n v="180"/>
    <n v="64.23"/>
    <n v="11561.4"/>
    <n v="-1050.9299999999998"/>
    <n v="0"/>
    <n v="1366.3610019999999"/>
    <n v="11876.831002000001"/>
  </r>
  <r>
    <x v="14"/>
    <x v="1"/>
    <s v="Q1"/>
    <x v="0"/>
    <s v="KEPL/02584/81-82"/>
    <s v="BEERA BARJEE INTERNATIONAL PVT.LTD"/>
    <s v="Straight Premium"/>
    <x v="7"/>
    <n v="1"/>
    <n v="120"/>
    <n v="152.11000000000001"/>
    <n v="18253.2"/>
    <n v="-1659.2199999999998"/>
    <n v="0"/>
    <n v="2157.2172460000002"/>
    <n v="18751.197246"/>
  </r>
  <r>
    <x v="14"/>
    <x v="1"/>
    <s v="Q1"/>
    <x v="0"/>
    <s v="KEPL/02584/81-82"/>
    <s v="BEERA BARJEE INTERNATIONAL PVT.LTD"/>
    <s v="Straight Premium"/>
    <x v="5"/>
    <n v="1"/>
    <n v="180"/>
    <n v="94.65"/>
    <n v="17037"/>
    <n v="-1548.6599999999999"/>
    <n v="0"/>
    <n v="2013.484056"/>
    <n v="17501.824056000001"/>
  </r>
  <r>
    <x v="15"/>
    <x v="1"/>
    <s v="Q1"/>
    <x v="0"/>
    <s v="KEPL/02588/81-82"/>
    <s v="SHIVA SHAKTI CONCERN"/>
    <s v="Sprinkler"/>
    <x v="26"/>
    <n v="0.5"/>
    <n v="36"/>
    <n v="131.83000000000001"/>
    <n v="4745.88"/>
    <n v="-431.4"/>
    <n v="0"/>
    <n v="560.882159"/>
    <n v="4875.3621590000002"/>
  </r>
  <r>
    <x v="15"/>
    <x v="1"/>
    <s v="Q1"/>
    <x v="0"/>
    <s v="KEPL/02588/81-82"/>
    <s v="SHIVA SHAKTI CONCERN"/>
    <s v="Sprinkler"/>
    <x v="31"/>
    <n v="1.58"/>
    <n v="114"/>
    <n v="148.72999999999999"/>
    <n v="16955.22"/>
    <n v="-1541.23"/>
    <n v="0"/>
    <n v="2003.817841"/>
    <n v="17417.807841000002"/>
  </r>
  <r>
    <x v="15"/>
    <x v="1"/>
    <s v="Q1"/>
    <x v="0"/>
    <s v="KEPL/02589/81-82"/>
    <s v="NEPAL SENA SUPATH MULYA CANTEEN"/>
    <s v="Blends"/>
    <x v="15"/>
    <n v="0.22"/>
    <n v="40"/>
    <n v="115.72"/>
    <n v="4628.8"/>
    <n v="0"/>
    <n v="0"/>
    <n v="601.74415199999999"/>
    <n v="5230.5441520000004"/>
  </r>
  <r>
    <x v="15"/>
    <x v="1"/>
    <s v="Q1"/>
    <x v="0"/>
    <s v="KEPL/02589/81-82"/>
    <s v="NEPAL SENA SUPATH MULYA CANTEEN"/>
    <s v="Blends"/>
    <x v="17"/>
    <n v="0.22"/>
    <n v="40"/>
    <n v="122.53"/>
    <n v="4901.2"/>
    <n v="0"/>
    <n v="0"/>
    <n v="637.15616100000011"/>
    <n v="5538.3561609999997"/>
  </r>
  <r>
    <x v="15"/>
    <x v="1"/>
    <s v="Q1"/>
    <x v="0"/>
    <s v="KEPL/02589/81-82"/>
    <s v="NEPAL SENA SUPATH MULYA CANTEEN"/>
    <s v="Blends"/>
    <x v="0"/>
    <n v="0.22"/>
    <n v="40"/>
    <n v="64.67"/>
    <n v="2586.8000000000002"/>
    <n v="0"/>
    <n v="0"/>
    <n v="336.284085"/>
    <n v="2923.084085"/>
  </r>
  <r>
    <x v="15"/>
    <x v="1"/>
    <s v="Q1"/>
    <x v="0"/>
    <s v="KEPL/02589/81-82"/>
    <s v="NEPAL SENA SUPATH MULYA CANTEEN"/>
    <s v="Sprinkler"/>
    <x v="25"/>
    <n v="0.13"/>
    <n v="6"/>
    <n v="313.14"/>
    <n v="1878.84"/>
    <n v="0"/>
    <n v="0"/>
    <n v="244.24926200000002"/>
    <n v="2123.089262"/>
  </r>
  <r>
    <x v="15"/>
    <x v="1"/>
    <s v="Q1"/>
    <x v="0"/>
    <s v="KEPL/02589/81-82"/>
    <s v="NEPAL SENA SUPATH MULYA CANTEEN"/>
    <s v="Blends"/>
    <x v="20"/>
    <n v="0.33"/>
    <n v="40"/>
    <n v="122.53"/>
    <n v="4901.2"/>
    <n v="0"/>
    <n v="0"/>
    <n v="637.15616100000011"/>
    <n v="5538.3561609999997"/>
  </r>
  <r>
    <x v="15"/>
    <x v="1"/>
    <s v="Q1"/>
    <x v="0"/>
    <s v="KEPL/02589/81-82"/>
    <s v="NEPAL SENA SUPATH MULYA CANTEEN"/>
    <s v="Blends"/>
    <x v="14"/>
    <n v="0.22"/>
    <n v="40"/>
    <n v="136.15"/>
    <n v="5446.0000000000009"/>
    <n v="0"/>
    <n v="0"/>
    <n v="707.98017900000002"/>
    <n v="6153.9801790000001"/>
  </r>
  <r>
    <x v="15"/>
    <x v="1"/>
    <s v="Q1"/>
    <x v="0"/>
    <s v="KEPL/02590/81-82"/>
    <s v="NEPAL SENA SUPATH MULYA CANTEEN"/>
    <s v="Straight Pouch"/>
    <x v="13"/>
    <n v="0.5"/>
    <n v="50"/>
    <n v="130.77000000000001"/>
    <n v="6538.5"/>
    <s v=""/>
    <s v=""/>
    <s v=""/>
    <n v="6538.5"/>
  </r>
  <r>
    <x v="15"/>
    <x v="1"/>
    <s v="Q1"/>
    <x v="0"/>
    <s v="KEPL/02590/81-82"/>
    <s v="NEPAL SENA SUPATH MULYA CANTEEN"/>
    <s v="Straight Pouch"/>
    <x v="12"/>
    <n v="0.3"/>
    <n v="12"/>
    <n v="311.54000000000002"/>
    <n v="3738.48"/>
    <s v=""/>
    <s v=""/>
    <s v=""/>
    <n v="3738.48"/>
  </r>
  <r>
    <x v="15"/>
    <x v="1"/>
    <s v="Q1"/>
    <x v="0"/>
    <s v="KEPL/02591/81-82"/>
    <s v="NEPAL SENA SUPATH MULYA CANTEEN"/>
    <s v="Blends"/>
    <x v="2"/>
    <n v="0.28000000000000003"/>
    <n v="50"/>
    <n v="64.67"/>
    <n v="3233.5"/>
    <n v="0"/>
    <n v="0"/>
    <n v="420.35489899999999"/>
    <n v="3653.8548989999999"/>
  </r>
  <r>
    <x v="15"/>
    <x v="1"/>
    <s v="Q1"/>
    <x v="0"/>
    <s v="KEPL/02591/81-82"/>
    <s v="NEPAL SENA SUPATH MULYA CANTEEN"/>
    <s v="Straight Premium"/>
    <x v="23"/>
    <n v="0.28000000000000003"/>
    <n v="50"/>
    <n v="183.8"/>
    <n v="9190"/>
    <n v="0"/>
    <n v="0"/>
    <n v="1194.699713"/>
    <n v="10384.699713"/>
  </r>
  <r>
    <x v="15"/>
    <x v="1"/>
    <s v="Q1"/>
    <x v="0"/>
    <s v="KEPL/02591/81-82"/>
    <s v="NEPAL SENA SUPATH MULYA CANTEEN"/>
    <s v="Blends"/>
    <x v="17"/>
    <n v="0.28000000000000003"/>
    <n v="50"/>
    <n v="122.53"/>
    <n v="6126.5"/>
    <n v="0"/>
    <n v="0"/>
    <n v="796.44480900000008"/>
    <n v="6922.9448089999996"/>
  </r>
  <r>
    <x v="15"/>
    <x v="1"/>
    <s v="Q1"/>
    <x v="0"/>
    <s v="KEPL/02591/81-82"/>
    <s v="NEPAL SENA SUPATH MULYA CANTEEN"/>
    <s v="Blends"/>
    <x v="15"/>
    <n v="0.28000000000000003"/>
    <n v="50"/>
    <n v="115.72"/>
    <n v="5785.9999999999991"/>
    <n v="0"/>
    <n v="0"/>
    <n v="752.17981999999995"/>
    <n v="6538.1798200000003"/>
  </r>
  <r>
    <x v="15"/>
    <x v="1"/>
    <s v="Q1"/>
    <x v="0"/>
    <s v="KEPL/02591/81-82"/>
    <s v="NEPAL SENA SUPATH MULYA CANTEEN"/>
    <s v="Blends"/>
    <x v="0"/>
    <n v="0.28000000000000003"/>
    <n v="50"/>
    <n v="64.67"/>
    <n v="3233.5"/>
    <n v="0"/>
    <n v="0"/>
    <n v="420.35489899999999"/>
    <n v="3653.8548989999999"/>
  </r>
  <r>
    <x v="15"/>
    <x v="1"/>
    <s v="Q1"/>
    <x v="0"/>
    <s v="KEPL/02591/81-82"/>
    <s v="NEPAL SENA SUPATH MULYA CANTEEN"/>
    <s v="Blends"/>
    <x v="11"/>
    <n v="0.28000000000000003"/>
    <n v="50"/>
    <n v="64.67"/>
    <n v="3233.5"/>
    <n v="0"/>
    <n v="0"/>
    <n v="420.35489899999999"/>
    <n v="3653.8548989999999"/>
  </r>
  <r>
    <x v="15"/>
    <x v="1"/>
    <s v="Q1"/>
    <x v="0"/>
    <s v="KEPL/02591/81-82"/>
    <s v="NEPAL SENA SUPATH MULYA CANTEEN"/>
    <s v="Blends"/>
    <x v="9"/>
    <n v="0.28000000000000003"/>
    <n v="50"/>
    <n v="71.48"/>
    <n v="3574"/>
    <n v="0"/>
    <n v="0"/>
    <n v="464.619889"/>
    <n v="4038.6198890000001"/>
  </r>
  <r>
    <x v="15"/>
    <x v="1"/>
    <s v="Q1"/>
    <x v="0"/>
    <s v="KEPL/02591/81-82"/>
    <s v="NEPAL SENA SUPATH MULYA CANTEEN"/>
    <s v="Straight Pouch"/>
    <x v="3"/>
    <n v="0.3"/>
    <n v="12"/>
    <n v="462.9"/>
    <n v="5554.8"/>
    <n v="0"/>
    <n v="0"/>
    <n v="722.12382700000001"/>
    <n v="6276.9238269999996"/>
  </r>
  <r>
    <x v="15"/>
    <x v="1"/>
    <s v="Q1"/>
    <x v="0"/>
    <s v="KEPL/02591/81-82"/>
    <s v="NEPAL SENA SUPATH MULYA CANTEEN"/>
    <s v="Straight Pouch"/>
    <x v="1"/>
    <n v="0.5"/>
    <n v="50"/>
    <n v="108.92"/>
    <n v="5446.0000000000009"/>
    <n v="0"/>
    <n v="0"/>
    <n v="707.97982999999999"/>
    <n v="6153.9798300000002"/>
  </r>
  <r>
    <x v="15"/>
    <x v="1"/>
    <s v="Q1"/>
    <x v="0"/>
    <s v="KEPL/02591/81-82"/>
    <s v="NEPAL SENA SUPATH MULYA CANTEEN"/>
    <s v="Blends"/>
    <x v="14"/>
    <n v="0.28000000000000003"/>
    <n v="50"/>
    <n v="136.15"/>
    <n v="6807.5"/>
    <n v="0"/>
    <n v="0"/>
    <n v="884.97478799999999"/>
    <n v="7692.4747880000004"/>
  </r>
  <r>
    <x v="15"/>
    <x v="1"/>
    <s v="Q1"/>
    <x v="0"/>
    <s v="KEPL/02591/81-82"/>
    <s v="NEPAL SENA SUPATH MULYA CANTEEN"/>
    <s v="Straight Pouch"/>
    <x v="6"/>
    <n v="0.5"/>
    <n v="50"/>
    <n v="190.61"/>
    <n v="9530.5"/>
    <n v="0"/>
    <n v="0"/>
    <n v="1238.9647029999999"/>
    <n v="10769.464703"/>
  </r>
  <r>
    <x v="15"/>
    <x v="1"/>
    <s v="Q1"/>
    <x v="0"/>
    <s v="KEPL/02591/81-82"/>
    <s v="NEPAL SENA SUPATH MULYA CANTEEN"/>
    <s v="Straight Pouch"/>
    <x v="4"/>
    <n v="0.3"/>
    <n v="12"/>
    <n v="262.08"/>
    <n v="3144.96"/>
    <n v="0"/>
    <n v="0"/>
    <n v="408.84470199999998"/>
    <n v="3553.8047019999999"/>
  </r>
  <r>
    <x v="15"/>
    <x v="1"/>
    <s v="Q1"/>
    <x v="0"/>
    <s v="KEPL/02591/81-82"/>
    <s v="NEPAL SENA SUPATH MULYA CANTEEN"/>
    <s v="Straight Premium"/>
    <x v="5"/>
    <n v="0.28000000000000003"/>
    <n v="50"/>
    <n v="95.3"/>
    <n v="4765"/>
    <n v="0"/>
    <n v="0"/>
    <n v="619.44985099999997"/>
    <n v="5384.4498510000003"/>
  </r>
  <r>
    <x v="15"/>
    <x v="1"/>
    <s v="Q1"/>
    <x v="0"/>
    <s v="KEPL/02591/81-82"/>
    <s v="NEPAL SENA SUPATH MULYA CANTEEN"/>
    <s v="Sprinkler"/>
    <x v="25"/>
    <n v="0.13"/>
    <n v="6"/>
    <n v="313.14"/>
    <n v="1878.84"/>
    <n v="0"/>
    <n v="0"/>
    <n v="244.24914100000001"/>
    <n v="2123.0891409999999"/>
  </r>
  <r>
    <x v="15"/>
    <x v="1"/>
    <s v="Q1"/>
    <x v="0"/>
    <s v="KEPL/02591/81-82"/>
    <s v="NEPAL SENA SUPATH MULYA CANTEEN"/>
    <s v="Blends"/>
    <x v="20"/>
    <n v="0.42"/>
    <n v="50"/>
    <n v="122.53"/>
    <n v="6126.5"/>
    <n v="0"/>
    <n v="0"/>
    <n v="796.44480900000008"/>
    <n v="6922.9448089999996"/>
  </r>
  <r>
    <x v="15"/>
    <x v="1"/>
    <s v="Q1"/>
    <x v="0"/>
    <s v="KEPL/02591/81-82"/>
    <s v="NEPAL SENA SUPATH MULYA CANTEEN"/>
    <s v="Blends"/>
    <x v="21"/>
    <n v="0.63"/>
    <n v="50"/>
    <n v="190.61"/>
    <n v="9530.5"/>
    <n v="0"/>
    <n v="0"/>
    <n v="1238.9647029999999"/>
    <n v="10769.464703"/>
  </r>
  <r>
    <x v="15"/>
    <x v="1"/>
    <s v="Q1"/>
    <x v="0"/>
    <s v="KEPL/02591/81-82"/>
    <s v="NEPAL SENA SUPATH MULYA CANTEEN"/>
    <s v="Blends"/>
    <x v="16"/>
    <n v="0.42"/>
    <n v="50"/>
    <n v="122.53"/>
    <n v="6126.5"/>
    <n v="0"/>
    <n v="0"/>
    <n v="796.44480900000008"/>
    <n v="6922.9448089999996"/>
  </r>
  <r>
    <x v="15"/>
    <x v="1"/>
    <s v="Q1"/>
    <x v="0"/>
    <s v="KEPL/02591/81-82"/>
    <s v="NEPAL SENA SUPATH MULYA CANTEEN"/>
    <s v="Straight Premium"/>
    <x v="8"/>
    <n v="0.42"/>
    <n v="50"/>
    <n v="57.86"/>
    <n v="2892.9999999999995"/>
    <n v="0"/>
    <n v="0"/>
    <n v="376.08990999999997"/>
    <n v="3269.0899100000001"/>
  </r>
  <r>
    <x v="16"/>
    <x v="1"/>
    <s v="Q1"/>
    <x v="0"/>
    <s v="KEPL/02592/81-82"/>
    <s v="HAMRO KIRANA PASAL"/>
    <s v="Straight Premium"/>
    <x v="7"/>
    <n v="1"/>
    <n v="120"/>
    <n v="152.11000000000001"/>
    <n v="18253.2"/>
    <n v="-1659.2199999999998"/>
    <n v="0"/>
    <n v="2157.2191430000003"/>
    <n v="18751.199143000002"/>
  </r>
  <r>
    <x v="16"/>
    <x v="1"/>
    <s v="Q1"/>
    <x v="0"/>
    <s v="KEPL/02592/81-82"/>
    <s v="HAMRO KIRANA PASAL"/>
    <s v="Cooking Paste"/>
    <x v="29"/>
    <n v="0.75"/>
    <n v="90"/>
    <n v="57.46"/>
    <n v="5171.3999999999996"/>
    <n v="-470.08"/>
    <n v="0"/>
    <n v="611.17209400000002"/>
    <n v="5312.4920940000002"/>
  </r>
  <r>
    <x v="16"/>
    <x v="1"/>
    <s v="Q1"/>
    <x v="0"/>
    <s v="KEPL/02592/81-82"/>
    <s v="HAMRO KIRANA PASAL"/>
    <s v="Blends"/>
    <x v="0"/>
    <n v="1"/>
    <n v="180"/>
    <n v="64.23"/>
    <n v="11561.4"/>
    <n v="-1050.9299999999998"/>
    <n v="0"/>
    <n v="1366.3622039999998"/>
    <n v="11876.832204"/>
  </r>
  <r>
    <x v="16"/>
    <x v="1"/>
    <s v="Q1"/>
    <x v="0"/>
    <s v="KEPL/02592/81-82"/>
    <s v="HAMRO KIRANA PASAL"/>
    <s v="Straight Premium"/>
    <x v="8"/>
    <n v="1"/>
    <n v="120"/>
    <n v="57.46"/>
    <n v="6895.2"/>
    <n v="-626.77"/>
    <n v="0"/>
    <n v="814.89655900000002"/>
    <n v="7083.3265590000001"/>
  </r>
  <r>
    <x v="17"/>
    <x v="1"/>
    <s v="Q1"/>
    <x v="0"/>
    <s v="KEPL/02606/81-82"/>
    <s v="SIMPEX SOLUTION PVT. LTD"/>
    <s v="Straight Premium"/>
    <x v="8"/>
    <n v="0.13"/>
    <n v="16"/>
    <n v="60.18"/>
    <n v="962.88"/>
    <n v="0"/>
    <n v="0"/>
    <n v="125.17403299999999"/>
    <n v="1088.0540329999999"/>
  </r>
  <r>
    <x v="17"/>
    <x v="1"/>
    <s v="Q1"/>
    <x v="0"/>
    <s v="KEPL/02606/81-82"/>
    <s v="SIMPEX SOLUTION PVT. LTD"/>
    <s v="Cooking Paste"/>
    <x v="29"/>
    <n v="0.7"/>
    <n v="84"/>
    <n v="60.18"/>
    <n v="5055.12"/>
    <n v="0"/>
    <n v="0"/>
    <n v="657.16367100000002"/>
    <n v="5712.2836710000001"/>
  </r>
  <r>
    <x v="17"/>
    <x v="1"/>
    <s v="Q1"/>
    <x v="0"/>
    <s v="KEPL/02606/81-82"/>
    <s v="SIMPEX SOLUTION PVT. LTD"/>
    <s v="Blends"/>
    <x v="11"/>
    <n v="0.09"/>
    <n v="16"/>
    <n v="67.260000000000005"/>
    <n v="1076.1600000000001"/>
    <n v="0"/>
    <n v="0"/>
    <n v="139.90038899999999"/>
    <n v="1216.060389"/>
  </r>
  <r>
    <x v="17"/>
    <x v="1"/>
    <s v="Q1"/>
    <x v="0"/>
    <s v="KEPL/02606/81-82"/>
    <s v="SIMPEX SOLUTION PVT. LTD"/>
    <s v="Blends"/>
    <x v="10"/>
    <n v="0.1"/>
    <n v="18"/>
    <n v="63.72"/>
    <n v="1146.96"/>
    <n v="0"/>
    <n v="0"/>
    <n v="149.10436199999998"/>
    <n v="1296.0643620000001"/>
  </r>
  <r>
    <x v="17"/>
    <x v="1"/>
    <s v="Q1"/>
    <x v="0"/>
    <s v="KEPL/02606/81-82"/>
    <s v="SIMPEX SOLUTION PVT. LTD"/>
    <s v="Blends"/>
    <x v="9"/>
    <n v="0.05"/>
    <n v="9"/>
    <n v="74.34"/>
    <n v="669.06"/>
    <n v="0"/>
    <n v="0"/>
    <n v="86.977544999999992"/>
    <n v="756.03754500000002"/>
  </r>
  <r>
    <x v="17"/>
    <x v="1"/>
    <s v="Q1"/>
    <x v="0"/>
    <s v="KEPL/02608/81-82"/>
    <s v="SHIVA SHAKTI CONCERN"/>
    <s v="Sprinkler"/>
    <x v="31"/>
    <n v="1"/>
    <n v="72"/>
    <n v="148.72999999999999"/>
    <n v="10708.56"/>
    <n v="-973.41"/>
    <n v="0"/>
    <n v="1265.5695819999999"/>
    <n v="11000.719582"/>
  </r>
  <r>
    <x v="17"/>
    <x v="1"/>
    <s v="Q1"/>
    <x v="0"/>
    <s v="KEPL/02608/81-82"/>
    <s v="SHIVA SHAKTI CONCERN"/>
    <s v="Blends"/>
    <x v="18"/>
    <n v="1"/>
    <n v="120"/>
    <n v="141.97"/>
    <n v="17036.400000000001"/>
    <n v="-1548.61"/>
    <n v="0"/>
    <n v="2013.41283"/>
    <n v="17501.202829999998"/>
  </r>
  <r>
    <x v="17"/>
    <x v="1"/>
    <s v="Q1"/>
    <x v="0"/>
    <s v="KEPL/02608/81-82"/>
    <s v="SHIVA SHAKTI CONCERN"/>
    <s v="Straight Premium"/>
    <x v="8"/>
    <n v="1"/>
    <n v="120"/>
    <n v="57.46"/>
    <n v="6895.2"/>
    <n v="-626.77"/>
    <n v="0"/>
    <n v="814.89595299999996"/>
    <n v="7083.3259529999996"/>
  </r>
  <r>
    <x v="17"/>
    <x v="1"/>
    <s v="Q1"/>
    <x v="0"/>
    <s v="KEPL/02608/81-82"/>
    <s v="SHIVA SHAKTI CONCERN"/>
    <s v="Straight Premium"/>
    <x v="28"/>
    <n v="0.25"/>
    <n v="20"/>
    <n v="169.01"/>
    <n v="3380.2"/>
    <n v="-307.26"/>
    <n v="0"/>
    <n v="399.48222599999997"/>
    <n v="3472.4222260000001"/>
  </r>
  <r>
    <x v="17"/>
    <x v="1"/>
    <s v="Q1"/>
    <x v="0"/>
    <s v="KEPL/02608/81-82"/>
    <s v="SHIVA SHAKTI CONCERN"/>
    <s v="Blends"/>
    <x v="19"/>
    <n v="1"/>
    <n v="180"/>
    <n v="155.49"/>
    <n v="27988.2"/>
    <n v="-2544.13"/>
    <n v="0"/>
    <n v="3307.7293140000002"/>
    <n v="28751.799314"/>
  </r>
  <r>
    <x v="17"/>
    <x v="1"/>
    <s v="Q1"/>
    <x v="0"/>
    <s v="KEPL/02608/81-82"/>
    <s v="SHIVA SHAKTI CONCERN"/>
    <s v="Cooking Paste"/>
    <x v="30"/>
    <n v="1"/>
    <n v="60"/>
    <n v="98.03"/>
    <n v="5881.8"/>
    <n v="-534.66"/>
    <n v="0"/>
    <n v="695.12824499999999"/>
    <n v="6042.2682450000002"/>
  </r>
  <r>
    <x v="17"/>
    <x v="1"/>
    <s v="Q1"/>
    <x v="0"/>
    <s v="KEPL/02608/81-82"/>
    <s v="SHIVA SHAKTI CONCERN"/>
    <s v="Sprinkler"/>
    <x v="25"/>
    <n v="1.01"/>
    <n v="48"/>
    <n v="310.99"/>
    <n v="14927.519999999999"/>
    <n v="-1356.91"/>
    <n v="0"/>
    <n v="1764.179414"/>
    <n v="15334.789414000001"/>
  </r>
  <r>
    <x v="17"/>
    <x v="1"/>
    <s v="Q1"/>
    <x v="0"/>
    <s v="KEPL/02608/81-82"/>
    <s v="SHIVA SHAKTI CONCERN"/>
    <s v="Sprinkler"/>
    <x v="26"/>
    <n v="0.5"/>
    <n v="36"/>
    <n v="131.83000000000001"/>
    <n v="4745.88"/>
    <n v="-431.4"/>
    <n v="0"/>
    <n v="560.88243599999998"/>
    <n v="4875.3624360000003"/>
  </r>
  <r>
    <x v="17"/>
    <x v="1"/>
    <s v="Q1"/>
    <x v="0"/>
    <s v="KEPL/02609/81-82"/>
    <s v="AMRIT TRADE CONCERN"/>
    <s v="Straight Premium"/>
    <x v="28"/>
    <n v="0.25"/>
    <n v="20"/>
    <n v="169.01"/>
    <n v="3380.2"/>
    <n v="-307.26"/>
    <n v="0"/>
    <n v="399.482597"/>
    <n v="3472.4225970000002"/>
  </r>
  <r>
    <x v="17"/>
    <x v="1"/>
    <s v="Q1"/>
    <x v="0"/>
    <s v="KEPL/02609/81-82"/>
    <s v="AMRIT TRADE CONCERN"/>
    <s v="Sprinkler"/>
    <x v="26"/>
    <n v="0.5"/>
    <n v="36"/>
    <n v="131.83000000000001"/>
    <n v="4745.88"/>
    <n v="-431.4"/>
    <n v="0"/>
    <n v="560.88295700000003"/>
    <n v="4875.3629570000003"/>
  </r>
  <r>
    <x v="17"/>
    <x v="1"/>
    <s v="Q1"/>
    <x v="0"/>
    <s v="KEPL/02609/81-82"/>
    <s v="AMRIT TRADE CONCERN"/>
    <s v="Cooking Paste"/>
    <x v="29"/>
    <n v="0.25"/>
    <n v="30"/>
    <n v="57.46"/>
    <n v="1723.8"/>
    <n v="-156.69"/>
    <n v="0"/>
    <n v="203.724502"/>
    <n v="1770.8345019999999"/>
  </r>
  <r>
    <x v="17"/>
    <x v="1"/>
    <s v="Q1"/>
    <x v="0"/>
    <s v="KEPL/02609/81-82"/>
    <s v="AMRIT TRADE CONCERN"/>
    <s v="Sprinkler"/>
    <x v="25"/>
    <n v="1"/>
    <n v="48"/>
    <n v="310.99"/>
    <n v="14927.519999999999"/>
    <n v="-1356.91"/>
    <n v="0"/>
    <n v="1764.181053"/>
    <n v="15334.791053000001"/>
  </r>
  <r>
    <x v="17"/>
    <x v="1"/>
    <s v="Q1"/>
    <x v="0"/>
    <s v="KEPL/02609/81-82"/>
    <s v="AMRIT TRADE CONCERN"/>
    <s v="Cooking Paste"/>
    <x v="30"/>
    <n v="1"/>
    <n v="60"/>
    <n v="98.03"/>
    <n v="5881.8"/>
    <n v="-534.66"/>
    <n v="0"/>
    <n v="695.12889099999995"/>
    <n v="6042.2688909999997"/>
  </r>
  <r>
    <x v="17"/>
    <x v="1"/>
    <s v="Q1"/>
    <x v="0"/>
    <s v="KEPL/02610/81-82"/>
    <s v="DURGA AND AAMOSH SUPPLIERS PVT.LTD"/>
    <s v="Blends"/>
    <x v="2"/>
    <n v="2"/>
    <n v="360"/>
    <n v="64.23"/>
    <n v="23122.799999999999"/>
    <n v="-2101.8599999999997"/>
    <n v="0"/>
    <n v="2732.722984"/>
    <n v="23753.662983999999"/>
  </r>
  <r>
    <x v="17"/>
    <x v="1"/>
    <s v="Q1"/>
    <x v="0"/>
    <s v="KEPL/02610/81-82"/>
    <s v="DURGA AND AAMOSH SUPPLIERS PVT.LTD"/>
    <s v="Blends"/>
    <x v="0"/>
    <n v="1"/>
    <n v="180"/>
    <n v="64.23"/>
    <n v="11561.4"/>
    <n v="-1050.9299999999998"/>
    <n v="0"/>
    <n v="1366.361492"/>
    <n v="11876.831491999999"/>
  </r>
  <r>
    <x v="17"/>
    <x v="1"/>
    <s v="Q1"/>
    <x v="0"/>
    <s v="KEPL/02610/81-82"/>
    <s v="DURGA AND AAMOSH SUPPLIERS PVT.LTD"/>
    <s v="Straight Premium"/>
    <x v="5"/>
    <n v="3"/>
    <n v="540"/>
    <n v="94.65"/>
    <n v="51110.999999999993"/>
    <n v="-4645.99"/>
    <n v="0"/>
    <n v="6040.4530329999998"/>
    <n v="52505.463033"/>
  </r>
  <r>
    <x v="17"/>
    <x v="1"/>
    <s v="Q1"/>
    <x v="0"/>
    <s v="KEPL/02610/81-82"/>
    <s v="DURGA AND AAMOSH SUPPLIERS PVT.LTD"/>
    <s v="Straight Premium"/>
    <x v="8"/>
    <n v="0.92"/>
    <n v="110"/>
    <n v="57.46"/>
    <n v="6320.6"/>
    <n v="-574.54"/>
    <n v="0"/>
    <n v="746.98801399999991"/>
    <n v="6493.048014"/>
  </r>
  <r>
    <x v="17"/>
    <x v="1"/>
    <s v="Q1"/>
    <x v="0"/>
    <s v="KEPL/02610/81-82"/>
    <s v="DURGA AND AAMOSH SUPPLIERS PVT.LTD"/>
    <s v="Blends"/>
    <x v="11"/>
    <n v="3"/>
    <n v="540"/>
    <n v="64.23"/>
    <n v="34684.199999999997"/>
    <n v="-3152.79"/>
    <n v="0"/>
    <n v="4099.084476"/>
    <n v="35630.494476"/>
  </r>
  <r>
    <x v="17"/>
    <x v="1"/>
    <s v="Q1"/>
    <x v="0"/>
    <s v="KESR/0115/81-82"/>
    <s v="AARYA TRADE LINK PVT.LTD"/>
    <s v="Straight Pouch"/>
    <x v="13"/>
    <n v="-1"/>
    <n v="-100"/>
    <n v="124.88"/>
    <n v="-12488"/>
    <n v="479.54"/>
    <n v="0"/>
    <n v="0"/>
    <n v="-12008.46"/>
  </r>
  <r>
    <x v="17"/>
    <x v="1"/>
    <s v="Q1"/>
    <x v="0"/>
    <s v="KESR/0115/81-82"/>
    <s v="AARYA TRADE LINK PVT.LTD"/>
    <s v="Straight Pouch"/>
    <x v="12"/>
    <n v="-1"/>
    <n v="-40"/>
    <n v="297.52"/>
    <n v="-11900.8"/>
    <n v="456.99"/>
    <n v="0"/>
    <n v="0"/>
    <n v="-11443.81"/>
  </r>
  <r>
    <x v="17"/>
    <x v="1"/>
    <s v="Q1"/>
    <x v="0"/>
    <s v="KESR/0116/81-82"/>
    <s v="AARYA TRADE LINK PVT.LTD"/>
    <s v="Cooking Paste"/>
    <x v="29"/>
    <n v="-1"/>
    <n v="-120"/>
    <n v="57.46"/>
    <n v="-6895.2"/>
    <n v="264.77999999999997"/>
    <n v="0"/>
    <n v="-861.95490699999993"/>
    <n v="-7492.3749070000003"/>
  </r>
  <r>
    <x v="17"/>
    <x v="1"/>
    <s v="Q1"/>
    <x v="0"/>
    <s v="KESR/0116/81-82"/>
    <s v="AARYA TRADE LINK PVT.LTD"/>
    <s v="Straight Pouch"/>
    <x v="3"/>
    <n v="-1"/>
    <n v="-40"/>
    <n v="459.72"/>
    <n v="-18388.8"/>
    <n v="706.12999999999988"/>
    <n v="0"/>
    <n v="-2298.7479189999999"/>
    <n v="-19981.417919"/>
  </r>
  <r>
    <x v="17"/>
    <x v="1"/>
    <s v="Q1"/>
    <x v="0"/>
    <s v="KESR/0116/81-82"/>
    <s v="AARYA TRADE LINK PVT.LTD"/>
    <s v="Straight Pouch"/>
    <x v="6"/>
    <n v="-1"/>
    <n v="-100"/>
    <n v="189.3"/>
    <n v="-18930"/>
    <n v="726.91000000000008"/>
    <n v="0"/>
    <n v="-2366.4025429999997"/>
    <n v="-20569.492543"/>
  </r>
  <r>
    <x v="17"/>
    <x v="1"/>
    <s v="Q1"/>
    <x v="0"/>
    <s v="KESR/0116/81-82"/>
    <s v="AARYA TRADE LINK PVT.LTD"/>
    <s v="Blends"/>
    <x v="10"/>
    <n v="-0.89"/>
    <n v="-160"/>
    <n v="60.84"/>
    <n v="-9734.4"/>
    <n v="373.8"/>
    <n v="0"/>
    <n v="-1216.8784330000001"/>
    <n v="-10577.478433"/>
  </r>
  <r>
    <x v="17"/>
    <x v="1"/>
    <s v="Q1"/>
    <x v="0"/>
    <s v="KESR/0116/81-82"/>
    <s v="AARYA TRADE LINK PVT.LTD"/>
    <s v="Blends"/>
    <x v="21"/>
    <n v="-1"/>
    <n v="-80"/>
    <n v="189.3"/>
    <n v="-15144"/>
    <n v="581.53"/>
    <n v="0"/>
    <n v="-1893.121774"/>
    <n v="-16455.591774"/>
  </r>
  <r>
    <x v="17"/>
    <x v="1"/>
    <s v="Q1"/>
    <x v="0"/>
    <s v="KESR/0116/81-82"/>
    <s v="AARYA TRADE LINK PVT.LTD"/>
    <s v="Sprinkler"/>
    <x v="31"/>
    <n v="-1"/>
    <n v="-72"/>
    <n v="148.72999999999999"/>
    <n v="-10708.56"/>
    <n v="411.21"/>
    <n v="0"/>
    <n v="-1338.6559770000001"/>
    <n v="-11636.005977000001"/>
  </r>
  <r>
    <x v="17"/>
    <x v="1"/>
    <s v="Q1"/>
    <x v="0"/>
    <s v="KESR/0116/81-82"/>
    <s v="AARYA TRADE LINK PVT.LTD"/>
    <s v="Straight Premium"/>
    <x v="24"/>
    <n v="-0.7"/>
    <n v="-28"/>
    <n v="439.44"/>
    <n v="-12304.32"/>
    <n v="472.49"/>
    <n v="0"/>
    <n v="-1538.1384479999999"/>
    <n v="-13369.968448"/>
  </r>
  <r>
    <x v="17"/>
    <x v="1"/>
    <s v="Q1"/>
    <x v="0"/>
    <s v="KESR/0117/81-82"/>
    <s v="AARYA TRADE LINK PVT.LTD"/>
    <s v="Straight Premium"/>
    <x v="28"/>
    <n v="-0.5"/>
    <n v="-40"/>
    <n v="169.01"/>
    <n v="-6760.4"/>
    <n v="259.60000000000002"/>
    <n v="0"/>
    <n v="-845.10402699999997"/>
    <n v="-7345.9040269999996"/>
  </r>
  <r>
    <x v="17"/>
    <x v="1"/>
    <s v="Q1"/>
    <x v="0"/>
    <s v="KESR/0117/81-82"/>
    <s v="AARYA TRADE LINK PVT.LTD"/>
    <s v="Blends"/>
    <x v="18"/>
    <n v="-1"/>
    <n v="-120"/>
    <n v="141.97"/>
    <n v="-17036.400000000001"/>
    <n v="654.20000000000005"/>
    <n v="0"/>
    <n v="-2129.6860689999999"/>
    <n v="-18511.886069"/>
  </r>
  <r>
    <x v="17"/>
    <x v="1"/>
    <s v="Q1"/>
    <x v="0"/>
    <s v="KESR/0117/81-82"/>
    <s v="AARYA TRADE LINK PVT.LTD"/>
    <s v="Straight Pouch"/>
    <x v="4"/>
    <n v="-1"/>
    <n v="-40"/>
    <n v="260.27999999999997"/>
    <n v="-10411.200000000001"/>
    <n v="399.79"/>
    <n v="0"/>
    <n v="-1301.483342"/>
    <n v="-11312.893341999999"/>
  </r>
  <r>
    <x v="17"/>
    <x v="1"/>
    <s v="Q1"/>
    <x v="0"/>
    <s v="KESR/0117/81-82"/>
    <s v="AARYA TRADE LINK PVT.LTD"/>
    <s v="Cooking Paste"/>
    <x v="30"/>
    <n v="-2.42"/>
    <n v="-145"/>
    <n v="98.03"/>
    <n v="-14214.35"/>
    <n v="545.83000000000004"/>
    <n v="0"/>
    <n v="-1776.907657"/>
    <n v="-15445.427657"/>
  </r>
  <r>
    <x v="17"/>
    <x v="1"/>
    <s v="Q1"/>
    <x v="0"/>
    <s v="KESR/0117/81-82"/>
    <s v="AARYA TRADE LINK PVT.LTD"/>
    <s v="Straight Pouch"/>
    <x v="1"/>
    <n v="-1"/>
    <n v="-100"/>
    <n v="108.17"/>
    <n v="-10817"/>
    <n v="415.37"/>
    <n v="0"/>
    <n v="-1352.2119440000001"/>
    <n v="-11753.841944"/>
  </r>
  <r>
    <x v="17"/>
    <x v="1"/>
    <s v="Q1"/>
    <x v="0"/>
    <s v="KESR/0117/81-82"/>
    <s v="AARYA TRADE LINK PVT.LTD"/>
    <s v="Blends"/>
    <x v="0"/>
    <n v="-0.97"/>
    <n v="-174"/>
    <n v="64.23"/>
    <n v="-11176.02"/>
    <n v="429.16"/>
    <n v="0"/>
    <n v="-1397.0918449999999"/>
    <n v="-12143.951845"/>
  </r>
  <r>
    <x v="17"/>
    <x v="1"/>
    <s v="Q1"/>
    <x v="0"/>
    <s v="KESR/0117/81-82"/>
    <s v="AARYA TRADE LINK PVT.LTD"/>
    <s v="Blends"/>
    <x v="11"/>
    <n v="-0.83"/>
    <n v="-150"/>
    <n v="64.23"/>
    <n v="-9634.5"/>
    <n v="369.96"/>
    <n v="0"/>
    <n v="-1204.3902389999998"/>
    <n v="-10468.930238999999"/>
  </r>
  <r>
    <x v="17"/>
    <x v="1"/>
    <s v="Q1"/>
    <x v="0"/>
    <s v="KESR/0117/81-82"/>
    <s v="AARYA TRADE LINK PVT.LTD"/>
    <s v="Sprinkler"/>
    <x v="25"/>
    <n v="-2"/>
    <n v="-96"/>
    <n v="310.99"/>
    <n v="-29855.039999999997"/>
    <n v="1146.43"/>
    <n v="0"/>
    <n v="-3732.1194209999999"/>
    <n v="-32440.729421"/>
  </r>
  <r>
    <x v="17"/>
    <x v="1"/>
    <s v="Q1"/>
    <x v="0"/>
    <s v="KESR/0117/81-82"/>
    <s v="AARYA TRADE LINK PVT.LTD"/>
    <s v="Blends"/>
    <x v="9"/>
    <n v="-0.83"/>
    <n v="-149"/>
    <n v="70.989999999999995"/>
    <n v="-10577.51"/>
    <n v="406.18"/>
    <n v="0"/>
    <n v="-1322.2729429999999"/>
    <n v="-11493.602943"/>
  </r>
  <r>
    <x v="17"/>
    <x v="1"/>
    <s v="Q1"/>
    <x v="0"/>
    <s v="KESR/0117/81-82"/>
    <s v="AARYA TRADE LINK PVT.LTD"/>
    <s v="Blends"/>
    <x v="19"/>
    <n v="-1"/>
    <n v="-180"/>
    <n v="155.49"/>
    <n v="-27988.2"/>
    <n v="1074.75"/>
    <n v="0"/>
    <n v="-3498.7486130000002"/>
    <n v="-30412.198613"/>
  </r>
  <r>
    <x v="17"/>
    <x v="1"/>
    <s v="Q1"/>
    <x v="0"/>
    <s v="KESR/0117/81-82"/>
    <s v="AARYA TRADE LINK PVT.LTD"/>
    <s v="Straight Premium"/>
    <x v="7"/>
    <n v="-1.91"/>
    <n v="-229"/>
    <n v="152.11000000000001"/>
    <n v="-34833.19"/>
    <n v="1337.5900000000001"/>
    <n v="0"/>
    <n v="-4354.4281410000003"/>
    <n v="-37850.028141000003"/>
  </r>
  <r>
    <x v="17"/>
    <x v="1"/>
    <s v="Q1"/>
    <x v="0"/>
    <s v="KESR/0117/81-82"/>
    <s v="AARYA TRADE LINK PVT.LTD"/>
    <s v="Straight Premium"/>
    <x v="8"/>
    <n v="-0.75"/>
    <n v="-90"/>
    <n v="57.46"/>
    <n v="-5171.3999999999996"/>
    <n v="198.58"/>
    <n v="0"/>
    <n v="-646.46662099999992"/>
    <n v="-5619.2866210000002"/>
  </r>
  <r>
    <x v="17"/>
    <x v="1"/>
    <s v="Q1"/>
    <x v="0"/>
    <s v="KESR/0117/81-82"/>
    <s v="AARYA TRADE LINK PVT.LTD"/>
    <s v="Blends"/>
    <x v="2"/>
    <n v="-1.66"/>
    <n v="-299"/>
    <n v="64.23"/>
    <n v="-19204.769999999997"/>
    <n v="737.46"/>
    <n v="0"/>
    <n v="-2400.7503780000002"/>
    <n v="-20868.060377999998"/>
  </r>
  <r>
    <x v="17"/>
    <x v="1"/>
    <s v="Q1"/>
    <x v="0"/>
    <s v="KESR/0117/81-82"/>
    <s v="AARYA TRADE LINK PVT.LTD"/>
    <s v="Sprinkler"/>
    <x v="26"/>
    <n v="-1"/>
    <n v="-72"/>
    <n v="131.83000000000001"/>
    <n v="-9491.76"/>
    <n v="364.48"/>
    <n v="0"/>
    <n v="-1186.5464380000001"/>
    <n v="-10313.826438"/>
  </r>
  <r>
    <x v="17"/>
    <x v="1"/>
    <s v="Q1"/>
    <x v="0"/>
    <s v="KESR/0117/81-82"/>
    <s v="AARYA TRADE LINK PVT.LTD"/>
    <s v="Straight Premium"/>
    <x v="5"/>
    <n v="-1.78"/>
    <n v="-320"/>
    <n v="94.65"/>
    <n v="-30288"/>
    <n v="1163.06"/>
    <n v="0"/>
    <n v="-3786.2423219999996"/>
    <n v="-32911.182322000001"/>
  </r>
  <r>
    <x v="18"/>
    <x v="1"/>
    <s v="Q1"/>
    <x v="0"/>
    <s v="KEPL/02625/81-82"/>
    <s v="SAFAL MART PVT.LTD"/>
    <s v="Blends"/>
    <x v="19"/>
    <n v="1"/>
    <n v="180"/>
    <n v="155.49"/>
    <n v="27988.2"/>
    <n v="-2544.13"/>
    <n v="0"/>
    <n v="3307.7286639999998"/>
    <n v="28751.798664000002"/>
  </r>
  <r>
    <x v="18"/>
    <x v="1"/>
    <s v="Q1"/>
    <x v="0"/>
    <s v="KEPL/02625/81-82"/>
    <s v="SAFAL MART PVT.LTD"/>
    <s v="Blends"/>
    <x v="17"/>
    <n v="1"/>
    <n v="180"/>
    <n v="121.69"/>
    <n v="21904.199999999997"/>
    <n v="-1991.09"/>
    <n v="0"/>
    <n v="2588.7039589999999"/>
    <n v="22501.813958999999"/>
  </r>
  <r>
    <x v="18"/>
    <x v="1"/>
    <s v="Q1"/>
    <x v="0"/>
    <s v="KEPL/02625/81-82"/>
    <s v="SAFAL MART PVT.LTD"/>
    <s v="Blends"/>
    <x v="15"/>
    <n v="1"/>
    <n v="180"/>
    <n v="114.93"/>
    <n v="20687.400000000001"/>
    <n v="-1880.48"/>
    <n v="0"/>
    <n v="2444.8992779999999"/>
    <n v="21251.819277999999"/>
  </r>
  <r>
    <x v="18"/>
    <x v="1"/>
    <s v="Q1"/>
    <x v="0"/>
    <s v="KEPL/02625/81-82"/>
    <s v="SAFAL MART PVT.LTD"/>
    <s v="Blends"/>
    <x v="20"/>
    <n v="1"/>
    <n v="120"/>
    <n v="121.69"/>
    <n v="14602.800000000001"/>
    <n v="-1327.39"/>
    <n v="0"/>
    <n v="1725.803073"/>
    <n v="15001.213073000001"/>
  </r>
  <r>
    <x v="18"/>
    <x v="1"/>
    <s v="Q1"/>
    <x v="0"/>
    <s v="KEPL/02625/81-82"/>
    <s v="SAFAL MART PVT.LTD"/>
    <s v="Straight Premium"/>
    <x v="23"/>
    <n v="1"/>
    <n v="180"/>
    <n v="182.53"/>
    <n v="32855.4"/>
    <n v="-2986.56"/>
    <n v="0"/>
    <n v="3882.9486889999998"/>
    <n v="33751.788689000001"/>
  </r>
  <r>
    <x v="18"/>
    <x v="1"/>
    <s v="Q1"/>
    <x v="0"/>
    <s v="KEPL/02625/81-82"/>
    <s v="SAFAL MART PVT.LTD"/>
    <s v="Blends"/>
    <x v="16"/>
    <n v="1"/>
    <n v="120"/>
    <n v="121.69"/>
    <n v="14602.800000000001"/>
    <n v="-1327.39"/>
    <n v="0"/>
    <n v="1725.803073"/>
    <n v="15001.213073000001"/>
  </r>
  <r>
    <x v="18"/>
    <x v="1"/>
    <s v="Q1"/>
    <x v="0"/>
    <s v="KEPL/02625/81-82"/>
    <s v="SAFAL MART PVT.LTD"/>
    <s v="Blends"/>
    <x v="21"/>
    <n v="1"/>
    <n v="80"/>
    <n v="189.3"/>
    <n v="15144"/>
    <n v="-1376.5900000000001"/>
    <n v="0"/>
    <n v="1789.763064"/>
    <n v="15557.173064000001"/>
  </r>
  <r>
    <x v="18"/>
    <x v="1"/>
    <s v="Q1"/>
    <x v="0"/>
    <s v="KEPL/02625/81-82"/>
    <s v="SAFAL MART PVT.LTD"/>
    <s v="Blends"/>
    <x v="27"/>
    <n v="1"/>
    <n v="120"/>
    <n v="118.31"/>
    <n v="14197.199999999999"/>
    <n v="-1290.53"/>
    <n v="0"/>
    <n v="1677.8668790000002"/>
    <n v="14584.536878999999"/>
  </r>
  <r>
    <x v="18"/>
    <x v="1"/>
    <s v="Q1"/>
    <x v="0"/>
    <s v="KEPL/02625/81-82"/>
    <s v="SAFAL MART PVT.LTD"/>
    <s v="Blends"/>
    <x v="14"/>
    <n v="1"/>
    <n v="180"/>
    <n v="135.21"/>
    <n v="24337.8"/>
    <n v="-2212.31"/>
    <n v="0"/>
    <n v="2876.3133209999996"/>
    <n v="25001.803320999999"/>
  </r>
  <r>
    <x v="19"/>
    <x v="1"/>
    <s v="Q1"/>
    <x v="0"/>
    <s v="KEPL/02628/81-82"/>
    <s v="SAFAL MART PVT.LTD"/>
    <s v="Blends"/>
    <x v="19"/>
    <n v="1"/>
    <n v="180"/>
    <n v="155.49"/>
    <n v="27988.2"/>
    <n v="-2544.13"/>
    <n v="0"/>
    <n v="3307.730532"/>
    <n v="28751.800532000001"/>
  </r>
  <r>
    <x v="19"/>
    <x v="1"/>
    <s v="Q1"/>
    <x v="0"/>
    <s v="KEPL/02628/81-82"/>
    <s v="SAFAL MART PVT.LTD"/>
    <s v="Blends"/>
    <x v="17"/>
    <n v="1"/>
    <n v="180"/>
    <n v="121.69"/>
    <n v="21904.199999999997"/>
    <n v="-1991.09"/>
    <n v="0"/>
    <n v="2588.7054209999997"/>
    <n v="22501.815420999999"/>
  </r>
  <r>
    <x v="19"/>
    <x v="1"/>
    <s v="Q1"/>
    <x v="0"/>
    <s v="KEPL/02628/81-82"/>
    <s v="SAFAL MART PVT.LTD"/>
    <s v="Blends"/>
    <x v="20"/>
    <n v="1"/>
    <n v="120"/>
    <n v="121.69"/>
    <n v="14602.800000000001"/>
    <n v="-1327.39"/>
    <n v="0"/>
    <n v="1725.8040470000001"/>
    <n v="15001.214046999999"/>
  </r>
  <r>
    <x v="19"/>
    <x v="1"/>
    <s v="Q1"/>
    <x v="0"/>
    <s v="KEPL/02629/81-82"/>
    <s v="BEERA BARJEE INTERNATIONAL PVT.LTD"/>
    <s v="Straight Premium"/>
    <x v="24"/>
    <n v="1"/>
    <n v="40"/>
    <n v="439.44"/>
    <n v="17577.599999999999"/>
    <n v="-1597.8"/>
    <n v="0"/>
    <n v="2077.3723319999999"/>
    <n v="18057.172331999998"/>
  </r>
  <r>
    <x v="19"/>
    <x v="1"/>
    <s v="Q1"/>
    <x v="0"/>
    <s v="KEPL/02629/81-82"/>
    <s v="BEERA BARJEE INTERNATIONAL PVT.LTD"/>
    <s v="Blends"/>
    <x v="20"/>
    <n v="1"/>
    <n v="120"/>
    <n v="121.69"/>
    <n v="14602.800000000001"/>
    <n v="-1327.39"/>
    <n v="0"/>
    <n v="1725.801915"/>
    <n v="15001.211915"/>
  </r>
  <r>
    <x v="19"/>
    <x v="1"/>
    <s v="Q1"/>
    <x v="0"/>
    <s v="KEPL/02629/81-82"/>
    <s v="BEERA BARJEE INTERNATIONAL PVT.LTD"/>
    <s v="Blends"/>
    <x v="27"/>
    <n v="1"/>
    <n v="120"/>
    <n v="118.31"/>
    <n v="14197.199999999999"/>
    <n v="-1290.53"/>
    <n v="0"/>
    <n v="1677.865753"/>
    <n v="14584.535753"/>
  </r>
  <r>
    <x v="19"/>
    <x v="1"/>
    <s v="Q1"/>
    <x v="0"/>
    <s v="KEPL/02630/81-82"/>
    <s v="SHIVA SHAKTI CONCERN"/>
    <s v="Straight Pouch"/>
    <x v="1"/>
    <n v="1"/>
    <n v="100"/>
    <n v="108.17"/>
    <n v="10817"/>
    <n v="-983.2700000000001"/>
    <n v="0"/>
    <n v="1278.3853730000001"/>
    <n v="11112.115373000001"/>
  </r>
  <r>
    <x v="19"/>
    <x v="1"/>
    <s v="Q1"/>
    <x v="0"/>
    <s v="KEPL/02630/81-82"/>
    <s v="SHIVA SHAKTI CONCERN"/>
    <s v="Straight Pouch"/>
    <x v="6"/>
    <n v="1"/>
    <n v="100"/>
    <n v="189.3"/>
    <n v="18930"/>
    <n v="-1720.7399999999998"/>
    <n v="0"/>
    <n v="2237.2046270000001"/>
    <n v="19446.464627000001"/>
  </r>
  <r>
    <x v="19"/>
    <x v="1"/>
    <s v="Q1"/>
    <x v="0"/>
    <s v="KEPL/02631/81-82"/>
    <s v="SHIVA SHAKTI CONCERN"/>
    <s v="Straight Pouch"/>
    <x v="13"/>
    <n v="1"/>
    <n v="100"/>
    <n v="129.88"/>
    <n v="12988.000000000002"/>
    <n v="-1180.6099999999999"/>
    <n v="0"/>
    <n v="0"/>
    <n v="11807.39"/>
  </r>
  <r>
    <x v="20"/>
    <x v="1"/>
    <s v="Q1"/>
    <x v="0"/>
    <s v="KEPL/02654/81-82"/>
    <s v="SIMPEX SOLUTION PVT. LTD"/>
    <s v="Blends"/>
    <x v="11"/>
    <n v="0.06"/>
    <n v="10"/>
    <n v="67.260000000000005"/>
    <n v="672.6"/>
    <n v="0"/>
    <n v="0"/>
    <n v="87.437515000000005"/>
    <n v="760.03751499999998"/>
  </r>
  <r>
    <x v="20"/>
    <x v="1"/>
    <s v="Q1"/>
    <x v="0"/>
    <s v="KEPL/02654/81-82"/>
    <s v="SIMPEX SOLUTION PVT. LTD"/>
    <s v="Straight Premium"/>
    <x v="5"/>
    <n v="0.06"/>
    <n v="11"/>
    <n v="99.12"/>
    <n v="1090.32"/>
    <n v="0"/>
    <n v="0"/>
    <n v="141.740813"/>
    <n v="1232.0608130000001"/>
  </r>
  <r>
    <x v="20"/>
    <x v="1"/>
    <s v="Q1"/>
    <x v="0"/>
    <s v="KEPL/02654/81-82"/>
    <s v="SIMPEX SOLUTION PVT. LTD"/>
    <s v="Straight Premium"/>
    <x v="8"/>
    <n v="0.08"/>
    <n v="9"/>
    <n v="60.18"/>
    <n v="541.62"/>
    <n v="0"/>
    <n v="0"/>
    <n v="70.410208999999995"/>
    <n v="612.03020900000001"/>
  </r>
  <r>
    <x v="20"/>
    <x v="1"/>
    <s v="Q1"/>
    <x v="0"/>
    <s v="KEPL/02654/81-82"/>
    <s v="SIMPEX SOLUTION PVT. LTD"/>
    <s v="Blends"/>
    <x v="9"/>
    <n v="0.06"/>
    <n v="10"/>
    <n v="74.34"/>
    <n v="743.4"/>
    <n v="0"/>
    <n v="0"/>
    <n v="96.641463000000002"/>
    <n v="840.04146300000002"/>
  </r>
  <r>
    <x v="20"/>
    <x v="1"/>
    <s v="Q1"/>
    <x v="0"/>
    <s v="KESR/0125/81-82"/>
    <s v="AMRIT TRADE CONCERN"/>
    <s v="Straight Pouch"/>
    <x v="12"/>
    <n v="-1"/>
    <n v="-40"/>
    <n v="297.52"/>
    <n v="-11900.8"/>
    <n v="456.99"/>
    <n v="0"/>
    <n v="0"/>
    <n v="-11443.81"/>
  </r>
  <r>
    <x v="20"/>
    <x v="1"/>
    <s v="Q1"/>
    <x v="0"/>
    <s v="KESR/0125/81-82"/>
    <s v="AMRIT TRADE CONCERN"/>
    <s v="Straight Pouch"/>
    <x v="13"/>
    <n v="-1"/>
    <n v="-100"/>
    <n v="124.88"/>
    <n v="-12488"/>
    <n v="479.54"/>
    <n v="0"/>
    <n v="0"/>
    <n v="-12008.46"/>
  </r>
  <r>
    <x v="20"/>
    <x v="1"/>
    <s v="Q1"/>
    <x v="0"/>
    <s v="KESR/0126/81-82"/>
    <s v="AMRIT TRADE CONCERN"/>
    <s v="Straight Pouch"/>
    <x v="1"/>
    <n v="-1"/>
    <n v="-100"/>
    <n v="108.17"/>
    <n v="-10817"/>
    <n v="415.37"/>
    <n v="0"/>
    <n v="-1352.2111610000002"/>
    <n v="-11753.841161"/>
  </r>
  <r>
    <x v="20"/>
    <x v="1"/>
    <s v="Q1"/>
    <x v="0"/>
    <s v="KESR/0126/81-82"/>
    <s v="AMRIT TRADE CONCERN"/>
    <s v="Straight Pouch"/>
    <x v="6"/>
    <n v="-1"/>
    <n v="-100"/>
    <n v="189.3"/>
    <n v="-18930"/>
    <n v="726.91000000000008"/>
    <n v="0"/>
    <n v="-2366.4004070000001"/>
    <n v="-20569.490407000001"/>
  </r>
  <r>
    <x v="20"/>
    <x v="1"/>
    <s v="Q1"/>
    <x v="0"/>
    <s v="KESR/0126/81-82"/>
    <s v="AMRIT TRADE CONCERN"/>
    <s v="Straight Pouch"/>
    <x v="3"/>
    <n v="-1"/>
    <n v="-40"/>
    <n v="459.72"/>
    <n v="-18388.8"/>
    <n v="706.12999999999988"/>
    <n v="0"/>
    <n v="-2298.745844"/>
    <n v="-19981.415843999999"/>
  </r>
  <r>
    <x v="20"/>
    <x v="1"/>
    <s v="Q1"/>
    <x v="0"/>
    <s v="KESR/0126/81-82"/>
    <s v="AMRIT TRADE CONCERN"/>
    <s v="Straight Pouch"/>
    <x v="4"/>
    <n v="-1"/>
    <n v="-40"/>
    <n v="260.27999999999997"/>
    <n v="-10411.200000000001"/>
    <n v="399.79"/>
    <n v="0"/>
    <n v="-1301.4825890000002"/>
    <n v="-11312.892588999999"/>
  </r>
  <r>
    <x v="20"/>
    <x v="1"/>
    <s v="Q1"/>
    <x v="0"/>
    <s v="KESR/0127/81-82"/>
    <s v="SURUWAT ENTERPRISES"/>
    <s v="Straight Pouch"/>
    <x v="13"/>
    <n v="-1"/>
    <n v="-100"/>
    <n v="124.88"/>
    <n v="-12488"/>
    <n v="479.54"/>
    <n v="0"/>
    <n v="0"/>
    <n v="-12008.46"/>
  </r>
  <r>
    <x v="20"/>
    <x v="1"/>
    <s v="Q1"/>
    <x v="0"/>
    <s v="KESR/0127/81-82"/>
    <s v="SURUWAT ENTERPRISES"/>
    <s v="Straight Pouch"/>
    <x v="12"/>
    <n v="-1"/>
    <n v="-40"/>
    <n v="297.52"/>
    <n v="-11900.8"/>
    <n v="456.99"/>
    <n v="0"/>
    <n v="0"/>
    <n v="-11443.81"/>
  </r>
  <r>
    <x v="20"/>
    <x v="1"/>
    <s v="Q1"/>
    <x v="0"/>
    <s v="KESR/0128/81-82"/>
    <s v="SURUWAT ENTERPRISES"/>
    <s v="Straight Pouch"/>
    <x v="4"/>
    <n v="-1"/>
    <n v="-40"/>
    <n v="260.27999999999997"/>
    <n v="-10411.200000000001"/>
    <n v="399.79"/>
    <n v="0"/>
    <n v="-1301.4825890000002"/>
    <n v="-11312.892588999999"/>
  </r>
  <r>
    <x v="20"/>
    <x v="1"/>
    <s v="Q1"/>
    <x v="0"/>
    <s v="KESR/0128/81-82"/>
    <s v="SURUWAT ENTERPRISES"/>
    <s v="Straight Pouch"/>
    <x v="3"/>
    <n v="-1"/>
    <n v="-40"/>
    <n v="459.72"/>
    <n v="-18388.8"/>
    <n v="706.12999999999988"/>
    <n v="0"/>
    <n v="-2298.745844"/>
    <n v="-19981.415843999999"/>
  </r>
  <r>
    <x v="20"/>
    <x v="1"/>
    <s v="Q1"/>
    <x v="0"/>
    <s v="KESR/0128/81-82"/>
    <s v="SURUWAT ENTERPRISES"/>
    <s v="Straight Pouch"/>
    <x v="1"/>
    <n v="-1"/>
    <n v="-100"/>
    <n v="108.17"/>
    <n v="-10817"/>
    <n v="415.37"/>
    <n v="0"/>
    <n v="-1352.2111610000002"/>
    <n v="-11753.841161"/>
  </r>
  <r>
    <x v="20"/>
    <x v="1"/>
    <s v="Q1"/>
    <x v="0"/>
    <s v="KESR/0128/81-82"/>
    <s v="SURUWAT ENTERPRISES"/>
    <s v="Straight Pouch"/>
    <x v="6"/>
    <n v="-1"/>
    <n v="-100"/>
    <n v="189.3"/>
    <n v="-18930"/>
    <n v="726.91000000000008"/>
    <n v="0"/>
    <n v="-2366.4004070000001"/>
    <n v="-20569.490407000001"/>
  </r>
  <r>
    <x v="20"/>
    <x v="1"/>
    <s v="Q1"/>
    <x v="0"/>
    <s v="KESR/0129/81-82"/>
    <s v="HAMRO KIRANA PASAL"/>
    <s v="Straight Premium"/>
    <x v="8"/>
    <n v="-0.08"/>
    <n v="-10"/>
    <n v="57.46"/>
    <n v="-574.6"/>
    <n v="22.06"/>
    <n v="0"/>
    <n v="-71.83"/>
    <n v="-624.37"/>
  </r>
  <r>
    <x v="21"/>
    <x v="1"/>
    <s v="Q1"/>
    <x v="0"/>
    <s v="KEPL/02665/81-82"/>
    <s v="SIMPEX SOLUTION PVT. LTD"/>
    <s v="Blends"/>
    <x v="17"/>
    <n v="0.06"/>
    <n v="10"/>
    <n v="127.43"/>
    <n v="1274.3000000000002"/>
    <n v="0"/>
    <n v="0"/>
    <n v="165.65952099999998"/>
    <n v="1439.959521"/>
  </r>
  <r>
    <x v="21"/>
    <x v="1"/>
    <s v="Q1"/>
    <x v="0"/>
    <s v="KEPL/02665/81-82"/>
    <s v="SIMPEX SOLUTION PVT. LTD"/>
    <s v="Straight Premium"/>
    <x v="5"/>
    <n v="0.03"/>
    <n v="6"/>
    <n v="99.12"/>
    <n v="594.72"/>
    <n v="0"/>
    <n v="0"/>
    <n v="77.313843000000006"/>
    <n v="672.03384300000005"/>
  </r>
  <r>
    <x v="21"/>
    <x v="1"/>
    <s v="Q1"/>
    <x v="0"/>
    <s v="KEPL/02665/81-82"/>
    <s v="SIMPEX SOLUTION PVT. LTD"/>
    <s v="Straight Pouch"/>
    <x v="1"/>
    <n v="0.1"/>
    <n v="10"/>
    <n v="113.27"/>
    <n v="1132.7"/>
    <n v="0"/>
    <n v="0"/>
    <n v="147.251463"/>
    <n v="1279.9514630000001"/>
  </r>
  <r>
    <x v="21"/>
    <x v="1"/>
    <s v="Q1"/>
    <x v="0"/>
    <s v="KEPL/02665/81-82"/>
    <s v="SIMPEX SOLUTION PVT. LTD"/>
    <s v="Blends"/>
    <x v="2"/>
    <n v="0.06"/>
    <n v="10"/>
    <n v="67.260000000000005"/>
    <n v="672.6"/>
    <n v="0"/>
    <n v="0"/>
    <n v="87.438275000000004"/>
    <n v="760.038275"/>
  </r>
  <r>
    <x v="21"/>
    <x v="1"/>
    <s v="Q1"/>
    <x v="0"/>
    <s v="KEPL/02665/81-82"/>
    <s v="SIMPEX SOLUTION PVT. LTD"/>
    <s v="Blends"/>
    <x v="20"/>
    <n v="0.19"/>
    <n v="23"/>
    <n v="127.43"/>
    <n v="2930.89"/>
    <n v="0"/>
    <n v="0"/>
    <n v="381.01689799999997"/>
    <n v="3311.9068980000002"/>
  </r>
  <r>
    <x v="21"/>
    <x v="1"/>
    <s v="Q1"/>
    <x v="0"/>
    <s v="KEPL/02672/81-82"/>
    <s v="DS SPICECO L &amp; D"/>
    <s v="Straight Pouch"/>
    <x v="3"/>
    <n v="0.06"/>
    <n v="2"/>
    <n v="459.72"/>
    <n v="919.44"/>
    <n v="-83.58"/>
    <n v="0"/>
    <n v="108.659459"/>
    <n v="944.51945899999998"/>
  </r>
  <r>
    <x v="21"/>
    <x v="1"/>
    <s v="Q1"/>
    <x v="0"/>
    <s v="KEPL/02672/81-82"/>
    <s v="DS SPICECO L &amp; D"/>
    <s v="Cooking Paste"/>
    <x v="30"/>
    <n v="0.03"/>
    <n v="2"/>
    <n v="109.71"/>
    <n v="219.42"/>
    <n v="-19.95"/>
    <n v="0"/>
    <n v="25.930541000000002"/>
    <n v="225.400541"/>
  </r>
  <r>
    <x v="21"/>
    <x v="1"/>
    <s v="Q1"/>
    <x v="0"/>
    <s v="KEPL/02673/81-82"/>
    <s v="DS SPICECO L &amp; D"/>
    <s v="Straight Pouch"/>
    <x v="12"/>
    <n v="0.06"/>
    <n v="2"/>
    <n v="309.39999999999998"/>
    <n v="618.79999999999995"/>
    <n v="-56.25"/>
    <n v="0"/>
    <n v="0"/>
    <n v="562.54999999999995"/>
  </r>
  <r>
    <x v="22"/>
    <x v="2"/>
    <s v="Q1"/>
    <x v="0"/>
    <s v="KEPL/02809/81-82"/>
    <s v="SIMPEX SOLUTION PVT. LTD"/>
    <s v="Blends"/>
    <x v="17"/>
    <n v="0.06"/>
    <n v="10"/>
    <n v="127.43"/>
    <n v="1274.3000000000002"/>
    <n v="0"/>
    <n v="0"/>
    <n v="165.66"/>
    <n v="1439.96"/>
  </r>
  <r>
    <x v="22"/>
    <x v="2"/>
    <s v="Q1"/>
    <x v="0"/>
    <s v="KEPL/02810/81-82"/>
    <s v="SIMPEX SOLUTION PVT. LTD"/>
    <s v="Straight Pouch"/>
    <x v="13"/>
    <n v="0.1"/>
    <n v="10"/>
    <n v="136"/>
    <n v="1360"/>
    <s v=""/>
    <s v=""/>
    <s v=""/>
    <n v="1360"/>
  </r>
  <r>
    <x v="22"/>
    <x v="2"/>
    <s v="Q1"/>
    <x v="0"/>
    <s v="KEPL/02811/81-82"/>
    <s v="SHIVA SHAKTI CONCERN"/>
    <s v="Straight Premium"/>
    <x v="5"/>
    <n v="1"/>
    <n v="180"/>
    <n v="94.65"/>
    <n v="17037"/>
    <n v="-1548.6599999999999"/>
    <n v="0"/>
    <n v="2013.483491"/>
    <n v="17501.823490999999"/>
  </r>
  <r>
    <x v="22"/>
    <x v="2"/>
    <s v="Q1"/>
    <x v="0"/>
    <s v="KEPL/02811/81-82"/>
    <s v="SHIVA SHAKTI CONCERN"/>
    <s v="Blends"/>
    <x v="27"/>
    <n v="1"/>
    <n v="120"/>
    <n v="118.31"/>
    <n v="14197.199999999999"/>
    <n v="-1290.53"/>
    <n v="0"/>
    <n v="1677.866509"/>
    <n v="14584.536509"/>
  </r>
  <r>
    <x v="22"/>
    <x v="2"/>
    <s v="Q1"/>
    <x v="0"/>
    <s v="KEPL/02812/81-82"/>
    <s v="SHIVA SHAKTI CONCERN"/>
    <s v="Straight Pouch"/>
    <x v="12"/>
    <n v="0.9"/>
    <n v="36"/>
    <n v="309.39999999999998"/>
    <n v="11138.400000000001"/>
    <n v="-1012.48"/>
    <n v="0"/>
    <n v="0"/>
    <n v="10125.92"/>
  </r>
  <r>
    <x v="23"/>
    <x v="2"/>
    <s v="Q1"/>
    <x v="0"/>
    <s v="KEPL/02817/81-82"/>
    <s v="BHAT BHATENI SUPERMARKET &amp; DEPARTMENTAL STORE PVT. LTD."/>
    <s v="Straight Pouch"/>
    <x v="13"/>
    <n v="1"/>
    <n v="100"/>
    <n v="119"/>
    <n v="11900.000000000002"/>
    <s v=""/>
    <s v=""/>
    <s v=""/>
    <n v="11900"/>
  </r>
  <r>
    <x v="23"/>
    <x v="2"/>
    <s v="Q1"/>
    <x v="0"/>
    <s v="KEPL/02817/81-82"/>
    <s v="BHAT BHATENI SUPERMARKET &amp; DEPARTMENTAL STORE PVT. LTD."/>
    <s v="Straight Pouch"/>
    <x v="12"/>
    <n v="1"/>
    <n v="40"/>
    <n v="283.5"/>
    <n v="11340.000000000002"/>
    <s v=""/>
    <s v=""/>
    <s v=""/>
    <n v="11340"/>
  </r>
  <r>
    <x v="23"/>
    <x v="2"/>
    <s v="Q1"/>
    <x v="0"/>
    <s v="KEPL/02817/81-82"/>
    <s v="BHAT BHATENI SUPERMARKET &amp; DEPARTMENTAL STORE PVT. LTD."/>
    <s v="Straight Pouch"/>
    <x v="13"/>
    <n v="1"/>
    <n v="100"/>
    <n v="119"/>
    <n v="11900.000000000002"/>
    <s v=""/>
    <s v=""/>
    <s v=""/>
    <n v="11900"/>
  </r>
  <r>
    <x v="23"/>
    <x v="2"/>
    <s v="Q1"/>
    <x v="0"/>
    <s v="KEPL/02817/81-82"/>
    <s v="BHAT BHATENI SUPERMARKET &amp; DEPARTMENTAL STORE PVT. LTD."/>
    <s v="Straight Pouch"/>
    <x v="12"/>
    <n v="1"/>
    <n v="40"/>
    <n v="283.5"/>
    <n v="11340.000000000002"/>
    <s v=""/>
    <s v=""/>
    <s v=""/>
    <n v="11340"/>
  </r>
  <r>
    <x v="23"/>
    <x v="2"/>
    <s v="Q1"/>
    <x v="0"/>
    <s v="KEPL/02818/81-82"/>
    <s v="BHAT BHATENI SUPERMARKET &amp; DEPARTMENTAL STORE PVT. LTD."/>
    <s v="Blends"/>
    <x v="16"/>
    <n v="5.5"/>
    <n v="660"/>
    <n v="111.5"/>
    <n v="73590"/>
    <n v="0"/>
    <n v="0"/>
    <n v="9566.7000789999984"/>
    <n v="83156.700079000002"/>
  </r>
  <r>
    <x v="23"/>
    <x v="2"/>
    <s v="Q1"/>
    <x v="0"/>
    <s v="KEPL/02818/81-82"/>
    <s v="BHAT BHATENI SUPERMARKET &amp; DEPARTMENTAL STORE PVT. LTD."/>
    <s v="Blends"/>
    <x v="27"/>
    <n v="10.5"/>
    <n v="1260"/>
    <n v="108.41"/>
    <n v="136596.6"/>
    <n v="0"/>
    <n v="0"/>
    <n v="17757.558147"/>
    <n v="154354.15814700001"/>
  </r>
  <r>
    <x v="23"/>
    <x v="2"/>
    <s v="Q1"/>
    <x v="0"/>
    <s v="KEPL/02818/81-82"/>
    <s v="BHAT BHATENI SUPERMARKET &amp; DEPARTMENTAL STORE PVT. LTD."/>
    <s v="Blends"/>
    <x v="2"/>
    <n v="9.5"/>
    <n v="1710"/>
    <n v="58.85"/>
    <n v="100633.49999999999"/>
    <n v="0"/>
    <n v="0"/>
    <n v="13082.355109"/>
    <n v="113715.855109"/>
  </r>
  <r>
    <x v="23"/>
    <x v="2"/>
    <s v="Q1"/>
    <x v="0"/>
    <s v="KEPL/02818/81-82"/>
    <s v="BHAT BHATENI SUPERMARKET &amp; DEPARTMENTAL STORE PVT. LTD."/>
    <s v="Blends"/>
    <x v="15"/>
    <n v="6"/>
    <n v="1080"/>
    <n v="105.31"/>
    <n v="113734.8"/>
    <n v="0"/>
    <n v="0"/>
    <n v="14785.524122999999"/>
    <n v="128520.324123"/>
  </r>
  <r>
    <x v="23"/>
    <x v="2"/>
    <s v="Q1"/>
    <x v="0"/>
    <s v="KEPL/02818/81-82"/>
    <s v="BHAT BHATENI SUPERMARKET &amp; DEPARTMENTAL STORE PVT. LTD."/>
    <s v="Blends"/>
    <x v="20"/>
    <n v="9.5"/>
    <n v="1140"/>
    <n v="111.5"/>
    <n v="127110"/>
    <n v="0"/>
    <n v="0"/>
    <n v="16524.300136999998"/>
    <n v="143634.30013700001"/>
  </r>
  <r>
    <x v="23"/>
    <x v="2"/>
    <s v="Q1"/>
    <x v="0"/>
    <s v="KEPL/02818/81-82"/>
    <s v="BHAT BHATENI SUPERMARKET &amp; DEPARTMENTAL STORE PVT. LTD."/>
    <s v="Blends"/>
    <x v="17"/>
    <n v="9.5"/>
    <n v="1710"/>
    <n v="111.5"/>
    <n v="190665"/>
    <n v="0"/>
    <n v="0"/>
    <n v="24786.450205999998"/>
    <n v="215451.45020600001"/>
  </r>
  <r>
    <x v="23"/>
    <x v="2"/>
    <s v="Q1"/>
    <x v="0"/>
    <s v="KEPL/02818/81-82"/>
    <s v="BHAT BHATENI SUPERMARKET &amp; DEPARTMENTAL STORE PVT. LTD."/>
    <s v="Blends"/>
    <x v="9"/>
    <n v="9.5"/>
    <n v="1710"/>
    <n v="65.040000000000006"/>
    <n v="111218.40000000001"/>
    <n v="0"/>
    <n v="0"/>
    <n v="14458.39212"/>
    <n v="125676.79212"/>
  </r>
  <r>
    <x v="23"/>
    <x v="2"/>
    <s v="Q1"/>
    <x v="0"/>
    <s v="KEPL/02818/81-82"/>
    <s v="BHAT BHATENI SUPERMARKET &amp; DEPARTMENTAL STORE PVT. LTD."/>
    <s v="Straight Premium"/>
    <x v="5"/>
    <n v="9.5"/>
    <n v="1710"/>
    <n v="86.73"/>
    <n v="148308.29999999999"/>
    <n v="0"/>
    <n v="0"/>
    <n v="19280.079160000001"/>
    <n v="167588.37916000001"/>
  </r>
  <r>
    <x v="23"/>
    <x v="2"/>
    <s v="Q1"/>
    <x v="0"/>
    <s v="KEPL/02818/81-82"/>
    <s v="BHAT BHATENI SUPERMARKET &amp; DEPARTMENTAL STORE PVT. LTD."/>
    <s v="Blends"/>
    <x v="14"/>
    <n v="9.5"/>
    <n v="1710"/>
    <n v="123.89"/>
    <n v="211851.90000000002"/>
    <n v="0"/>
    <n v="0"/>
    <n v="27540.747229000001"/>
    <n v="239392.64722899999"/>
  </r>
  <r>
    <x v="23"/>
    <x v="2"/>
    <s v="Q1"/>
    <x v="0"/>
    <s v="KEPL/02818/81-82"/>
    <s v="BHAT BHATENI SUPERMARKET &amp; DEPARTMENTAL STORE PVT. LTD."/>
    <s v="Straight Premium"/>
    <x v="23"/>
    <n v="2.5"/>
    <n v="450"/>
    <n v="167.26"/>
    <n v="75267"/>
    <n v="0"/>
    <n v="0"/>
    <n v="9784.7100809999993"/>
    <n v="85051.710080999997"/>
  </r>
  <r>
    <x v="23"/>
    <x v="2"/>
    <s v="Q1"/>
    <x v="0"/>
    <s v="KEPL/02818/81-82"/>
    <s v="BHAT BHATENI SUPERMARKET &amp; DEPARTMENTAL STORE PVT. LTD."/>
    <s v="Blends"/>
    <x v="19"/>
    <n v="4.83"/>
    <n v="870"/>
    <n v="142.47999999999999"/>
    <n v="123957.6"/>
    <n v="0"/>
    <n v="0"/>
    <n v="16114.488134000001"/>
    <n v="140072.08813399999"/>
  </r>
  <r>
    <x v="23"/>
    <x v="2"/>
    <s v="Q1"/>
    <x v="0"/>
    <s v="KEPL/02818/81-82"/>
    <s v="BHAT BHATENI SUPERMARKET &amp; DEPARTMENTAL STORE PVT. LTD."/>
    <s v="Straight Premium"/>
    <x v="7"/>
    <n v="3.79"/>
    <n v="455"/>
    <n v="139.38"/>
    <n v="63417.9"/>
    <n v="0"/>
    <n v="0"/>
    <n v="8244.3270680000005"/>
    <n v="71662.227067999993"/>
  </r>
  <r>
    <x v="23"/>
    <x v="2"/>
    <s v="Q1"/>
    <x v="0"/>
    <s v="KEPL/02818/81-82"/>
    <s v="BHAT BHATENI SUPERMARKET &amp; DEPARTMENTAL STORE PVT. LTD."/>
    <s v="Straight Premium"/>
    <x v="7"/>
    <n v="1.88"/>
    <n v="225"/>
    <n v="139.38"/>
    <n v="31360.5"/>
    <n v="0"/>
    <n v="0"/>
    <n v="4076.8650339999999"/>
    <n v="35437.365034000002"/>
  </r>
  <r>
    <x v="23"/>
    <x v="2"/>
    <s v="Q1"/>
    <x v="0"/>
    <s v="KEPL/02818/81-82"/>
    <s v="BHAT BHATENI SUPERMARKET &amp; DEPARTMENTAL STORE PVT. LTD."/>
    <s v="Blends"/>
    <x v="10"/>
    <n v="9.5"/>
    <n v="1710"/>
    <n v="55.75"/>
    <n v="95332.5"/>
    <n v="0"/>
    <n v="0"/>
    <n v="12393.225102999999"/>
    <n v="107725.725103"/>
  </r>
  <r>
    <x v="23"/>
    <x v="2"/>
    <s v="Q1"/>
    <x v="0"/>
    <s v="KEPL/02818/81-82"/>
    <s v="BHAT BHATENI SUPERMARKET &amp; DEPARTMENTAL STORE PVT. LTD."/>
    <s v="Straight Premium"/>
    <x v="22"/>
    <n v="2"/>
    <n v="80"/>
    <n v="272.57"/>
    <n v="21805.599999999999"/>
    <n v="0"/>
    <n v="0"/>
    <n v="2834.728024"/>
    <n v="24640.328023999999"/>
  </r>
  <r>
    <x v="23"/>
    <x v="2"/>
    <s v="Q1"/>
    <x v="0"/>
    <s v="KEPL/02818/81-82"/>
    <s v="BHAT BHATENI SUPERMARKET &amp; DEPARTMENTAL STORE PVT. LTD."/>
    <s v="Blends"/>
    <x v="21"/>
    <n v="2"/>
    <n v="160"/>
    <n v="173.45"/>
    <n v="27751.999999999996"/>
    <n v="0"/>
    <n v="0"/>
    <n v="3607.7600299999999"/>
    <n v="31359.760030000001"/>
  </r>
  <r>
    <x v="23"/>
    <x v="2"/>
    <s v="Q1"/>
    <x v="0"/>
    <s v="KEPL/02818/81-82"/>
    <s v="BHAT BHATENI SUPERMARKET &amp; DEPARTMENTAL STORE PVT. LTD."/>
    <s v="Blends"/>
    <x v="0"/>
    <n v="9.5"/>
    <n v="1710"/>
    <n v="58.85"/>
    <n v="100633.49999999999"/>
    <n v="0"/>
    <n v="0"/>
    <n v="13082.355109"/>
    <n v="113715.855109"/>
  </r>
  <r>
    <x v="23"/>
    <x v="2"/>
    <s v="Q1"/>
    <x v="0"/>
    <s v="KEPL/02818/81-82"/>
    <s v="BHAT BHATENI SUPERMARKET &amp; DEPARTMENTAL STORE PVT. LTD."/>
    <s v="Blends"/>
    <x v="11"/>
    <n v="9.5"/>
    <n v="1710"/>
    <n v="58.85"/>
    <n v="100633.49999999999"/>
    <n v="0"/>
    <n v="0"/>
    <n v="13082.355109"/>
    <n v="113715.855109"/>
  </r>
  <r>
    <x v="23"/>
    <x v="2"/>
    <s v="Q1"/>
    <x v="0"/>
    <s v="KEPL/02819/81-82"/>
    <s v="BHAT BHATENI SUPERMARKET &amp; DEPARTMENTAL STORE PVT. LTD."/>
    <s v="Straight Pouch"/>
    <x v="1"/>
    <n v="1"/>
    <n v="100"/>
    <n v="99.12"/>
    <n v="9912"/>
    <n v="0"/>
    <n v="0"/>
    <n v="1288.560313"/>
    <n v="11200.560313"/>
  </r>
  <r>
    <x v="23"/>
    <x v="2"/>
    <s v="Q1"/>
    <x v="0"/>
    <s v="KEPL/02819/81-82"/>
    <s v="BHAT BHATENI SUPERMARKET &amp; DEPARTMENTAL STORE PVT. LTD."/>
    <s v="Straight Pouch"/>
    <x v="3"/>
    <n v="1"/>
    <n v="40"/>
    <n v="421.24"/>
    <n v="16849.599999999999"/>
    <n v="0"/>
    <n v="0"/>
    <n v="2190.4485319999999"/>
    <n v="19040.048532000001"/>
  </r>
  <r>
    <x v="23"/>
    <x v="2"/>
    <s v="Q1"/>
    <x v="0"/>
    <s v="KEPL/02819/81-82"/>
    <s v="BHAT BHATENI SUPERMARKET &amp; DEPARTMENTAL STORE PVT. LTD."/>
    <s v="Straight Pouch"/>
    <x v="1"/>
    <n v="1"/>
    <n v="100"/>
    <n v="99.12"/>
    <n v="9912"/>
    <n v="0"/>
    <n v="0"/>
    <n v="1288.560313"/>
    <n v="11200.560313"/>
  </r>
  <r>
    <x v="23"/>
    <x v="2"/>
    <s v="Q1"/>
    <x v="0"/>
    <s v="KEPL/02819/81-82"/>
    <s v="BHAT BHATENI SUPERMARKET &amp; DEPARTMENTAL STORE PVT. LTD."/>
    <s v="Straight Pouch"/>
    <x v="6"/>
    <n v="1"/>
    <n v="100"/>
    <n v="173.45"/>
    <n v="17345"/>
    <n v="0"/>
    <n v="0"/>
    <n v="2254.850547"/>
    <n v="19599.850546999998"/>
  </r>
  <r>
    <x v="23"/>
    <x v="2"/>
    <s v="Q1"/>
    <x v="0"/>
    <s v="KEPL/02819/81-82"/>
    <s v="BHAT BHATENI SUPERMARKET &amp; DEPARTMENTAL STORE PVT. LTD."/>
    <s v="Straight Pouch"/>
    <x v="6"/>
    <n v="1"/>
    <n v="100"/>
    <n v="173.45"/>
    <n v="17345"/>
    <n v="0"/>
    <n v="0"/>
    <n v="2254.850547"/>
    <n v="19599.850546999998"/>
  </r>
  <r>
    <x v="23"/>
    <x v="2"/>
    <s v="Q1"/>
    <x v="0"/>
    <s v="KEPL/02819/81-82"/>
    <s v="BHAT BHATENI SUPERMARKET &amp; DEPARTMENTAL STORE PVT. LTD."/>
    <s v="Straight Pouch"/>
    <x v="3"/>
    <n v="1"/>
    <n v="40"/>
    <n v="421.24"/>
    <n v="16849.599999999999"/>
    <n v="0"/>
    <n v="0"/>
    <n v="2190.4485319999999"/>
    <n v="19040.048532000001"/>
  </r>
  <r>
    <x v="23"/>
    <x v="2"/>
    <s v="Q1"/>
    <x v="0"/>
    <s v="KEPL/02819/81-82"/>
    <s v="BHAT BHATENI SUPERMARKET &amp; DEPARTMENTAL STORE PVT. LTD."/>
    <s v="Straight Pouch"/>
    <x v="1"/>
    <n v="1"/>
    <n v="100"/>
    <n v="99.12"/>
    <n v="9912"/>
    <n v="0"/>
    <n v="0"/>
    <n v="1288.560313"/>
    <n v="11200.560313"/>
  </r>
  <r>
    <x v="23"/>
    <x v="2"/>
    <s v="Q1"/>
    <x v="0"/>
    <s v="KEPL/02819/81-82"/>
    <s v="BHAT BHATENI SUPERMARKET &amp; DEPARTMENTAL STORE PVT. LTD."/>
    <s v="Straight Pouch"/>
    <x v="4"/>
    <n v="1"/>
    <n v="40"/>
    <n v="238.5"/>
    <n v="9539.9999999999982"/>
    <n v="0"/>
    <n v="0"/>
    <n v="1240.2003010000001"/>
    <n v="10780.200301000001"/>
  </r>
  <r>
    <x v="23"/>
    <x v="2"/>
    <s v="Q1"/>
    <x v="0"/>
    <s v="KEPL/02819/81-82"/>
    <s v="BHAT BHATENI SUPERMARKET &amp; DEPARTMENTAL STORE PVT. LTD."/>
    <s v="Straight Pouch"/>
    <x v="4"/>
    <n v="1"/>
    <n v="40"/>
    <n v="238.5"/>
    <n v="9539.9999999999982"/>
    <n v="0"/>
    <n v="0"/>
    <n v="1240.2003010000001"/>
    <n v="10780.200301000001"/>
  </r>
  <r>
    <x v="23"/>
    <x v="2"/>
    <s v="Q1"/>
    <x v="0"/>
    <s v="KEPL/02819/81-82"/>
    <s v="BHAT BHATENI SUPERMARKET &amp; DEPARTMENTAL STORE PVT. LTD."/>
    <s v="Straight Pouch"/>
    <x v="4"/>
    <n v="1"/>
    <n v="40"/>
    <n v="238.5"/>
    <n v="9539.9999999999982"/>
    <n v="0"/>
    <n v="0"/>
    <n v="1240.2003010000001"/>
    <n v="10780.200301000001"/>
  </r>
  <r>
    <x v="24"/>
    <x v="2"/>
    <s v="Q1"/>
    <x v="0"/>
    <s v="KEPL/02837/81-82"/>
    <s v="SIMPEX SOLUTION PVT. LTD"/>
    <s v="Blends"/>
    <x v="2"/>
    <n v="7.0000000000000007E-2"/>
    <n v="12"/>
    <n v="67.260000000000005"/>
    <n v="807.12"/>
    <n v="0"/>
    <n v="0"/>
    <n v="104.924882"/>
    <n v="912.04488200000003"/>
  </r>
  <r>
    <x v="24"/>
    <x v="2"/>
    <s v="Q1"/>
    <x v="0"/>
    <s v="KEPL/02837/81-82"/>
    <s v="SIMPEX SOLUTION PVT. LTD"/>
    <s v="Straight Premium"/>
    <x v="5"/>
    <n v="0.06"/>
    <n v="10"/>
    <n v="99.12"/>
    <n v="991.2"/>
    <n v="0"/>
    <n v="0"/>
    <n v="128.855118"/>
    <n v="1120.055118"/>
  </r>
  <r>
    <x v="24"/>
    <x v="2"/>
    <s v="Q1"/>
    <x v="0"/>
    <s v="KEPL/02838/81-82"/>
    <s v="SIMPEX SOLUTION PVT. LTD"/>
    <s v="Straight Pouch"/>
    <x v="13"/>
    <n v="0.1"/>
    <n v="10"/>
    <n v="136"/>
    <n v="1360"/>
    <s v=""/>
    <s v=""/>
    <s v=""/>
    <n v="1360"/>
  </r>
  <r>
    <x v="25"/>
    <x v="2"/>
    <s v="Q1"/>
    <x v="0"/>
    <s v="KEPL/02839/81-82"/>
    <s v="SIMPEX SOLUTION PVT. LTD"/>
    <s v="Blends"/>
    <x v="0"/>
    <n v="0.06"/>
    <n v="10"/>
    <n v="67.260000000000005"/>
    <n v="672.6"/>
    <n v="0"/>
    <n v="0"/>
    <n v="87.436924000000005"/>
    <n v="760.036924"/>
  </r>
  <r>
    <x v="25"/>
    <x v="2"/>
    <s v="Q1"/>
    <x v="0"/>
    <s v="KEPL/02839/81-82"/>
    <s v="SIMPEX SOLUTION PVT. LTD"/>
    <s v="Blends"/>
    <x v="15"/>
    <n v="0.06"/>
    <n v="10"/>
    <n v="120.35"/>
    <n v="1203.5000000000002"/>
    <n v="0"/>
    <n v="0"/>
    <n v="156.45307599999998"/>
    <n v="1359.953076"/>
  </r>
  <r>
    <x v="26"/>
    <x v="2"/>
    <s v="Q1"/>
    <x v="0"/>
    <s v="KEPL/02859/81-82"/>
    <s v="SIMPEX SOLUTION PVT. LTD"/>
    <s v="Blends"/>
    <x v="2"/>
    <n v="0.1"/>
    <n v="18"/>
    <n v="67.260000000000005"/>
    <n v="1210.68"/>
    <n v="0"/>
    <n v="0"/>
    <n v="157.38815099999999"/>
    <n v="1368.0681509999999"/>
  </r>
  <r>
    <x v="26"/>
    <x v="2"/>
    <s v="Q1"/>
    <x v="0"/>
    <s v="KEPL/02859/81-82"/>
    <s v="SIMPEX SOLUTION PVT. LTD"/>
    <s v="Blends"/>
    <x v="11"/>
    <n v="0.14000000000000001"/>
    <n v="26"/>
    <n v="67.260000000000005"/>
    <n v="1748.76"/>
    <n v="0"/>
    <n v="0"/>
    <n v="227.33844099999999"/>
    <n v="1976.0984410000001"/>
  </r>
  <r>
    <x v="26"/>
    <x v="2"/>
    <s v="Q1"/>
    <x v="0"/>
    <s v="KEPL/02859/81-82"/>
    <s v="SIMPEX SOLUTION PVT. LTD"/>
    <s v="Blends"/>
    <x v="15"/>
    <n v="0.03"/>
    <n v="5"/>
    <n v="120.35"/>
    <n v="601.75000000000011"/>
    <n v="0"/>
    <n v="0"/>
    <n v="78.227376000000007"/>
    <n v="679.97737600000005"/>
  </r>
  <r>
    <x v="26"/>
    <x v="2"/>
    <s v="Q1"/>
    <x v="0"/>
    <s v="KEPL/02859/81-82"/>
    <s v="SIMPEX SOLUTION PVT. LTD"/>
    <s v="Straight Premium"/>
    <x v="5"/>
    <n v="0.21"/>
    <n v="38"/>
    <n v="99.12"/>
    <n v="3766.56"/>
    <n v="0"/>
    <n v="0"/>
    <n v="489.65202600000003"/>
    <n v="4256.2120260000002"/>
  </r>
  <r>
    <x v="26"/>
    <x v="2"/>
    <s v="Q1"/>
    <x v="0"/>
    <s v="KEPL/02859/81-82"/>
    <s v="SIMPEX SOLUTION PVT. LTD"/>
    <s v="Cooking Paste"/>
    <x v="30"/>
    <n v="0.13"/>
    <n v="8"/>
    <n v="102.65"/>
    <n v="821.2"/>
    <n v="0"/>
    <n v="0"/>
    <n v="106.755831"/>
    <n v="927.95583099999999"/>
  </r>
  <r>
    <x v="26"/>
    <x v="2"/>
    <s v="Q1"/>
    <x v="0"/>
    <s v="KEPL/02859/81-82"/>
    <s v="SIMPEX SOLUTION PVT. LTD"/>
    <s v="Straight Pouch"/>
    <x v="1"/>
    <n v="0.14000000000000001"/>
    <n v="14"/>
    <n v="113.27"/>
    <n v="1585.78"/>
    <n v="0"/>
    <n v="0"/>
    <n v="206.15107399999999"/>
    <n v="1791.9310740000001"/>
  </r>
  <r>
    <x v="26"/>
    <x v="2"/>
    <s v="Q1"/>
    <x v="0"/>
    <s v="KEPL/02859/81-82"/>
    <s v="SIMPEX SOLUTION PVT. LTD"/>
    <s v="Straight Premium"/>
    <x v="8"/>
    <n v="7.0000000000000007E-2"/>
    <n v="8"/>
    <n v="60.18"/>
    <n v="481.44"/>
    <n v="0"/>
    <n v="0"/>
    <n v="62.587100999999997"/>
    <n v="544.02710100000002"/>
  </r>
  <r>
    <x v="26"/>
    <x v="2"/>
    <s v="Q1"/>
    <x v="0"/>
    <s v="KEPL/02860/81-82"/>
    <s v="SIMPEX SOLUTION PVT. LTD"/>
    <s v="Straight Pouch"/>
    <x v="13"/>
    <n v="7.0000000000000007E-2"/>
    <n v="7"/>
    <n v="136"/>
    <n v="952"/>
    <s v=""/>
    <s v=""/>
    <s v=""/>
    <n v="952"/>
  </r>
  <r>
    <x v="27"/>
    <x v="2"/>
    <s v="Q1"/>
    <x v="0"/>
    <s v="KEPL/02874/81-82"/>
    <s v="SHIVA SHAKTI CONCERN"/>
    <s v="Straight Pouch"/>
    <x v="3"/>
    <n v="1"/>
    <n v="40"/>
    <n v="459.72"/>
    <n v="18388.8"/>
    <n v="-1671.54"/>
    <n v="0"/>
    <n v="2173.244146"/>
    <n v="18890.504145999999"/>
  </r>
  <r>
    <x v="27"/>
    <x v="2"/>
    <s v="Q1"/>
    <x v="0"/>
    <s v="KEPL/02874/81-82"/>
    <s v="SHIVA SHAKTI CONCERN"/>
    <s v="Straight Premium"/>
    <x v="5"/>
    <n v="2"/>
    <n v="360"/>
    <n v="94.65"/>
    <n v="34074"/>
    <n v="-3097.3300000000004"/>
    <n v="0"/>
    <n v="4026.9677410000004"/>
    <n v="35003.637740999999"/>
  </r>
  <r>
    <x v="27"/>
    <x v="2"/>
    <s v="Q1"/>
    <x v="0"/>
    <s v="KEPL/02874/81-82"/>
    <s v="SHIVA SHAKTI CONCERN"/>
    <s v="Straight Pouch"/>
    <x v="4"/>
    <n v="1"/>
    <n v="40"/>
    <n v="260.27999999999997"/>
    <n v="10411.200000000001"/>
    <n v="-946.38"/>
    <n v="0"/>
    <n v="1230.4267960000002"/>
    <n v="10695.246795999999"/>
  </r>
  <r>
    <x v="27"/>
    <x v="2"/>
    <s v="Q1"/>
    <x v="0"/>
    <s v="KEPL/02874/81-82"/>
    <s v="SHIVA SHAKTI CONCERN"/>
    <s v="Blends"/>
    <x v="2"/>
    <n v="1"/>
    <n v="180"/>
    <n v="64.23"/>
    <n v="11561.4"/>
    <n v="-1050.9299999999998"/>
    <n v="0"/>
    <n v="1366.3613170000001"/>
    <n v="11876.831317"/>
  </r>
  <r>
    <x v="27"/>
    <x v="2"/>
    <s v="Q1"/>
    <x v="0"/>
    <s v="KESR/0136/81-82"/>
    <s v="DURGA AND AAMOSH SUPPLIERS PVT.LTD"/>
    <s v="Straight Pouch"/>
    <x v="12"/>
    <n v="-1"/>
    <n v="-40"/>
    <n v="297.52"/>
    <n v="-11900.8"/>
    <n v="0"/>
    <n v="456.99194399999999"/>
    <n v="0"/>
    <n v="-11443.808056"/>
  </r>
  <r>
    <x v="27"/>
    <x v="2"/>
    <s v="Q1"/>
    <x v="0"/>
    <s v="KESR/0136/81-82"/>
    <s v="DURGA AND AAMOSH SUPPLIERS PVT.LTD"/>
    <s v="Straight Pouch"/>
    <x v="13"/>
    <n v="-0.94"/>
    <n v="-94"/>
    <n v="124.88"/>
    <n v="-11738.720000000001"/>
    <n v="0"/>
    <n v="450.76805600000006"/>
    <n v="0"/>
    <n v="-11287.951944"/>
  </r>
  <r>
    <x v="27"/>
    <x v="2"/>
    <s v="Q1"/>
    <x v="0"/>
    <s v="KESR/0137/81-82"/>
    <s v="DURGA AND AAMOSH SUPPLIERS PVT.LTD"/>
    <s v="Straight Pouch"/>
    <x v="1"/>
    <n v="-0.85"/>
    <n v="-85"/>
    <n v="108.17"/>
    <n v="-9194.4499999999989"/>
    <n v="0"/>
    <n v="353.06634099999997"/>
    <n v="-1149.379547"/>
    <n v="-9990.7632059999996"/>
  </r>
  <r>
    <x v="27"/>
    <x v="2"/>
    <s v="Q1"/>
    <x v="0"/>
    <s v="KESR/0137/81-82"/>
    <s v="DURGA AND AAMOSH SUPPLIERS PVT.LTD"/>
    <s v="Straight Pouch"/>
    <x v="6"/>
    <n v="-0.95"/>
    <n v="-95"/>
    <n v="189.3"/>
    <n v="-17983.5"/>
    <n v="0"/>
    <n v="690.56534599999998"/>
    <n v="-2248.0808619999998"/>
    <n v="-19541.015515999999"/>
  </r>
  <r>
    <x v="27"/>
    <x v="2"/>
    <s v="Q1"/>
    <x v="0"/>
    <s v="KESR/0137/81-82"/>
    <s v="DURGA AND AAMOSH SUPPLIERS PVT.LTD"/>
    <s v="Straight Pouch"/>
    <x v="3"/>
    <n v="-1"/>
    <n v="-40"/>
    <n v="459.72"/>
    <n v="-18388.8"/>
    <n v="0"/>
    <n v="706.12884300000007"/>
    <n v="-2298.7465929999998"/>
    <n v="-19981.417750000001"/>
  </r>
  <r>
    <x v="27"/>
    <x v="2"/>
    <s v="Q1"/>
    <x v="0"/>
    <s v="KESR/0137/81-82"/>
    <s v="DURGA AND AAMOSH SUPPLIERS PVT.LTD"/>
    <s v="Straight Pouch"/>
    <x v="4"/>
    <n v="-1"/>
    <n v="-40"/>
    <n v="260.27999999999997"/>
    <n v="-10411.200000000001"/>
    <n v="0"/>
    <n v="399.78946999999999"/>
    <n v="-1301.4829970000001"/>
    <n v="-11312.893527"/>
  </r>
  <r>
    <x v="27"/>
    <x v="2"/>
    <s v="Q1"/>
    <x v="0"/>
    <s v="KESR/0138/81-82"/>
    <s v="HAMRO KIRANA PASAL"/>
    <s v="Straight Pouch"/>
    <x v="3"/>
    <n v="-0.88"/>
    <n v="-35"/>
    <n v="449.72"/>
    <n v="-15740.199999999999"/>
    <n v="0"/>
    <n v="604.424802"/>
    <n v="-1967.650776"/>
    <n v="-17103.425974000002"/>
  </r>
  <r>
    <x v="27"/>
    <x v="2"/>
    <s v="Q1"/>
    <x v="0"/>
    <s v="KESR/0138/81-82"/>
    <s v="HAMRO KIRANA PASAL"/>
    <s v="Straight Pouch"/>
    <x v="4"/>
    <n v="-0.88"/>
    <n v="-35"/>
    <n v="260.27999999999997"/>
    <n v="-9109.7999999999993"/>
    <n v="0"/>
    <n v="349.81696900000003"/>
    <n v="-1138.7977940000001"/>
    <n v="-9898.7808249999998"/>
  </r>
  <r>
    <x v="27"/>
    <x v="2"/>
    <s v="Q1"/>
    <x v="0"/>
    <s v="KESR/0138/81-82"/>
    <s v="HAMRO KIRANA PASAL"/>
    <s v="Straight Pouch"/>
    <x v="6"/>
    <n v="-0.9"/>
    <n v="-90"/>
    <n v="189.3"/>
    <n v="-17037"/>
    <n v="0"/>
    <n v="654.22201499999994"/>
    <n v="-2129.7611379999998"/>
    <n v="-18512.539122999999"/>
  </r>
  <r>
    <x v="27"/>
    <x v="2"/>
    <s v="Q1"/>
    <x v="0"/>
    <s v="KESR/0138/81-82"/>
    <s v="HAMRO KIRANA PASAL"/>
    <s v="Straight Pouch"/>
    <x v="1"/>
    <n v="-0.9"/>
    <n v="-90"/>
    <n v="108.17"/>
    <n v="-9735.3000000000011"/>
    <n v="0"/>
    <n v="373.83621399999998"/>
    <n v="-1216.990292"/>
    <n v="-10578.454078000001"/>
  </r>
  <r>
    <x v="27"/>
    <x v="2"/>
    <s v="Q1"/>
    <x v="0"/>
    <s v="KESR/0139/81-82"/>
    <s v="HAMRO KIRANA PASAL"/>
    <s v="Straight Pouch"/>
    <x v="12"/>
    <n v="-0.85"/>
    <n v="-34"/>
    <n v="297.52"/>
    <n v="-10115.68"/>
    <n v="0"/>
    <n v="388.44334699999996"/>
    <n v="0"/>
    <n v="-9727.2366529999999"/>
  </r>
  <r>
    <x v="27"/>
    <x v="2"/>
    <s v="Q1"/>
    <x v="0"/>
    <s v="KESR/0139/81-82"/>
    <s v="HAMRO KIRANA PASAL"/>
    <s v="Straight Pouch"/>
    <x v="13"/>
    <n v="-0.9"/>
    <n v="-90"/>
    <n v="124.88"/>
    <n v="-11239.199999999999"/>
    <n v="0"/>
    <n v="431.58665300000001"/>
    <n v="0"/>
    <n v="-10807.613347"/>
  </r>
  <r>
    <x v="28"/>
    <x v="2"/>
    <s v="Q1"/>
    <x v="0"/>
    <s v="KESR/0152/81-82"/>
    <s v="SIMPEX SOLUTION PVT. LTD"/>
    <s v="Straight Premium"/>
    <x v="8"/>
    <n v="-7.0000000000000007E-2"/>
    <n v="-8"/>
    <n v="60.18"/>
    <n v="-481.44"/>
    <n v="0"/>
    <n v="0"/>
    <n v="-62.59"/>
    <n v="-544.03"/>
  </r>
  <r>
    <x v="29"/>
    <x v="2"/>
    <s v="Q1"/>
    <x v="0"/>
    <s v="KEPL/02973/81-82"/>
    <s v="SHIVA SHAKTI CONCERN"/>
    <s v="Sprinkler"/>
    <x v="26"/>
    <n v="1"/>
    <n v="72"/>
    <n v="131.83000000000001"/>
    <n v="9491.76"/>
    <n v="-862.8"/>
    <n v="0"/>
    <n v="1121.764811"/>
    <n v="9750.724811"/>
  </r>
  <r>
    <x v="29"/>
    <x v="2"/>
    <s v="Q1"/>
    <x v="0"/>
    <s v="KEPL/02973/81-82"/>
    <s v="SHIVA SHAKTI CONCERN"/>
    <s v="Blends"/>
    <x v="32"/>
    <n v="1"/>
    <n v="120"/>
    <n v="64.23"/>
    <n v="7707.5999999999995"/>
    <n v="-700.62"/>
    <n v="0"/>
    <n v="910.90740900000003"/>
    <n v="7917.8874089999999"/>
  </r>
  <r>
    <x v="29"/>
    <x v="2"/>
    <s v="Q1"/>
    <x v="0"/>
    <s v="KEPL/02973/81-82"/>
    <s v="SHIVA SHAKTI CONCERN"/>
    <s v="Cooking Paste"/>
    <x v="29"/>
    <n v="1"/>
    <n v="120"/>
    <n v="57.46"/>
    <n v="6895.2"/>
    <n v="-626.77"/>
    <n v="0"/>
    <n v="814.89590799999996"/>
    <n v="7083.3259079999998"/>
  </r>
  <r>
    <x v="29"/>
    <x v="2"/>
    <s v="Q1"/>
    <x v="0"/>
    <s v="KEPL/02973/81-82"/>
    <s v="SHIVA SHAKTI CONCERN"/>
    <s v="Straight Premium"/>
    <x v="33"/>
    <n v="1"/>
    <n v="180"/>
    <n v="91.27"/>
    <n v="16428.599999999999"/>
    <n v="-1493.36"/>
    <n v="0"/>
    <n v="1941.5812189999999"/>
    <n v="16876.821219000001"/>
  </r>
  <r>
    <x v="29"/>
    <x v="2"/>
    <s v="Q1"/>
    <x v="0"/>
    <s v="KEPL/02973/81-82"/>
    <s v="SHIVA SHAKTI CONCERN"/>
    <s v="Straight Premium"/>
    <x v="23"/>
    <n v="1"/>
    <n v="180"/>
    <n v="182.53"/>
    <n v="32855.4"/>
    <n v="-2986.56"/>
    <n v="0"/>
    <n v="3882.949239"/>
    <n v="33751.789238999998"/>
  </r>
  <r>
    <x v="29"/>
    <x v="2"/>
    <s v="Q1"/>
    <x v="0"/>
    <s v="KEPL/02973/81-82"/>
    <s v="SHIVA SHAKTI CONCERN"/>
    <s v="Sprinkler"/>
    <x v="25"/>
    <n v="2"/>
    <n v="96"/>
    <n v="310.99"/>
    <n v="29855.039999999997"/>
    <n v="-2713.82"/>
    <n v="0"/>
    <n v="3528.358635"/>
    <n v="30669.578635000002"/>
  </r>
  <r>
    <x v="29"/>
    <x v="2"/>
    <s v="Q1"/>
    <x v="0"/>
    <s v="KEPL/02973/81-82"/>
    <s v="SHIVA SHAKTI CONCERN"/>
    <s v="Straight Premium"/>
    <x v="7"/>
    <n v="1"/>
    <n v="120"/>
    <n v="152.11000000000001"/>
    <n v="18253.2"/>
    <n v="-1659.2199999999998"/>
    <n v="0"/>
    <n v="2157.2174209999998"/>
    <n v="18751.197421000001"/>
  </r>
  <r>
    <x v="29"/>
    <x v="2"/>
    <s v="Q1"/>
    <x v="0"/>
    <s v="KEPL/02973/81-82"/>
    <s v="SHIVA SHAKTI CONCERN"/>
    <s v="Cooking Paste"/>
    <x v="30"/>
    <n v="5"/>
    <n v="300"/>
    <n v="101.41"/>
    <n v="30423"/>
    <n v="-2765.45"/>
    <n v="0"/>
    <n v="3595.4815360000002"/>
    <n v="31253.031535999999"/>
  </r>
  <r>
    <x v="29"/>
    <x v="2"/>
    <s v="Q1"/>
    <x v="0"/>
    <s v="KEPL/02973/81-82"/>
    <s v="SHIVA SHAKTI CONCERN"/>
    <s v="Straight Premium"/>
    <x v="34"/>
    <n v="1"/>
    <n v="80"/>
    <n v="229.86"/>
    <n v="18388.8"/>
    <n v="-1671.54"/>
    <n v="0"/>
    <n v="2173.2438219999999"/>
    <n v="18890.503821999999"/>
  </r>
  <r>
    <x v="29"/>
    <x v="2"/>
    <s v="Q1"/>
    <x v="0"/>
    <s v="KEPL/02974/81-82"/>
    <s v="BEERA BARJEE INTERNATIONAL PVT.LTD"/>
    <s v="Straight Premium"/>
    <x v="23"/>
    <n v="1"/>
    <n v="180"/>
    <n v="182.53"/>
    <n v="32855.4"/>
    <n v="-2986.56"/>
    <n v="0"/>
    <n v="3882.9496210000002"/>
    <n v="33751.789621000004"/>
  </r>
  <r>
    <x v="29"/>
    <x v="2"/>
    <s v="Q1"/>
    <x v="0"/>
    <s v="KEPL/02974/81-82"/>
    <s v="BEERA BARJEE INTERNATIONAL PVT.LTD"/>
    <s v="Blends"/>
    <x v="19"/>
    <n v="1"/>
    <n v="180"/>
    <n v="155.49"/>
    <n v="27988.2"/>
    <n v="-2544.13"/>
    <n v="0"/>
    <n v="3307.7294589999997"/>
    <n v="28751.799459000002"/>
  </r>
  <r>
    <x v="29"/>
    <x v="2"/>
    <s v="Q1"/>
    <x v="0"/>
    <s v="KEPL/02974/81-82"/>
    <s v="BEERA BARJEE INTERNATIONAL PVT.LTD"/>
    <s v="Blends"/>
    <x v="35"/>
    <n v="1"/>
    <n v="80"/>
    <n v="169.01"/>
    <n v="13520.8"/>
    <n v="-1229.04"/>
    <n v="0"/>
    <n v="1597.9289729999998"/>
    <n v="13889.688973"/>
  </r>
  <r>
    <x v="29"/>
    <x v="2"/>
    <s v="Q1"/>
    <x v="0"/>
    <s v="KEPL/02974/81-82"/>
    <s v="BEERA BARJEE INTERNATIONAL PVT.LTD"/>
    <s v="Blends"/>
    <x v="36"/>
    <n v="1"/>
    <n v="80"/>
    <n v="162.25"/>
    <n v="12979.999999999998"/>
    <n v="-1179.8800000000001"/>
    <n v="0"/>
    <n v="1534.015766"/>
    <n v="13334.135765999999"/>
  </r>
  <r>
    <x v="29"/>
    <x v="2"/>
    <s v="Q1"/>
    <x v="0"/>
    <s v="KEPL/02974/81-82"/>
    <s v="BEERA BARJEE INTERNATIONAL PVT.LTD"/>
    <s v="Blends"/>
    <x v="37"/>
    <n v="1"/>
    <n v="180"/>
    <n v="101.41"/>
    <n v="18253.8"/>
    <n v="-1659.27"/>
    <n v="0"/>
    <n v="2157.2891340000001"/>
    <n v="18751.819134000001"/>
  </r>
  <r>
    <x v="29"/>
    <x v="2"/>
    <s v="Q1"/>
    <x v="0"/>
    <s v="KEPL/02974/81-82"/>
    <s v="BEERA BARJEE INTERNATIONAL PVT.LTD"/>
    <s v="Blends"/>
    <x v="38"/>
    <n v="1"/>
    <n v="120"/>
    <n v="84.51"/>
    <n v="10141.199999999999"/>
    <n v="-921.84"/>
    <n v="0"/>
    <n v="1198.5169300000002"/>
    <n v="10417.87693"/>
  </r>
  <r>
    <x v="29"/>
    <x v="2"/>
    <s v="Q1"/>
    <x v="0"/>
    <s v="KEPL/02974/81-82"/>
    <s v="BEERA BARJEE INTERNATIONAL PVT.LTD"/>
    <s v="Blends"/>
    <x v="39"/>
    <n v="1"/>
    <n v="180"/>
    <n v="87.89"/>
    <n v="15820.199999999999"/>
    <n v="-1438.0600000000002"/>
    <n v="0"/>
    <n v="1869.6784030000001"/>
    <n v="16251.818402999999"/>
  </r>
  <r>
    <x v="29"/>
    <x v="2"/>
    <s v="Q1"/>
    <x v="0"/>
    <s v="KEPL/02974/81-82"/>
    <s v="BEERA BARJEE INTERNATIONAL PVT.LTD"/>
    <s v="Cooking Paste"/>
    <x v="30"/>
    <n v="2"/>
    <n v="120"/>
    <n v="101.41"/>
    <n v="12169.2"/>
    <n v="-1106.18"/>
    <n v="0"/>
    <n v="1438.1927560000001"/>
    <n v="12501.212756000001"/>
  </r>
  <r>
    <x v="29"/>
    <x v="2"/>
    <s v="Q1"/>
    <x v="0"/>
    <s v="KEPL/02974/81-82"/>
    <s v="BEERA BARJEE INTERNATIONAL PVT.LTD"/>
    <s v="Cooking Paste"/>
    <x v="29"/>
    <n v="1"/>
    <n v="120"/>
    <n v="57.46"/>
    <n v="6895.2"/>
    <n v="-626.77"/>
    <n v="0"/>
    <n v="814.8959880000001"/>
    <n v="7083.3259879999996"/>
  </r>
  <r>
    <x v="29"/>
    <x v="2"/>
    <s v="Q1"/>
    <x v="0"/>
    <s v="KEPL/02974/81-82"/>
    <s v="BEERA BARJEE INTERNATIONAL PVT.LTD"/>
    <s v="Straight Premium"/>
    <x v="33"/>
    <n v="1"/>
    <n v="180"/>
    <n v="91.27"/>
    <n v="16428.599999999999"/>
    <n v="-1493.36"/>
    <n v="0"/>
    <n v="1941.5814109999999"/>
    <n v="16876.821411000001"/>
  </r>
  <r>
    <x v="29"/>
    <x v="2"/>
    <s v="Q1"/>
    <x v="0"/>
    <s v="KEPL/02974/81-82"/>
    <s v="BEERA BARJEE INTERNATIONAL PVT.LTD"/>
    <s v="Blends"/>
    <x v="27"/>
    <n v="1"/>
    <n v="120"/>
    <n v="118.31"/>
    <n v="14197.199999999999"/>
    <n v="-1290.53"/>
    <n v="0"/>
    <n v="1677.8672820000002"/>
    <n v="14584.537281999999"/>
  </r>
  <r>
    <x v="29"/>
    <x v="2"/>
    <s v="Q1"/>
    <x v="0"/>
    <s v="KEPL/02974/81-82"/>
    <s v="BEERA BARJEE INTERNATIONAL PVT.LTD"/>
    <s v="Sprinkler"/>
    <x v="31"/>
    <n v="2"/>
    <n v="144"/>
    <n v="148.72999999999999"/>
    <n v="21417.119999999999"/>
    <n v="-1946.82"/>
    <n v="0"/>
    <n v="2531.1392740000001"/>
    <n v="22001.439274"/>
  </r>
  <r>
    <x v="29"/>
    <x v="2"/>
    <s v="Q1"/>
    <x v="0"/>
    <s v="KEPL/02974/81-82"/>
    <s v="BEERA BARJEE INTERNATIONAL PVT.LTD"/>
    <s v="Blends"/>
    <x v="18"/>
    <n v="1"/>
    <n v="120"/>
    <n v="141.97"/>
    <n v="17036.400000000001"/>
    <n v="-1548.61"/>
    <n v="0"/>
    <n v="2013.412918"/>
    <n v="17501.202917999999"/>
  </r>
  <r>
    <x v="29"/>
    <x v="2"/>
    <s v="Q1"/>
    <x v="0"/>
    <s v="KEPL/02974/81-82"/>
    <s v="BEERA BARJEE INTERNATIONAL PVT.LTD"/>
    <s v="Sprinkler"/>
    <x v="26"/>
    <n v="2"/>
    <n v="144"/>
    <n v="131.83000000000001"/>
    <n v="18983.52"/>
    <n v="-1725.6"/>
    <n v="0"/>
    <n v="2243.5298430000003"/>
    <n v="19501.449842999999"/>
  </r>
  <r>
    <x v="29"/>
    <x v="2"/>
    <s v="Q1"/>
    <x v="0"/>
    <s v="KEPL/02974/81-82"/>
    <s v="BEERA BARJEE INTERNATIONAL PVT.LTD"/>
    <s v="Blends"/>
    <x v="40"/>
    <n v="1"/>
    <n v="120"/>
    <n v="77.75"/>
    <n v="9330"/>
    <n v="-848.1"/>
    <n v="0"/>
    <n v="1102.6471199999999"/>
    <n v="9584.5471199999993"/>
  </r>
  <r>
    <x v="29"/>
    <x v="2"/>
    <s v="Q1"/>
    <x v="0"/>
    <s v="KEPL/02974/81-82"/>
    <s v="BEERA BARJEE INTERNATIONAL PVT.LTD"/>
    <s v="Blends"/>
    <x v="41"/>
    <n v="1"/>
    <n v="120"/>
    <n v="162.25"/>
    <n v="19470"/>
    <n v="-1769.8200000000002"/>
    <n v="0"/>
    <n v="2301.0236500000001"/>
    <n v="20001.203649999999"/>
  </r>
  <r>
    <x v="29"/>
    <x v="2"/>
    <s v="Q1"/>
    <x v="0"/>
    <s v="KEPL/02974/81-82"/>
    <s v="BEERA BARJEE INTERNATIONAL PVT.LTD"/>
    <s v="Blends"/>
    <x v="42"/>
    <n v="1"/>
    <n v="120"/>
    <n v="94.65"/>
    <n v="11358"/>
    <n v="-1032.44"/>
    <n v="0"/>
    <n v="1342.3229460000002"/>
    <n v="11667.882946"/>
  </r>
  <r>
    <x v="29"/>
    <x v="2"/>
    <s v="Q1"/>
    <x v="0"/>
    <s v="KEPL/02974/81-82"/>
    <s v="BEERA BARJEE INTERNATIONAL PVT.LTD"/>
    <s v="Combo"/>
    <x v="43"/>
    <n v="1"/>
    <n v="60"/>
    <n v="148.72999999999999"/>
    <n v="8923.8000000000011"/>
    <n v="-811.17"/>
    <n v="0"/>
    <n v="1054.642014"/>
    <n v="9167.2720140000001"/>
  </r>
  <r>
    <x v="29"/>
    <x v="2"/>
    <s v="Q1"/>
    <x v="0"/>
    <s v="KEPL/02974/81-82"/>
    <s v="BEERA BARJEE INTERNATIONAL PVT.LTD"/>
    <s v="Sprinkler"/>
    <x v="25"/>
    <n v="2"/>
    <n v="96"/>
    <n v="310.99"/>
    <n v="29855.039999999997"/>
    <n v="-2713.82"/>
    <n v="0"/>
    <n v="3528.3589830000001"/>
    <n v="30669.578982999999"/>
  </r>
  <r>
    <x v="29"/>
    <x v="2"/>
    <s v="Q1"/>
    <x v="0"/>
    <s v="KEPL/02974/81-82"/>
    <s v="BEERA BARJEE INTERNATIONAL PVT.LTD"/>
    <s v="Blends"/>
    <x v="44"/>
    <n v="1"/>
    <n v="180"/>
    <n v="128.44999999999999"/>
    <n v="23121.000000000004"/>
    <n v="-2101.6999999999998"/>
    <n v="0"/>
    <n v="2732.5092960000002"/>
    <n v="23751.809295999999"/>
  </r>
  <r>
    <x v="29"/>
    <x v="2"/>
    <s v="Q1"/>
    <x v="0"/>
    <s v="KEPL/02974/81-82"/>
    <s v="BEERA BARJEE INTERNATIONAL PVT.LTD"/>
    <s v="Blends"/>
    <x v="45"/>
    <n v="1"/>
    <n v="80"/>
    <n v="141.97"/>
    <n v="11357.599999999999"/>
    <n v="-1032.4099999999999"/>
    <n v="0"/>
    <n v="1342.274846"/>
    <n v="11667.464846000001"/>
  </r>
  <r>
    <x v="29"/>
    <x v="2"/>
    <s v="Q1"/>
    <x v="0"/>
    <s v="KEPL/02974/81-82"/>
    <s v="BEERA BARJEE INTERNATIONAL PVT.LTD"/>
    <s v="Straight Premium"/>
    <x v="28"/>
    <n v="1"/>
    <n v="80"/>
    <n v="169.01"/>
    <n v="13520.8"/>
    <n v="-1229.04"/>
    <n v="0"/>
    <n v="1597.9289729999998"/>
    <n v="13889.688973"/>
  </r>
  <r>
    <x v="29"/>
    <x v="2"/>
    <s v="Q1"/>
    <x v="0"/>
    <s v="KEPL/02974/81-82"/>
    <s v="BEERA BARJEE INTERNATIONAL PVT.LTD"/>
    <s v="Straight Premium"/>
    <x v="8"/>
    <n v="1"/>
    <n v="120"/>
    <n v="57.46"/>
    <n v="6895.2"/>
    <n v="-626.77"/>
    <n v="0"/>
    <n v="814.8959880000001"/>
    <n v="7083.3259879999996"/>
  </r>
  <r>
    <x v="29"/>
    <x v="2"/>
    <s v="Q1"/>
    <x v="0"/>
    <s v="KEPL/02974/81-82"/>
    <s v="BEERA BARJEE INTERNATIONAL PVT.LTD"/>
    <s v="Sprinkler"/>
    <x v="46"/>
    <n v="1"/>
    <n v="100"/>
    <n v="98.03"/>
    <n v="9803"/>
    <n v="-891.08999999999992"/>
    <n v="0"/>
    <n v="1158.5484260000001"/>
    <n v="10070.458425999999"/>
  </r>
  <r>
    <x v="30"/>
    <x v="3"/>
    <s v="Q2"/>
    <x v="0"/>
    <s v="KEPL/03004/81-82"/>
    <s v="SIMPEX SOLUTION PVT. LTD"/>
    <s v="Straight Pouch"/>
    <x v="13"/>
    <n v="0.11"/>
    <n v="11"/>
    <n v="120.35"/>
    <n v="1323.85"/>
    <s v=""/>
    <s v=""/>
    <s v=""/>
    <n v="1323.85"/>
  </r>
  <r>
    <x v="30"/>
    <x v="3"/>
    <s v="Q2"/>
    <x v="0"/>
    <s v="KEPL/03005/81-82"/>
    <s v="SIMPEX SOLUTION PVT. LTD"/>
    <s v="Blends"/>
    <x v="15"/>
    <n v="0.04"/>
    <n v="7"/>
    <n v="120.35"/>
    <n v="842.44999999999993"/>
    <n v="0"/>
    <n v="0"/>
    <n v="109.51855"/>
    <n v="951.96855000000005"/>
  </r>
  <r>
    <x v="30"/>
    <x v="3"/>
    <s v="Q2"/>
    <x v="0"/>
    <s v="KEPL/03005/81-82"/>
    <s v="SIMPEX SOLUTION PVT. LTD"/>
    <s v="Sprinkler"/>
    <x v="31"/>
    <n v="0.19"/>
    <n v="14"/>
    <n v="155.75"/>
    <n v="2180.5"/>
    <n v="0"/>
    <n v="0"/>
    <n v="283.46512899999999"/>
    <n v="2463.9651290000002"/>
  </r>
  <r>
    <x v="30"/>
    <x v="3"/>
    <s v="Q2"/>
    <x v="0"/>
    <s v="KEPL/03005/81-82"/>
    <s v="SIMPEX SOLUTION PVT. LTD"/>
    <s v="Blends"/>
    <x v="10"/>
    <n v="0.12"/>
    <n v="22"/>
    <n v="63.72"/>
    <n v="1401.84"/>
    <n v="0"/>
    <n v="0"/>
    <n v="182.239283"/>
    <n v="1584.079283"/>
  </r>
  <r>
    <x v="30"/>
    <x v="3"/>
    <s v="Q2"/>
    <x v="0"/>
    <s v="KEPL/03005/81-82"/>
    <s v="SIMPEX SOLUTION PVT. LTD"/>
    <s v="Sprinkler"/>
    <x v="26"/>
    <n v="0.06"/>
    <n v="4"/>
    <n v="138.05000000000001"/>
    <n v="552.20000000000005"/>
    <n v="0"/>
    <n v="0"/>
    <n v="71.786032999999989"/>
    <n v="623.98603300000002"/>
  </r>
  <r>
    <x v="30"/>
    <x v="3"/>
    <s v="Q2"/>
    <x v="0"/>
    <s v="KEPL/03005/81-82"/>
    <s v="SIMPEX SOLUTION PVT. LTD"/>
    <s v="Straight Premium"/>
    <x v="5"/>
    <n v="0.42"/>
    <n v="76"/>
    <n v="99.12"/>
    <n v="7533.12"/>
    <n v="0"/>
    <n v="0"/>
    <n v="979.30604400000004"/>
    <n v="8512.4260439999998"/>
  </r>
  <r>
    <x v="30"/>
    <x v="3"/>
    <s v="Q2"/>
    <x v="0"/>
    <s v="KEPL/03005/81-82"/>
    <s v="SIMPEX SOLUTION PVT. LTD"/>
    <s v="Blends"/>
    <x v="2"/>
    <n v="0.21"/>
    <n v="38"/>
    <n v="67.260000000000005"/>
    <n v="2555.8799999999997"/>
    <n v="0"/>
    <n v="0"/>
    <n v="332.26455099999998"/>
    <n v="2888.1445509999999"/>
  </r>
  <r>
    <x v="30"/>
    <x v="3"/>
    <s v="Q2"/>
    <x v="0"/>
    <s v="KEPL/03005/81-82"/>
    <s v="SIMPEX SOLUTION PVT. LTD"/>
    <s v="Cooking Paste"/>
    <x v="29"/>
    <n v="0.66"/>
    <n v="79"/>
    <n v="60.18"/>
    <n v="4754.22"/>
    <n v="0"/>
    <n v="0"/>
    <n v="618.04888000000005"/>
    <n v="5372.2688799999996"/>
  </r>
  <r>
    <x v="30"/>
    <x v="3"/>
    <s v="Q2"/>
    <x v="0"/>
    <s v="KEPL/03005/81-82"/>
    <s v="SIMPEX SOLUTION PVT. LTD"/>
    <s v="Blends"/>
    <x v="27"/>
    <n v="0.06"/>
    <n v="7"/>
    <n v="123.89"/>
    <n v="867.23"/>
    <n v="0"/>
    <n v="0"/>
    <n v="112.739951"/>
    <n v="979.96995100000004"/>
  </r>
  <r>
    <x v="30"/>
    <x v="3"/>
    <s v="Q2"/>
    <x v="0"/>
    <s v="KEPL/03005/81-82"/>
    <s v="SIMPEX SOLUTION PVT. LTD"/>
    <s v="Straight Premium"/>
    <x v="8"/>
    <n v="0.28999999999999998"/>
    <n v="35"/>
    <n v="60.18"/>
    <n v="2106.3000000000002"/>
    <n v="0"/>
    <n v="0"/>
    <n v="273.81912399999999"/>
    <n v="2380.1191239999998"/>
  </r>
  <r>
    <x v="30"/>
    <x v="3"/>
    <s v="Q2"/>
    <x v="0"/>
    <s v="KEPL/03005/81-82"/>
    <s v="SIMPEX SOLUTION PVT. LTD"/>
    <s v="Blends"/>
    <x v="0"/>
    <n v="7.0000000000000007E-2"/>
    <n v="13"/>
    <n v="67.260000000000005"/>
    <n v="874.38"/>
    <n v="0"/>
    <n v="0"/>
    <n v="113.66945200000001"/>
    <n v="988.04945199999997"/>
  </r>
  <r>
    <x v="30"/>
    <x v="3"/>
    <s v="Q2"/>
    <x v="0"/>
    <s v="KEPL/03005/81-82"/>
    <s v="SIMPEX SOLUTION PVT. LTD"/>
    <s v="Cooking Paste"/>
    <x v="30"/>
    <n v="0.23"/>
    <n v="14"/>
    <n v="106.19"/>
    <n v="1486.6599999999999"/>
    <n v="0"/>
    <n v="0"/>
    <n v="193.26588799999999"/>
    <n v="1679.925888"/>
  </r>
  <r>
    <x v="30"/>
    <x v="3"/>
    <s v="Q2"/>
    <x v="0"/>
    <s v="KEPL/03005/81-82"/>
    <s v="SIMPEX SOLUTION PVT. LTD"/>
    <s v="Blends"/>
    <x v="11"/>
    <n v="0.26"/>
    <n v="46"/>
    <n v="67.260000000000005"/>
    <n v="3093.9599999999996"/>
    <n v="0"/>
    <n v="0"/>
    <n v="402.21498299999996"/>
    <n v="3496.1749829999999"/>
  </r>
  <r>
    <x v="30"/>
    <x v="3"/>
    <s v="Q2"/>
    <x v="0"/>
    <s v="KEPL/03005/81-82"/>
    <s v="SIMPEX SOLUTION PVT. LTD"/>
    <s v="Straight Pouch"/>
    <x v="1"/>
    <n v="0.2"/>
    <n v="20"/>
    <n v="113.27"/>
    <n v="2265.4"/>
    <n v="0"/>
    <n v="0"/>
    <n v="294.50213400000001"/>
    <n v="2559.9021339999999"/>
  </r>
  <r>
    <x v="30"/>
    <x v="3"/>
    <s v="Q2"/>
    <x v="0"/>
    <s v="KEPL/03011/81-82"/>
    <s v="DS SPICECO L &amp; D"/>
    <s v="Cooking Paste"/>
    <x v="30"/>
    <n v="0.05"/>
    <n v="3"/>
    <n v="98.03"/>
    <n v="294.08999999999997"/>
    <n v="-26.73"/>
    <n v="0"/>
    <n v="34.754077000000002"/>
    <n v="302.11407700000001"/>
  </r>
  <r>
    <x v="30"/>
    <x v="3"/>
    <s v="Q2"/>
    <x v="0"/>
    <s v="KEPL/03011/81-82"/>
    <s v="DS SPICECO L &amp; D"/>
    <s v="Sprinkler"/>
    <x v="31"/>
    <n v="0.01"/>
    <n v="1"/>
    <n v="148.72999999999999"/>
    <n v="148.72999999999999"/>
    <n v="-13.52"/>
    <n v="0"/>
    <n v="17.575923"/>
    <n v="152.785923"/>
  </r>
  <r>
    <x v="31"/>
    <x v="3"/>
    <s v="Q2"/>
    <x v="0"/>
    <s v="KEPL/03016/81-82"/>
    <s v="DURGA AND AAMOSH SUPPLIERS PVT.LTD"/>
    <s v="Blends"/>
    <x v="32"/>
    <n v="1"/>
    <n v="120"/>
    <n v="64.23"/>
    <n v="7707.5999999999995"/>
    <n v="-700.62"/>
    <n v="0"/>
    <n v="910.90763300000003"/>
    <n v="7917.8876330000003"/>
  </r>
  <r>
    <x v="31"/>
    <x v="3"/>
    <s v="Q2"/>
    <x v="0"/>
    <s v="KEPL/03016/81-82"/>
    <s v="DURGA AND AAMOSH SUPPLIERS PVT.LTD"/>
    <s v="Sprinkler"/>
    <x v="25"/>
    <n v="1"/>
    <n v="48"/>
    <n v="310.99"/>
    <n v="14927.519999999999"/>
    <n v="-1356.91"/>
    <n v="0"/>
    <n v="1764.1797509999999"/>
    <n v="15334.789751"/>
  </r>
  <r>
    <x v="31"/>
    <x v="3"/>
    <s v="Q2"/>
    <x v="0"/>
    <s v="KEPL/03016/81-82"/>
    <s v="DURGA AND AAMOSH SUPPLIERS PVT.LTD"/>
    <s v="Sprinkler"/>
    <x v="26"/>
    <n v="1"/>
    <n v="72"/>
    <n v="131.83000000000001"/>
    <n v="9491.76"/>
    <n v="-862.8"/>
    <n v="0"/>
    <n v="1121.765087"/>
    <n v="9750.7250870000007"/>
  </r>
  <r>
    <x v="31"/>
    <x v="3"/>
    <s v="Q2"/>
    <x v="0"/>
    <s v="KEPL/03016/81-82"/>
    <s v="DURGA AND AAMOSH SUPPLIERS PVT.LTD"/>
    <s v="Sprinkler"/>
    <x v="31"/>
    <n v="1"/>
    <n v="72"/>
    <n v="148.72999999999999"/>
    <n v="10708.56"/>
    <n v="-973.41"/>
    <n v="0"/>
    <n v="1265.5698239999999"/>
    <n v="11000.719824"/>
  </r>
  <r>
    <x v="31"/>
    <x v="3"/>
    <s v="Q2"/>
    <x v="0"/>
    <s v="KEPL/03016/81-82"/>
    <s v="DURGA AND AAMOSH SUPPLIERS PVT.LTD"/>
    <s v="Straight Premium"/>
    <x v="33"/>
    <n v="1"/>
    <n v="180"/>
    <n v="91.27"/>
    <n v="16428.599999999999"/>
    <n v="-1493.36"/>
    <n v="0"/>
    <n v="1941.5816969999998"/>
    <n v="16876.821696999999"/>
  </r>
  <r>
    <x v="31"/>
    <x v="3"/>
    <s v="Q2"/>
    <x v="0"/>
    <s v="KEPL/03016/81-82"/>
    <s v="DURGA AND AAMOSH SUPPLIERS PVT.LTD"/>
    <s v="Straight Premium"/>
    <x v="7"/>
    <n v="1"/>
    <n v="120"/>
    <n v="152.11000000000001"/>
    <n v="18253.2"/>
    <n v="-1659.2199999999998"/>
    <n v="0"/>
    <n v="2157.217952"/>
    <n v="18751.197951999999"/>
  </r>
  <r>
    <x v="31"/>
    <x v="3"/>
    <s v="Q2"/>
    <x v="0"/>
    <s v="KEPL/03016/81-82"/>
    <s v="DURGA AND AAMOSH SUPPLIERS PVT.LTD"/>
    <s v="Cooking Paste"/>
    <x v="30"/>
    <n v="2"/>
    <n v="120"/>
    <n v="98.03"/>
    <n v="11763.6"/>
    <n v="-1069.3100000000002"/>
    <n v="0"/>
    <n v="1390.2580559999999"/>
    <n v="12084.548056"/>
  </r>
  <r>
    <x v="31"/>
    <x v="3"/>
    <s v="Q2"/>
    <x v="0"/>
    <s v="KEPL/03017/81-82"/>
    <s v="SURUWAT ENTERPRISES"/>
    <s v="Straight Premium"/>
    <x v="28"/>
    <n v="1"/>
    <n v="80"/>
    <n v="169.01"/>
    <n v="13520.8"/>
    <n v="-1229.04"/>
    <n v="0"/>
    <n v="1597.929144"/>
    <n v="13889.689144"/>
  </r>
  <r>
    <x v="31"/>
    <x v="3"/>
    <s v="Q2"/>
    <x v="0"/>
    <s v="KEPL/03017/81-82"/>
    <s v="SURUWAT ENTERPRISES"/>
    <s v="Blends"/>
    <x v="32"/>
    <n v="1"/>
    <n v="120"/>
    <n v="64.23"/>
    <n v="7707.5999999999995"/>
    <n v="-700.62"/>
    <n v="0"/>
    <n v="910.9075959999999"/>
    <n v="7917.8875959999996"/>
  </r>
  <r>
    <x v="31"/>
    <x v="3"/>
    <s v="Q2"/>
    <x v="0"/>
    <s v="KEPL/03017/81-82"/>
    <s v="SURUWAT ENTERPRISES"/>
    <s v="Cooking Paste"/>
    <x v="29"/>
    <n v="1"/>
    <n v="120"/>
    <n v="57.46"/>
    <n v="6895.2"/>
    <n v="-626.77"/>
    <n v="0"/>
    <n v="814.89607599999999"/>
    <n v="7083.3260760000003"/>
  </r>
  <r>
    <x v="31"/>
    <x v="3"/>
    <s v="Q2"/>
    <x v="0"/>
    <s v="KEPL/03017/81-82"/>
    <s v="SURUWAT ENTERPRISES"/>
    <s v="Sprinkler"/>
    <x v="31"/>
    <n v="1"/>
    <n v="72"/>
    <n v="148.72999999999999"/>
    <n v="10708.56"/>
    <n v="-973.41"/>
    <n v="0"/>
    <n v="1265.5697729999999"/>
    <n v="11000.719773000001"/>
  </r>
  <r>
    <x v="31"/>
    <x v="3"/>
    <s v="Q2"/>
    <x v="0"/>
    <s v="KEPL/03017/81-82"/>
    <s v="SURUWAT ENTERPRISES"/>
    <s v="Blends"/>
    <x v="18"/>
    <n v="1"/>
    <n v="120"/>
    <n v="141.97"/>
    <n v="17036.400000000001"/>
    <n v="-1548.61"/>
    <n v="0"/>
    <n v="2013.4131340000001"/>
    <n v="17501.203133999999"/>
  </r>
  <r>
    <x v="31"/>
    <x v="3"/>
    <s v="Q2"/>
    <x v="0"/>
    <s v="KEPL/03017/81-82"/>
    <s v="SURUWAT ENTERPRISES"/>
    <s v="Blends"/>
    <x v="19"/>
    <n v="1"/>
    <n v="180"/>
    <n v="155.49"/>
    <n v="27988.2"/>
    <n v="-2544.13"/>
    <n v="0"/>
    <n v="3307.729812"/>
    <n v="28751.799812000001"/>
  </r>
  <r>
    <x v="31"/>
    <x v="3"/>
    <s v="Q2"/>
    <x v="0"/>
    <s v="KEPL/03017/81-82"/>
    <s v="SURUWAT ENTERPRISES"/>
    <s v="Sprinkler"/>
    <x v="25"/>
    <n v="1"/>
    <n v="48"/>
    <n v="310.99"/>
    <n v="14927.519999999999"/>
    <n v="-1356.91"/>
    <n v="0"/>
    <n v="1764.1796800000002"/>
    <n v="15334.78968"/>
  </r>
  <r>
    <x v="31"/>
    <x v="3"/>
    <s v="Q2"/>
    <x v="0"/>
    <s v="KEPL/03017/81-82"/>
    <s v="SURUWAT ENTERPRISES"/>
    <s v="Cooking Paste"/>
    <x v="30"/>
    <n v="1"/>
    <n v="60"/>
    <n v="98.03"/>
    <n v="5881.8"/>
    <n v="-534.66"/>
    <n v="0"/>
    <n v="695.12834999999995"/>
    <n v="6042.2683500000003"/>
  </r>
  <r>
    <x v="31"/>
    <x v="3"/>
    <s v="Q2"/>
    <x v="0"/>
    <s v="KEPL/03017/81-82"/>
    <s v="SURUWAT ENTERPRISES"/>
    <s v="Sprinkler"/>
    <x v="26"/>
    <n v="1"/>
    <n v="72"/>
    <n v="131.83000000000001"/>
    <n v="9491.76"/>
    <n v="-862.8"/>
    <n v="0"/>
    <n v="1121.765042"/>
    <n v="9750.725042"/>
  </r>
  <r>
    <x v="31"/>
    <x v="3"/>
    <s v="Q2"/>
    <x v="0"/>
    <s v="KEPL/03017/81-82"/>
    <s v="SURUWAT ENTERPRISES"/>
    <s v="Blends"/>
    <x v="11"/>
    <n v="1"/>
    <n v="180"/>
    <n v="64.23"/>
    <n v="11561.4"/>
    <n v="-1050.9299999999998"/>
    <n v="0"/>
    <n v="1366.361394"/>
    <n v="11876.831394000001"/>
  </r>
  <r>
    <x v="32"/>
    <x v="3"/>
    <s v="Q2"/>
    <x v="0"/>
    <s v="KEPL/03020/81-82"/>
    <s v="SAFAL MART PVT.LTD"/>
    <s v="Blends"/>
    <x v="20"/>
    <n v="1"/>
    <n v="120"/>
    <n v="121.69"/>
    <n v="14602.800000000001"/>
    <n v="-1327.39"/>
    <n v="0"/>
    <n v="1725.8032250000001"/>
    <n v="15001.213225"/>
  </r>
  <r>
    <x v="32"/>
    <x v="3"/>
    <s v="Q2"/>
    <x v="0"/>
    <s v="KEPL/03020/81-82"/>
    <s v="SAFAL MART PVT.LTD"/>
    <s v="Straight Premium"/>
    <x v="8"/>
    <n v="1"/>
    <n v="120"/>
    <n v="57.46"/>
    <n v="6895.2"/>
    <n v="-626.77"/>
    <n v="0"/>
    <n v="814.89586499999996"/>
    <n v="7083.3258649999998"/>
  </r>
  <r>
    <x v="32"/>
    <x v="3"/>
    <s v="Q2"/>
    <x v="0"/>
    <s v="KEPL/03020/81-82"/>
    <s v="SAFAL MART PVT.LTD"/>
    <s v="Blends"/>
    <x v="27"/>
    <n v="1"/>
    <n v="120"/>
    <n v="118.31"/>
    <n v="14197.199999999999"/>
    <n v="-1290.53"/>
    <n v="0"/>
    <n v="1677.867027"/>
    <n v="14584.537027"/>
  </r>
  <r>
    <x v="32"/>
    <x v="3"/>
    <s v="Q2"/>
    <x v="0"/>
    <s v="KEPL/03020/81-82"/>
    <s v="SAFAL MART PVT.LTD"/>
    <s v="Blends"/>
    <x v="17"/>
    <n v="2"/>
    <n v="360"/>
    <n v="121.69"/>
    <n v="43808.399999999994"/>
    <n v="-3982.18"/>
    <n v="0"/>
    <n v="5177.408375"/>
    <n v="45003.628375"/>
  </r>
  <r>
    <x v="32"/>
    <x v="3"/>
    <s v="Q2"/>
    <x v="0"/>
    <s v="KEPL/03020/81-82"/>
    <s v="SAFAL MART PVT.LTD"/>
    <s v="Straight Premium"/>
    <x v="23"/>
    <n v="10"/>
    <n v="1800"/>
    <n v="182.53"/>
    <n v="328554"/>
    <n v="-29865.56"/>
    <n v="0"/>
    <n v="38829.495509"/>
    <n v="337517.93550899997"/>
  </r>
  <r>
    <x v="33"/>
    <x v="3"/>
    <s v="Q2"/>
    <x v="0"/>
    <s v="KEPL/03027/81-82"/>
    <s v="BEERA BARJEE INTERNATIONAL PVT.LTD"/>
    <s v="Blends"/>
    <x v="2"/>
    <n v="1"/>
    <n v="180"/>
    <n v="64.23"/>
    <n v="11561.4"/>
    <n v="-1050.9299999999998"/>
    <n v="0"/>
    <n v="1366.3613780000001"/>
    <n v="11876.831378000001"/>
  </r>
  <r>
    <x v="33"/>
    <x v="3"/>
    <s v="Q2"/>
    <x v="0"/>
    <s v="KEPL/03027/81-82"/>
    <s v="BEERA BARJEE INTERNATIONAL PVT.LTD"/>
    <s v="Straight Premium"/>
    <x v="34"/>
    <n v="1"/>
    <n v="80"/>
    <n v="229.86"/>
    <n v="18388.8"/>
    <n v="-1671.54"/>
    <n v="0"/>
    <n v="2173.2442430000001"/>
    <n v="18890.504242999999"/>
  </r>
  <r>
    <x v="33"/>
    <x v="3"/>
    <s v="Q2"/>
    <x v="0"/>
    <s v="KEPL/03027/81-82"/>
    <s v="BEERA BARJEE INTERNATIONAL PVT.LTD"/>
    <s v="Sprinkler"/>
    <x v="47"/>
    <n v="2"/>
    <n v="200"/>
    <n v="70.989999999999995"/>
    <n v="14198"/>
    <n v="-1290.5999999999999"/>
    <n v="0"/>
    <n v="1677.962342"/>
    <n v="14585.362342"/>
  </r>
  <r>
    <x v="33"/>
    <x v="3"/>
    <s v="Q2"/>
    <x v="0"/>
    <s v="KEPL/03027/81-82"/>
    <s v="BEERA BARJEE INTERNATIONAL PVT.LTD"/>
    <s v="Blends"/>
    <x v="48"/>
    <n v="1"/>
    <n v="180"/>
    <n v="84.51"/>
    <n v="15211.800000000001"/>
    <n v="-1382.75"/>
    <n v="0"/>
    <n v="1797.7768659999999"/>
    <n v="15626.826865999999"/>
  </r>
  <r>
    <x v="33"/>
    <x v="3"/>
    <s v="Q2"/>
    <x v="0"/>
    <s v="KEPL/03027/81-82"/>
    <s v="BEERA BARJEE INTERNATIONAL PVT.LTD"/>
    <s v="Blends"/>
    <x v="32"/>
    <n v="2"/>
    <n v="240"/>
    <n v="64.23"/>
    <n v="15415.199999999999"/>
    <n v="-1401.24"/>
    <n v="0"/>
    <n v="1821.815171"/>
    <n v="15835.775170999999"/>
  </r>
  <r>
    <x v="34"/>
    <x v="3"/>
    <s v="Q2"/>
    <x v="0"/>
    <s v="KEPL/03030/81-82"/>
    <s v="DS SPICECO L &amp; D"/>
    <s v="Blends"/>
    <x v="32"/>
    <n v="1.67"/>
    <n v="200"/>
    <n v="50.51"/>
    <n v="10102"/>
    <n v="0"/>
    <n v="0"/>
    <n v="1313.2600000000002"/>
    <n v="11415.26"/>
  </r>
  <r>
    <x v="34"/>
    <x v="3"/>
    <s v="Q2"/>
    <x v="0"/>
    <s v="KEPL/03030/81-82"/>
    <s v="DS SPICECO L &amp; D"/>
    <s v="Cooking Paste"/>
    <x v="29"/>
    <n v="1.67"/>
    <n v="200"/>
    <n v="45.2"/>
    <n v="9040"/>
    <n v="0"/>
    <n v="0"/>
    <n v="1175.2"/>
    <n v="10215.200000000001"/>
  </r>
  <r>
    <x v="34"/>
    <x v="3"/>
    <s v="Q2"/>
    <x v="0"/>
    <s v="KEPL/03030/81-82"/>
    <s v="DS SPICECO L &amp; D"/>
    <s v="Sprinkler"/>
    <x v="31"/>
    <n v="2.78"/>
    <n v="200"/>
    <n v="116.97"/>
    <n v="23394"/>
    <n v="0"/>
    <n v="0"/>
    <n v="3041.22"/>
    <n v="26435.22"/>
  </r>
  <r>
    <x v="34"/>
    <x v="3"/>
    <s v="Q2"/>
    <x v="0"/>
    <s v="KEPL/03030/81-82"/>
    <s v="DS SPICECO L &amp; D"/>
    <s v="Sprinkler"/>
    <x v="26"/>
    <n v="2.77"/>
    <n v="200"/>
    <n v="103.68"/>
    <n v="20736"/>
    <n v="0"/>
    <n v="0"/>
    <n v="2695.68"/>
    <n v="23431.68"/>
  </r>
  <r>
    <x v="34"/>
    <x v="3"/>
    <s v="Q2"/>
    <x v="0"/>
    <s v="KEPL/03031/81-82"/>
    <s v="DS SPICECO L &amp; D"/>
    <s v="Straight Pouch"/>
    <x v="13"/>
    <n v="2"/>
    <n v="200"/>
    <n v="102.14"/>
    <n v="20428"/>
    <s v=""/>
    <s v=""/>
    <s v=""/>
    <n v="20428"/>
  </r>
  <r>
    <x v="35"/>
    <x v="3"/>
    <s v="Q2"/>
    <x v="0"/>
    <s v="KEPL/03039/81-82"/>
    <s v="SIMPEX SOLUTION PVT. LTD"/>
    <s v="Cooking Paste"/>
    <x v="30"/>
    <n v="0.13"/>
    <n v="8"/>
    <n v="102.65"/>
    <n v="821.2"/>
    <n v="0"/>
    <n v="-56"/>
    <n v="99.48"/>
    <n v="864.68"/>
  </r>
  <r>
    <x v="36"/>
    <x v="3"/>
    <s v="Q2"/>
    <x v="0"/>
    <s v="KEPL/03047/81-82"/>
    <s v="DS SPICECO L &amp; D"/>
    <s v="Straight Pouch"/>
    <x v="12"/>
    <n v="0.11"/>
    <n v="4"/>
    <n v="243.34"/>
    <n v="973.36"/>
    <s v=""/>
    <s v=""/>
    <s v=""/>
    <n v="973.36"/>
  </r>
  <r>
    <x v="36"/>
    <x v="3"/>
    <s v="Q2"/>
    <x v="0"/>
    <s v="KEPL/03047/81-82"/>
    <s v="DS SPICECO L &amp; D"/>
    <s v="Straight Pouch"/>
    <x v="13"/>
    <n v="0.54"/>
    <n v="54"/>
    <n v="102.14"/>
    <n v="5515.5599999999995"/>
    <s v=""/>
    <s v=""/>
    <s v=""/>
    <n v="5515.56"/>
  </r>
  <r>
    <x v="36"/>
    <x v="3"/>
    <s v="Q2"/>
    <x v="0"/>
    <s v="KEPL/03048/81-82"/>
    <s v="DS SPICECO L &amp; D"/>
    <s v="Sprinkler"/>
    <x v="47"/>
    <n v="0.08"/>
    <n v="8"/>
    <n v="55.82"/>
    <n v="446.56"/>
    <n v="0"/>
    <n v="0"/>
    <n v="58.052688000000003"/>
    <n v="504.61268799999999"/>
  </r>
  <r>
    <x v="36"/>
    <x v="3"/>
    <s v="Q2"/>
    <x v="0"/>
    <s v="KEPL/03048/81-82"/>
    <s v="DS SPICECO L &amp; D"/>
    <s v="Blends"/>
    <x v="42"/>
    <n v="0.05"/>
    <n v="6"/>
    <n v="74.430000000000007"/>
    <n v="446.58"/>
    <n v="0"/>
    <n v="0"/>
    <n v="58.055287999999997"/>
    <n v="504.635288"/>
  </r>
  <r>
    <x v="36"/>
    <x v="3"/>
    <s v="Q2"/>
    <x v="0"/>
    <s v="KEPL/03048/81-82"/>
    <s v="DS SPICECO L &amp; D"/>
    <s v="Blends"/>
    <x v="41"/>
    <n v="0.03"/>
    <n v="4"/>
    <n v="127.6"/>
    <n v="510.4"/>
    <n v="0"/>
    <n v="0"/>
    <n v="66.351872"/>
    <n v="576.75187200000005"/>
  </r>
  <r>
    <x v="36"/>
    <x v="3"/>
    <s v="Q2"/>
    <x v="0"/>
    <s v="KEPL/03048/81-82"/>
    <s v="DS SPICECO L &amp; D"/>
    <s v="Straight Pouch"/>
    <x v="1"/>
    <n v="0.04"/>
    <n v="4"/>
    <n v="85.07"/>
    <n v="340.28"/>
    <n v="0"/>
    <n v="0"/>
    <n v="44.236315000000005"/>
    <n v="384.51631500000002"/>
  </r>
  <r>
    <x v="36"/>
    <x v="3"/>
    <s v="Q2"/>
    <x v="0"/>
    <s v="KEPL/03048/81-82"/>
    <s v="DS SPICECO L &amp; D"/>
    <s v="Sprinkler"/>
    <x v="25"/>
    <n v="0.17"/>
    <n v="8"/>
    <n v="244.57"/>
    <n v="1956.56"/>
    <n v="0"/>
    <n v="0"/>
    <n v="254.35230900000002"/>
    <n v="2210.9123089999998"/>
  </r>
  <r>
    <x v="36"/>
    <x v="3"/>
    <s v="Q2"/>
    <x v="0"/>
    <s v="KEPL/03048/81-82"/>
    <s v="DS SPICECO L &amp; D"/>
    <s v="Cooking Paste"/>
    <x v="30"/>
    <n v="7.0000000000000007E-2"/>
    <n v="4"/>
    <n v="77.09"/>
    <n v="308.36"/>
    <n v="0"/>
    <n v="0"/>
    <n v="40.086723000000006"/>
    <n v="348.44672300000002"/>
  </r>
  <r>
    <x v="36"/>
    <x v="3"/>
    <s v="Q2"/>
    <x v="0"/>
    <s v="KEPL/03048/81-82"/>
    <s v="DS SPICECO L &amp; D"/>
    <s v="Blends"/>
    <x v="21"/>
    <n v="0.05"/>
    <n v="4"/>
    <n v="148.88"/>
    <n v="595.52"/>
    <n v="0"/>
    <n v="0"/>
    <n v="77.417451"/>
    <n v="672.93745100000001"/>
  </r>
  <r>
    <x v="36"/>
    <x v="3"/>
    <s v="Q2"/>
    <x v="0"/>
    <s v="KEPL/03048/81-82"/>
    <s v="DS SPICECO L &amp; D"/>
    <s v="Blends"/>
    <x v="20"/>
    <n v="0.03"/>
    <n v="4"/>
    <n v="95.71"/>
    <n v="382.84"/>
    <n v="0"/>
    <n v="0"/>
    <n v="49.769103999999999"/>
    <n v="432.609104"/>
  </r>
  <r>
    <x v="36"/>
    <x v="3"/>
    <s v="Q2"/>
    <x v="0"/>
    <s v="KEPL/03048/81-82"/>
    <s v="DS SPICECO L &amp; D"/>
    <s v="Blends"/>
    <x v="11"/>
    <n v="0.01"/>
    <n v="1"/>
    <n v="50.51"/>
    <n v="50.51"/>
    <n v="0"/>
    <n v="0"/>
    <n v="6.566287"/>
    <n v="57.076287000000001"/>
  </r>
  <r>
    <x v="36"/>
    <x v="3"/>
    <s v="Q2"/>
    <x v="0"/>
    <s v="KEPL/03048/81-82"/>
    <s v="DS SPICECO L &amp; D"/>
    <s v="Straight Premium"/>
    <x v="34"/>
    <n v="0.03"/>
    <n v="2"/>
    <n v="180.77"/>
    <n v="361.54"/>
    <n v="0"/>
    <n v="0"/>
    <n v="47.000108999999995"/>
    <n v="408.54010899999997"/>
  </r>
  <r>
    <x v="36"/>
    <x v="3"/>
    <s v="Q2"/>
    <x v="0"/>
    <s v="KEPL/03048/81-82"/>
    <s v="DS SPICECO L &amp; D"/>
    <s v="Blends"/>
    <x v="14"/>
    <n v="0.02"/>
    <n v="4"/>
    <n v="106.9"/>
    <n v="427.6"/>
    <n v="0"/>
    <n v="0"/>
    <n v="55.587892999999994"/>
    <n v="483.18789299999997"/>
  </r>
  <r>
    <x v="36"/>
    <x v="3"/>
    <s v="Q2"/>
    <x v="0"/>
    <s v="KEPL/03048/81-82"/>
    <s v="DS SPICECO L &amp; D"/>
    <s v="Straight Premium"/>
    <x v="28"/>
    <n v="0.05"/>
    <n v="4"/>
    <n v="132.91999999999999"/>
    <n v="531.67999999999995"/>
    <n v="0"/>
    <n v="0"/>
    <n v="69.118267000000003"/>
    <n v="600.79826700000001"/>
  </r>
  <r>
    <x v="36"/>
    <x v="3"/>
    <s v="Q2"/>
    <x v="0"/>
    <s v="KEPL/03048/81-82"/>
    <s v="DS SPICECO L &amp; D"/>
    <s v="Cooking Paste"/>
    <x v="29"/>
    <n v="0.45"/>
    <n v="54"/>
    <n v="45.2"/>
    <n v="2440.8000000000002"/>
    <n v="0"/>
    <n v="0"/>
    <n v="317.30338800000004"/>
    <n v="2758.103388"/>
  </r>
  <r>
    <x v="36"/>
    <x v="3"/>
    <s v="Q2"/>
    <x v="0"/>
    <s v="KEPL/03048/81-82"/>
    <s v="DS SPICECO L &amp; D"/>
    <s v="Sprinkler"/>
    <x v="26"/>
    <n v="0.81"/>
    <n v="58"/>
    <n v="103.68"/>
    <n v="6013.44"/>
    <n v="0"/>
    <n v="0"/>
    <n v="781.74569199999996"/>
    <n v="6795.185692"/>
  </r>
  <r>
    <x v="36"/>
    <x v="3"/>
    <s v="Q2"/>
    <x v="0"/>
    <s v="KEPL/03048/81-82"/>
    <s v="DS SPICECO L &amp; D"/>
    <s v="Blends"/>
    <x v="16"/>
    <n v="0.03"/>
    <n v="4"/>
    <n v="95.71"/>
    <n v="382.84"/>
    <n v="0"/>
    <n v="0"/>
    <n v="49.769103999999999"/>
    <n v="432.609104"/>
  </r>
  <r>
    <x v="36"/>
    <x v="3"/>
    <s v="Q2"/>
    <x v="0"/>
    <s v="KEPL/03048/81-82"/>
    <s v="DS SPICECO L &amp; D"/>
    <s v="Straight Pouch"/>
    <x v="4"/>
    <n v="0.1"/>
    <n v="4"/>
    <n v="204.7"/>
    <n v="818.8"/>
    <n v="0"/>
    <n v="0"/>
    <n v="106.44379500000001"/>
    <n v="925.24379499999998"/>
  </r>
  <r>
    <x v="36"/>
    <x v="3"/>
    <s v="Q2"/>
    <x v="0"/>
    <s v="KEPL/03048/81-82"/>
    <s v="DS SPICECO L &amp; D"/>
    <s v="Straight Premium"/>
    <x v="22"/>
    <n v="0.2"/>
    <n v="8"/>
    <n v="233.94"/>
    <n v="1871.52"/>
    <n v="0"/>
    <n v="0"/>
    <n v="243.29713099999998"/>
    <n v="2114.8171309999998"/>
  </r>
  <r>
    <x v="36"/>
    <x v="3"/>
    <s v="Q2"/>
    <x v="0"/>
    <s v="KEPL/03048/81-82"/>
    <s v="DS SPICECO L &amp; D"/>
    <s v="Blends"/>
    <x v="9"/>
    <n v="0.01"/>
    <n v="1"/>
    <n v="55.82"/>
    <n v="55.82"/>
    <n v="0"/>
    <n v="0"/>
    <n v="7.2565860000000004"/>
    <n v="63.076585999999999"/>
  </r>
  <r>
    <x v="36"/>
    <x v="3"/>
    <s v="Q2"/>
    <x v="0"/>
    <s v="KEPL/03049/81-82"/>
    <s v="DS SPICECO L &amp; D"/>
    <s v="Blends"/>
    <x v="19"/>
    <n v="0.03"/>
    <n v="4"/>
    <n v="122.29"/>
    <n v="489.16"/>
    <n v="0"/>
    <n v="0"/>
    <n v="63.590796999999995"/>
    <n v="552.75079700000003"/>
  </r>
  <r>
    <x v="36"/>
    <x v="3"/>
    <s v="Q2"/>
    <x v="0"/>
    <s v="KEPL/03049/81-82"/>
    <s v="DS SPICECO L &amp; D"/>
    <s v="Blends"/>
    <x v="17"/>
    <n v="0.02"/>
    <n v="4"/>
    <n v="95.71"/>
    <n v="382.84"/>
    <n v="0"/>
    <n v="0"/>
    <n v="49.769198000000003"/>
    <n v="432.60919799999999"/>
  </r>
  <r>
    <x v="36"/>
    <x v="3"/>
    <s v="Q2"/>
    <x v="0"/>
    <s v="KEPL/03049/81-82"/>
    <s v="DS SPICECO L &amp; D"/>
    <s v="Combo"/>
    <x v="43"/>
    <n v="0.1"/>
    <n v="6"/>
    <n v="122.82"/>
    <n v="736.92"/>
    <n v="0"/>
    <n v="0"/>
    <n v="95.799595999999994"/>
    <n v="832.71959600000002"/>
  </r>
  <r>
    <x v="36"/>
    <x v="3"/>
    <s v="Q2"/>
    <x v="0"/>
    <s v="KEPL/03049/81-82"/>
    <s v="DS SPICECO L &amp; D"/>
    <s v="Blends"/>
    <x v="36"/>
    <n v="0.05"/>
    <n v="4"/>
    <n v="127.6"/>
    <n v="510.4"/>
    <n v="0"/>
    <n v="0"/>
    <n v="66.351996999999997"/>
    <n v="576.75199699999996"/>
  </r>
  <r>
    <x v="36"/>
    <x v="3"/>
    <s v="Q2"/>
    <x v="0"/>
    <s v="KEPL/03049/81-82"/>
    <s v="DS SPICECO L &amp; D"/>
    <s v="Straight Pouch"/>
    <x v="3"/>
    <n v="0.1"/>
    <n v="4"/>
    <n v="379.62"/>
    <n v="1518.48"/>
    <n v="0"/>
    <n v="0"/>
    <n v="197.40239199999999"/>
    <n v="1715.882392"/>
  </r>
  <r>
    <x v="36"/>
    <x v="3"/>
    <s v="Q2"/>
    <x v="0"/>
    <s v="KEPL/03049/81-82"/>
    <s v="DS SPICECO L &amp; D"/>
    <s v="Straight Pouch"/>
    <x v="6"/>
    <n v="0.04"/>
    <n v="4"/>
    <n v="156.32"/>
    <n v="625.28"/>
    <n v="0"/>
    <n v="0"/>
    <n v="81.286396999999994"/>
    <n v="706.56639700000005"/>
  </r>
  <r>
    <x v="36"/>
    <x v="3"/>
    <s v="Q2"/>
    <x v="0"/>
    <s v="KEPL/03049/81-82"/>
    <s v="DS SPICECO L &amp; D"/>
    <s v="Blends"/>
    <x v="15"/>
    <n v="0.02"/>
    <n v="4"/>
    <n v="90.38"/>
    <n v="361.52"/>
    <n v="0"/>
    <n v="0"/>
    <n v="46.997598000000004"/>
    <n v="408.51759800000002"/>
  </r>
  <r>
    <x v="36"/>
    <x v="3"/>
    <s v="Q2"/>
    <x v="0"/>
    <s v="KEPL/03049/81-82"/>
    <s v="DS SPICECO L &amp; D"/>
    <s v="Blends"/>
    <x v="45"/>
    <n v="0.05"/>
    <n v="4"/>
    <n v="111.66"/>
    <n v="446.64"/>
    <n v="0"/>
    <n v="0"/>
    <n v="58.063198"/>
    <n v="504.70319799999999"/>
  </r>
  <r>
    <x v="36"/>
    <x v="3"/>
    <s v="Q2"/>
    <x v="0"/>
    <s v="KEPL/03049/81-82"/>
    <s v="DS SPICECO L &amp; D"/>
    <s v="Blends"/>
    <x v="2"/>
    <n v="0.01"/>
    <n v="1"/>
    <n v="50.51"/>
    <n v="50.51"/>
    <n v="0"/>
    <n v="0"/>
    <n v="6.5663"/>
    <n v="57.076300000000003"/>
  </r>
  <r>
    <x v="36"/>
    <x v="3"/>
    <s v="Q2"/>
    <x v="0"/>
    <s v="KEPL/03049/81-82"/>
    <s v="DS SPICECO L &amp; D"/>
    <s v="Blends"/>
    <x v="27"/>
    <n v="0.05"/>
    <n v="6"/>
    <n v="96.91"/>
    <n v="581.46"/>
    <n v="0"/>
    <n v="0"/>
    <n v="75.58979699999999"/>
    <n v="657.04979700000001"/>
  </r>
  <r>
    <x v="36"/>
    <x v="3"/>
    <s v="Q2"/>
    <x v="0"/>
    <s v="KEPL/03049/81-82"/>
    <s v="DS SPICECO L &amp; D"/>
    <s v="Blends"/>
    <x v="44"/>
    <n v="0.02"/>
    <n v="4"/>
    <n v="101.02"/>
    <n v="404.08"/>
    <n v="0"/>
    <n v="0"/>
    <n v="52.530397999999998"/>
    <n v="456.61039799999998"/>
  </r>
  <r>
    <x v="36"/>
    <x v="3"/>
    <s v="Q2"/>
    <x v="0"/>
    <s v="KEPL/03049/81-82"/>
    <s v="DS SPICECO L &amp; D"/>
    <s v="Straight Premium"/>
    <x v="5"/>
    <n v="0.01"/>
    <n v="1"/>
    <n v="78.16"/>
    <n v="78.16"/>
    <n v="0"/>
    <n v="0"/>
    <n v="10.1608"/>
    <n v="88.320800000000006"/>
  </r>
  <r>
    <x v="36"/>
    <x v="3"/>
    <s v="Q2"/>
    <x v="0"/>
    <s v="KEPL/03049/81-82"/>
    <s v="DS SPICECO L &amp; D"/>
    <s v="Sprinkler"/>
    <x v="31"/>
    <n v="0.81"/>
    <n v="58"/>
    <n v="116.97"/>
    <n v="6784.26"/>
    <n v="0"/>
    <n v="0"/>
    <n v="881.95376399999998"/>
    <n v="7666.2137640000001"/>
  </r>
  <r>
    <x v="36"/>
    <x v="3"/>
    <s v="Q2"/>
    <x v="0"/>
    <s v="KEPL/03049/81-82"/>
    <s v="DS SPICECO L &amp; D"/>
    <s v="Sprinkler"/>
    <x v="46"/>
    <n v="0.08"/>
    <n v="8"/>
    <n v="77.099999999999994"/>
    <n v="616.79999999999995"/>
    <n v="0"/>
    <n v="0"/>
    <n v="80.183996999999991"/>
    <n v="696.98399700000004"/>
  </r>
  <r>
    <x v="36"/>
    <x v="3"/>
    <s v="Q2"/>
    <x v="0"/>
    <s v="KEPL/03049/81-82"/>
    <s v="DS SPICECO L &amp; D"/>
    <s v="Straight Premium"/>
    <x v="23"/>
    <n v="0.02"/>
    <n v="4"/>
    <n v="150.72999999999999"/>
    <n v="602.91999999999996"/>
    <n v="0"/>
    <n v="0"/>
    <n v="78.37959699999999"/>
    <n v="681.29959699999995"/>
  </r>
  <r>
    <x v="36"/>
    <x v="3"/>
    <s v="Q2"/>
    <x v="0"/>
    <s v="KEPL/03049/81-82"/>
    <s v="DS SPICECO L &amp; D"/>
    <s v="Blends"/>
    <x v="32"/>
    <n v="0.42"/>
    <n v="50"/>
    <n v="50.51"/>
    <n v="2525.5"/>
    <n v="0"/>
    <n v="0"/>
    <n v="328.31498700000003"/>
    <n v="2853.8149870000002"/>
  </r>
  <r>
    <x v="36"/>
    <x v="3"/>
    <s v="Q2"/>
    <x v="0"/>
    <s v="KEPL/03049/81-82"/>
    <s v="DS SPICECO L &amp; D"/>
    <s v="Straight Premium"/>
    <x v="24"/>
    <n v="0.11"/>
    <n v="4"/>
    <n v="345.6"/>
    <n v="1382.4"/>
    <n v="0"/>
    <n v="0"/>
    <n v="179.71199300000001"/>
    <n v="1562.111993"/>
  </r>
  <r>
    <x v="36"/>
    <x v="3"/>
    <s v="Q2"/>
    <x v="0"/>
    <s v="KEPL/03049/81-82"/>
    <s v="DS SPICECO L &amp; D"/>
    <s v="Straight Premium"/>
    <x v="8"/>
    <n v="0.03"/>
    <n v="4"/>
    <n v="45.2"/>
    <n v="180.8"/>
    <n v="0"/>
    <n v="0"/>
    <n v="23.503999"/>
    <n v="204.303999"/>
  </r>
  <r>
    <x v="36"/>
    <x v="3"/>
    <s v="Q2"/>
    <x v="0"/>
    <s v="KEPL/03049/81-82"/>
    <s v="DS SPICECO L &amp; D"/>
    <s v="Blends"/>
    <x v="35"/>
    <n v="0.05"/>
    <n v="4"/>
    <n v="132.91"/>
    <n v="531.64"/>
    <n v="0"/>
    <n v="0"/>
    <n v="69.113197"/>
    <n v="600.753197"/>
  </r>
  <r>
    <x v="37"/>
    <x v="3"/>
    <s v="Q2"/>
    <x v="0"/>
    <s v="KESR/0179/81-82"/>
    <s v="AARYA TRADE LINK PVT.LTD"/>
    <s v="Blends"/>
    <x v="2"/>
    <n v="-0.06"/>
    <n v="-10"/>
    <n v="64.23"/>
    <n v="-642.29999999999995"/>
    <n v="24.66"/>
    <n v="0"/>
    <n v="-80.292640000000006"/>
    <n v="-697.93263999999999"/>
  </r>
  <r>
    <x v="37"/>
    <x v="3"/>
    <s v="Q2"/>
    <x v="0"/>
    <s v="KESR/0179/81-82"/>
    <s v="AARYA TRADE LINK PVT.LTD"/>
    <s v="Blends"/>
    <x v="10"/>
    <n v="-0.06"/>
    <n v="-10"/>
    <n v="60.84"/>
    <n v="-608.4"/>
    <n v="23.36"/>
    <n v="0"/>
    <n v="-76.05466899999999"/>
    <n v="-661.09466899999995"/>
  </r>
  <r>
    <x v="37"/>
    <x v="3"/>
    <s v="Q2"/>
    <x v="0"/>
    <s v="KESR/0179/81-82"/>
    <s v="AARYA TRADE LINK PVT.LTD"/>
    <s v="Blends"/>
    <x v="11"/>
    <n v="-0.11"/>
    <n v="-20"/>
    <n v="64.23"/>
    <n v="-1284.5999999999999"/>
    <n v="49.33"/>
    <n v="0"/>
    <n v="-160.583979"/>
    <n v="-1395.853979"/>
  </r>
  <r>
    <x v="37"/>
    <x v="3"/>
    <s v="Q2"/>
    <x v="0"/>
    <s v="KESR/0179/81-82"/>
    <s v="AARYA TRADE LINK PVT.LTD"/>
    <s v="Straight Premium"/>
    <x v="5"/>
    <n v="-0.11"/>
    <n v="-19"/>
    <n v="94.65"/>
    <n v="-1798.3500000000001"/>
    <n v="69.06"/>
    <n v="0"/>
    <n v="-224.80613099999999"/>
    <n v="-1954.096131"/>
  </r>
  <r>
    <x v="37"/>
    <x v="3"/>
    <s v="Q2"/>
    <x v="0"/>
    <s v="KESR/0179/81-82"/>
    <s v="AARYA TRADE LINK PVT.LTD"/>
    <s v="Blends"/>
    <x v="9"/>
    <n v="-0.06"/>
    <n v="-10"/>
    <n v="70.989999999999995"/>
    <n v="-709.9"/>
    <n v="27.26"/>
    <n v="0"/>
    <n v="-88.742581000000001"/>
    <n v="-771.38258099999996"/>
  </r>
  <r>
    <x v="38"/>
    <x v="3"/>
    <s v="Q2"/>
    <x v="0"/>
    <s v="KEPL/03071/81-82"/>
    <s v="DS SPICECO L &amp; D"/>
    <s v="Blends"/>
    <x v="20"/>
    <n v="0.02"/>
    <n v="2"/>
    <n v="99.68"/>
    <n v="199.36"/>
    <n v="0"/>
    <n v="0"/>
    <n v="25.916225000000001"/>
    <n v="225.27622500000001"/>
  </r>
  <r>
    <x v="38"/>
    <x v="3"/>
    <s v="Q2"/>
    <x v="0"/>
    <s v="KEPL/03071/81-82"/>
    <s v="DS SPICECO L &amp; D"/>
    <s v="Straight Premium"/>
    <x v="8"/>
    <n v="0.01"/>
    <n v="1"/>
    <n v="47.5"/>
    <n v="47.5"/>
    <n v="0"/>
    <n v="0"/>
    <n v="6.1748630000000002"/>
    <n v="53.674863000000002"/>
  </r>
  <r>
    <x v="38"/>
    <x v="3"/>
    <s v="Q2"/>
    <x v="0"/>
    <s v="KEPL/03071/81-82"/>
    <s v="DS SPICECO L &amp; D"/>
    <s v="Straight Pouch"/>
    <x v="13"/>
    <n v="0.05"/>
    <n v="5"/>
    <n v="102.14"/>
    <n v="510.7"/>
    <n v="0"/>
    <n v="0"/>
    <n v="66.389527000000001"/>
    <n v="577.08952699999998"/>
  </r>
  <r>
    <x v="38"/>
    <x v="3"/>
    <s v="Q2"/>
    <x v="0"/>
    <s v="KEPL/03071/81-82"/>
    <s v="DS SPICECO L &amp; D"/>
    <s v="Cooking Paste"/>
    <x v="30"/>
    <n v="0.05"/>
    <n v="3"/>
    <n v="80.3"/>
    <n v="240.9"/>
    <n v="0"/>
    <n v="0"/>
    <n v="31.316305"/>
    <n v="272.21630499999998"/>
  </r>
  <r>
    <x v="38"/>
    <x v="3"/>
    <s v="Q2"/>
    <x v="0"/>
    <s v="KEPL/03071/81-82"/>
    <s v="DS SPICECO L &amp; D"/>
    <s v="Straight Premium"/>
    <x v="22"/>
    <n v="0.03"/>
    <n v="1"/>
    <n v="243.69"/>
    <n v="243.69"/>
    <n v="0"/>
    <n v="0"/>
    <n v="31.678996999999999"/>
    <n v="275.36899699999998"/>
  </r>
  <r>
    <x v="38"/>
    <x v="3"/>
    <s v="Q2"/>
    <x v="0"/>
    <s v="KEPL/03072/81-82"/>
    <s v="DS SPICECO L &amp; D"/>
    <s v="Sprinkler"/>
    <x v="26"/>
    <n v="0.03"/>
    <n v="2"/>
    <n v="103.68"/>
    <n v="207.36"/>
    <n v="0"/>
    <n v="0"/>
    <n v="26.956800000000001"/>
    <n v="234.3168"/>
  </r>
  <r>
    <x v="38"/>
    <x v="3"/>
    <s v="Q2"/>
    <x v="0"/>
    <s v="KEPL/03072/81-82"/>
    <s v="DS SPICECO L &amp; D"/>
    <s v="Cooking Paste"/>
    <x v="30"/>
    <n v="0.05"/>
    <n v="3"/>
    <n v="77.09"/>
    <n v="231.27"/>
    <n v="0"/>
    <n v="0"/>
    <n v="30.065100000000001"/>
    <n v="261.33510000000001"/>
  </r>
  <r>
    <x v="38"/>
    <x v="3"/>
    <s v="Q2"/>
    <x v="0"/>
    <s v="KEPL/03072/81-82"/>
    <s v="DS SPICECO L &amp; D"/>
    <s v="Sprinkler"/>
    <x v="25"/>
    <n v="0.02"/>
    <n v="1"/>
    <n v="244.57"/>
    <n v="244.57"/>
    <n v="0"/>
    <n v="0"/>
    <n v="31.7941"/>
    <n v="276.36410000000001"/>
  </r>
  <r>
    <x v="38"/>
    <x v="3"/>
    <s v="Q2"/>
    <x v="0"/>
    <s v="KEPL/03072/81-82"/>
    <s v="DS SPICECO L &amp; D"/>
    <s v="Blends"/>
    <x v="27"/>
    <n v="0.02"/>
    <n v="2"/>
    <n v="96.91"/>
    <n v="193.82"/>
    <n v="0"/>
    <n v="0"/>
    <n v="25.1966"/>
    <n v="219.01660000000001"/>
  </r>
  <r>
    <x v="38"/>
    <x v="3"/>
    <s v="Q2"/>
    <x v="0"/>
    <s v="KEPL/03072/81-82"/>
    <s v="DS SPICECO L &amp; D"/>
    <s v="Straight Premium"/>
    <x v="24"/>
    <n v="0.05"/>
    <n v="2"/>
    <n v="345.6"/>
    <n v="691.2"/>
    <n v="0"/>
    <n v="0"/>
    <n v="89.855999999999995"/>
    <n v="781.05600000000004"/>
  </r>
  <r>
    <x v="38"/>
    <x v="3"/>
    <s v="Q2"/>
    <x v="0"/>
    <s v="KEPL/03072/81-82"/>
    <s v="DS SPICECO L &amp; D"/>
    <s v="Straight Premium"/>
    <x v="22"/>
    <n v="0.05"/>
    <n v="2"/>
    <n v="233.94"/>
    <n v="467.88"/>
    <n v="0"/>
    <n v="0"/>
    <n v="60.824399999999997"/>
    <n v="528.70439999999996"/>
  </r>
  <r>
    <x v="38"/>
    <x v="3"/>
    <s v="Q2"/>
    <x v="0"/>
    <s v="KEPL/03072/81-82"/>
    <s v="DS SPICECO L &amp; D"/>
    <s v="Cooking Paste"/>
    <x v="30"/>
    <n v="0.03"/>
    <n v="2"/>
    <n v="77.09"/>
    <n v="154.18"/>
    <n v="0"/>
    <n v="0"/>
    <n v="20.043399999999998"/>
    <n v="174.2234"/>
  </r>
  <r>
    <x v="38"/>
    <x v="3"/>
    <s v="Q2"/>
    <x v="0"/>
    <s v="KEPL/03072/81-82"/>
    <s v="DS SPICECO L &amp; D"/>
    <s v="Blends"/>
    <x v="15"/>
    <n v="0.01"/>
    <n v="2"/>
    <n v="90.38"/>
    <n v="180.76"/>
    <n v="0"/>
    <n v="0"/>
    <n v="23.498799999999999"/>
    <n v="204.25880000000001"/>
  </r>
  <r>
    <x v="38"/>
    <x v="3"/>
    <s v="Q2"/>
    <x v="0"/>
    <s v="KEPL/03072/81-82"/>
    <s v="DS SPICECO L &amp; D"/>
    <s v="Straight Premium"/>
    <x v="8"/>
    <n v="0.01"/>
    <n v="1"/>
    <n v="47.5"/>
    <n v="47.5"/>
    <n v="0"/>
    <n v="0"/>
    <n v="6.1749999999999998"/>
    <n v="53.674999999999997"/>
  </r>
  <r>
    <x v="38"/>
    <x v="3"/>
    <s v="Q2"/>
    <x v="0"/>
    <s v="KEPL/03072/81-82"/>
    <s v="DS SPICECO L &amp; D"/>
    <s v="Blends"/>
    <x v="9"/>
    <n v="0.02"/>
    <n v="3"/>
    <n v="55.82"/>
    <n v="167.46"/>
    <n v="0"/>
    <n v="0"/>
    <n v="21.7698"/>
    <n v="189.22980000000001"/>
  </r>
  <r>
    <x v="39"/>
    <x v="3"/>
    <s v="Q2"/>
    <x v="0"/>
    <s v="KEPL/00030/82-83"/>
    <s v="BHAT BHATENI SUPERMARKET &amp; DEPARTMENTAL STORE PVT. LTD."/>
    <s v="Straight Pouch"/>
    <x v="13"/>
    <n v="4"/>
    <n v="400"/>
    <n v="119"/>
    <n v="47600.000000000007"/>
    <s v=""/>
    <s v=""/>
    <s v=""/>
    <n v="47600"/>
  </r>
  <r>
    <x v="39"/>
    <x v="3"/>
    <s v="Q2"/>
    <x v="0"/>
    <s v="KEPL/00030/82-83"/>
    <s v="BHAT BHATENI SUPERMARKET &amp; DEPARTMENTAL STORE PVT. LTD."/>
    <s v="Straight Pouch"/>
    <x v="12"/>
    <n v="4"/>
    <n v="160"/>
    <n v="283.5"/>
    <n v="45360.000000000007"/>
    <s v=""/>
    <s v=""/>
    <s v=""/>
    <n v="45360"/>
  </r>
  <r>
    <x v="39"/>
    <x v="3"/>
    <s v="Q2"/>
    <x v="0"/>
    <s v="KEPL/00031/82-83"/>
    <s v="BHAT BHATENI SUPERMARKET &amp; DEPARTMENTAL STORE PVT. LTD."/>
    <s v="Sprinkler"/>
    <x v="25"/>
    <n v="3.88"/>
    <n v="186"/>
    <n v="284.95999999999998"/>
    <n v="53002.559999999998"/>
    <n v="0"/>
    <n v="0"/>
    <n v="6890.3325290000002"/>
    <n v="59892.892528999997"/>
  </r>
  <r>
    <x v="39"/>
    <x v="3"/>
    <s v="Q2"/>
    <x v="0"/>
    <s v="KEPL/00031/82-83"/>
    <s v="BHAT BHATENI SUPERMARKET &amp; DEPARTMENTAL STORE PVT. LTD."/>
    <s v="Blends"/>
    <x v="16"/>
    <n v="0.5"/>
    <n v="60"/>
    <n v="111.5"/>
    <n v="6689.9999999999991"/>
    <n v="0"/>
    <n v="0"/>
    <n v="869.69996600000002"/>
    <n v="7559.6999660000001"/>
  </r>
  <r>
    <x v="39"/>
    <x v="3"/>
    <s v="Q2"/>
    <x v="0"/>
    <s v="KEPL/00031/82-83"/>
    <s v="BHAT BHATENI SUPERMARKET &amp; DEPARTMENTAL STORE PVT. LTD."/>
    <s v="Sprinkler"/>
    <x v="31"/>
    <n v="6"/>
    <n v="432"/>
    <n v="136.28"/>
    <n v="58872.959999999999"/>
    <n v="0"/>
    <n v="0"/>
    <n v="7653.4844990000001"/>
    <n v="66526.444499000005"/>
  </r>
  <r>
    <x v="39"/>
    <x v="3"/>
    <s v="Q2"/>
    <x v="0"/>
    <s v="KEPL/00031/82-83"/>
    <s v="BHAT BHATENI SUPERMARKET &amp; DEPARTMENTAL STORE PVT. LTD."/>
    <s v="Cooking Paste"/>
    <x v="29"/>
    <n v="4.25"/>
    <n v="510"/>
    <n v="52.65"/>
    <n v="26851.499999999996"/>
    <n v="0"/>
    <n v="0"/>
    <n v="3490.6948630000002"/>
    <n v="30342.194863000001"/>
  </r>
  <r>
    <x v="39"/>
    <x v="3"/>
    <s v="Q2"/>
    <x v="0"/>
    <s v="KEPL/00031/82-83"/>
    <s v="BHAT BHATENI SUPERMARKET &amp; DEPARTMENTAL STORE PVT. LTD."/>
    <s v="Straight Premium"/>
    <x v="24"/>
    <n v="2"/>
    <n v="80"/>
    <n v="402.65"/>
    <n v="32212"/>
    <n v="0"/>
    <n v="0"/>
    <n v="4187.5598360000004"/>
    <n v="36399.559836"/>
  </r>
  <r>
    <x v="39"/>
    <x v="3"/>
    <s v="Q2"/>
    <x v="0"/>
    <s v="KEPL/00031/82-83"/>
    <s v="BHAT BHATENI SUPERMARKET &amp; DEPARTMENTAL STORE PVT. LTD."/>
    <s v="Blends"/>
    <x v="19"/>
    <n v="1.5"/>
    <n v="270"/>
    <n v="142.47999999999999"/>
    <n v="38469.599999999999"/>
    <n v="0"/>
    <n v="0"/>
    <n v="5001.0478040000007"/>
    <n v="43470.647804"/>
  </r>
  <r>
    <x v="39"/>
    <x v="3"/>
    <s v="Q2"/>
    <x v="0"/>
    <s v="KEPL/00031/82-83"/>
    <s v="BHAT BHATENI SUPERMARKET &amp; DEPARTMENTAL STORE PVT. LTD."/>
    <s v="Straight Pouch"/>
    <x v="6"/>
    <n v="4"/>
    <n v="400"/>
    <n v="173.45"/>
    <n v="69380"/>
    <n v="0"/>
    <n v="0"/>
    <n v="9019.3996459999998"/>
    <n v="78399.399646000005"/>
  </r>
  <r>
    <x v="39"/>
    <x v="3"/>
    <s v="Q2"/>
    <x v="0"/>
    <s v="KEPL/00031/82-83"/>
    <s v="BHAT BHATENI SUPERMARKET &amp; DEPARTMENTAL STORE PVT. LTD."/>
    <s v="Straight Premium"/>
    <x v="28"/>
    <n v="2"/>
    <n v="160"/>
    <n v="154.87"/>
    <n v="24779.200000000001"/>
    <n v="0"/>
    <n v="0"/>
    <n v="3221.295873"/>
    <n v="28000.495873"/>
  </r>
  <r>
    <x v="39"/>
    <x v="3"/>
    <s v="Q2"/>
    <x v="0"/>
    <s v="KEPL/00031/82-83"/>
    <s v="BHAT BHATENI SUPERMARKET &amp; DEPARTMENTAL STORE PVT. LTD."/>
    <s v="Blends"/>
    <x v="18"/>
    <n v="2"/>
    <n v="240"/>
    <n v="130.09"/>
    <n v="31221.600000000002"/>
    <n v="0"/>
    <n v="0"/>
    <n v="4058.8078410000003"/>
    <n v="35280.407841"/>
  </r>
  <r>
    <x v="39"/>
    <x v="3"/>
    <s v="Q2"/>
    <x v="0"/>
    <s v="KEPL/00031/82-83"/>
    <s v="BHAT BHATENI SUPERMARKET &amp; DEPARTMENTAL STORE PVT. LTD."/>
    <s v="Straight Pouch"/>
    <x v="3"/>
    <n v="4"/>
    <n v="160"/>
    <n v="421.24"/>
    <n v="67398.399999999994"/>
    <n v="0"/>
    <n v="0"/>
    <n v="8761.7916559999994"/>
    <n v="76160.191655999995"/>
  </r>
  <r>
    <x v="39"/>
    <x v="3"/>
    <s v="Q2"/>
    <x v="0"/>
    <s v="KEPL/00031/82-83"/>
    <s v="BHAT BHATENI SUPERMARKET &amp; DEPARTMENTAL STORE PVT. LTD."/>
    <s v="Straight Premium"/>
    <x v="7"/>
    <n v="0.5"/>
    <n v="60"/>
    <n v="139.38"/>
    <n v="8362.8000000000011"/>
    <n v="0"/>
    <n v="0"/>
    <n v="1087.163957"/>
    <n v="9449.9639569999999"/>
  </r>
  <r>
    <x v="39"/>
    <x v="3"/>
    <s v="Q2"/>
    <x v="0"/>
    <s v="KEPL/00031/82-83"/>
    <s v="BHAT BHATENI SUPERMARKET &amp; DEPARTMENTAL STORE PVT. LTD."/>
    <s v="Straight Premium"/>
    <x v="8"/>
    <n v="6"/>
    <n v="720"/>
    <n v="52.65"/>
    <n v="37908"/>
    <n v="0"/>
    <n v="0"/>
    <n v="4928.0398059999998"/>
    <n v="42836.039806000001"/>
  </r>
  <r>
    <x v="39"/>
    <x v="3"/>
    <s v="Q2"/>
    <x v="0"/>
    <s v="KEPL/00031/82-83"/>
    <s v="BHAT BHATENI SUPERMARKET &amp; DEPARTMENTAL STORE PVT. LTD."/>
    <s v="Straight Premium"/>
    <x v="22"/>
    <n v="4"/>
    <n v="160"/>
    <n v="272.57"/>
    <n v="43611.199999999997"/>
    <n v="0"/>
    <n v="0"/>
    <n v="5669.4557770000001"/>
    <n v="49280.655777"/>
  </r>
  <r>
    <x v="39"/>
    <x v="3"/>
    <s v="Q2"/>
    <x v="0"/>
    <s v="KEPL/00031/82-83"/>
    <s v="BHAT BHATENI SUPERMARKET &amp; DEPARTMENTAL STORE PVT. LTD."/>
    <s v="Sprinkler"/>
    <x v="26"/>
    <n v="6"/>
    <n v="432"/>
    <n v="120.8"/>
    <n v="52185.599999999999"/>
    <n v="0"/>
    <n v="0"/>
    <n v="6784.1277340000006"/>
    <n v="58969.727734"/>
  </r>
  <r>
    <x v="39"/>
    <x v="3"/>
    <s v="Q2"/>
    <x v="0"/>
    <s v="KEPL/00031/82-83"/>
    <s v="BHAT BHATENI SUPERMARKET &amp; DEPARTMENTAL STORE PVT. LTD."/>
    <s v="Straight Pouch"/>
    <x v="1"/>
    <n v="6"/>
    <n v="600"/>
    <n v="99.12"/>
    <n v="59471.999999999993"/>
    <n v="0"/>
    <n v="0"/>
    <n v="7731.3596960000004"/>
    <n v="67203.359696"/>
  </r>
  <r>
    <x v="39"/>
    <x v="3"/>
    <s v="Q2"/>
    <x v="0"/>
    <s v="KEPL/00031/82-83"/>
    <s v="BHAT BHATENI SUPERMARKET &amp; DEPARTMENTAL STORE PVT. LTD."/>
    <s v="Cooking Paste"/>
    <x v="30"/>
    <n v="9.5"/>
    <n v="570"/>
    <n v="89.82"/>
    <n v="51197.4"/>
    <n v="0"/>
    <n v="0"/>
    <n v="6655.6617390000001"/>
    <n v="57853.061738999997"/>
  </r>
  <r>
    <x v="39"/>
    <x v="3"/>
    <s v="Q2"/>
    <x v="0"/>
    <s v="KEPL/00031/82-83"/>
    <s v="BHAT BHATENI SUPERMARKET &amp; DEPARTMENTAL STORE PVT. LTD."/>
    <s v="Straight Pouch"/>
    <x v="4"/>
    <n v="3"/>
    <n v="120"/>
    <n v="238.5"/>
    <n v="28620"/>
    <n v="0"/>
    <n v="0"/>
    <n v="3720.5998540000001"/>
    <n v="32340.599854"/>
  </r>
  <r>
    <x v="39"/>
    <x v="3"/>
    <s v="Q2"/>
    <x v="0"/>
    <s v="KEPL/00031/82-83"/>
    <s v="BHAT BHATENI SUPERMARKET &amp; DEPARTMENTAL STORE PVT. LTD."/>
    <s v="Straight Premium"/>
    <x v="23"/>
    <n v="7"/>
    <n v="1260"/>
    <n v="167.26"/>
    <n v="210747.6"/>
    <n v="0"/>
    <n v="0"/>
    <n v="27397.186924000001"/>
    <n v="238144.78692400001"/>
  </r>
  <r>
    <x v="39"/>
    <x v="3"/>
    <s v="Q2"/>
    <x v="0"/>
    <s v="KEPL/00033/82-83"/>
    <s v="SAFAL MART PVT.LTD"/>
    <s v="Blends"/>
    <x v="45"/>
    <n v="0.5"/>
    <n v="40"/>
    <n v="141.97"/>
    <n v="5678.7999999999993"/>
    <n v="-516.20000000000005"/>
    <n v="0"/>
    <n v="671.137967"/>
    <n v="5833.737967"/>
  </r>
  <r>
    <x v="39"/>
    <x v="3"/>
    <s v="Q2"/>
    <x v="0"/>
    <s v="KEPL/00033/82-83"/>
    <s v="SAFAL MART PVT.LTD"/>
    <s v="Blends"/>
    <x v="21"/>
    <n v="1"/>
    <n v="80"/>
    <n v="189.3"/>
    <n v="15144"/>
    <n v="-1376.5900000000001"/>
    <n v="0"/>
    <n v="1789.7632119999998"/>
    <n v="15557.173212"/>
  </r>
  <r>
    <x v="39"/>
    <x v="3"/>
    <s v="Q2"/>
    <x v="0"/>
    <s v="KEPL/00033/82-83"/>
    <s v="SAFAL MART PVT.LTD"/>
    <s v="Straight Premium"/>
    <x v="22"/>
    <n v="1"/>
    <n v="40"/>
    <n v="297.45999999999998"/>
    <n v="11898.4"/>
    <n v="-1081.56"/>
    <n v="0"/>
    <n v="1406.1891310000001"/>
    <n v="12223.029130999999"/>
  </r>
  <r>
    <x v="39"/>
    <x v="3"/>
    <s v="Q2"/>
    <x v="0"/>
    <s v="KEPL/00033/82-83"/>
    <s v="SAFAL MART PVT.LTD"/>
    <s v="Blends"/>
    <x v="36"/>
    <n v="1"/>
    <n v="80"/>
    <n v="162.25"/>
    <n v="12979.999999999998"/>
    <n v="-1179.8800000000001"/>
    <n v="0"/>
    <n v="1534.0155240000001"/>
    <n v="13334.135523999999"/>
  </r>
  <r>
    <x v="39"/>
    <x v="3"/>
    <s v="Q2"/>
    <x v="0"/>
    <s v="KEPL/00033/82-83"/>
    <s v="SAFAL MART PVT.LTD"/>
    <s v="Blends"/>
    <x v="15"/>
    <n v="0.33"/>
    <n v="60"/>
    <n v="114.93"/>
    <n v="6895.8"/>
    <n v="-626.83000000000004"/>
    <n v="0"/>
    <n v="814.96605999999997"/>
    <n v="7083.93606"/>
  </r>
  <r>
    <x v="39"/>
    <x v="3"/>
    <s v="Q2"/>
    <x v="0"/>
    <s v="KEPL/00033/82-83"/>
    <s v="SAFAL MART PVT.LTD"/>
    <s v="Blends"/>
    <x v="17"/>
    <n v="1"/>
    <n v="180"/>
    <n v="121.69"/>
    <n v="21904.199999999997"/>
    <n v="-1991.09"/>
    <n v="0"/>
    <n v="2588.7041720000002"/>
    <n v="22501.814171999999"/>
  </r>
  <r>
    <x v="39"/>
    <x v="3"/>
    <s v="Q2"/>
    <x v="0"/>
    <s v="KEPL/00033/82-83"/>
    <s v="SAFAL MART PVT.LTD"/>
    <s v="Blends"/>
    <x v="20"/>
    <n v="1"/>
    <n v="120"/>
    <n v="121.69"/>
    <n v="14602.800000000001"/>
    <n v="-1327.39"/>
    <n v="0"/>
    <n v="1725.8032149999999"/>
    <n v="15001.213215"/>
  </r>
  <r>
    <x v="39"/>
    <x v="3"/>
    <s v="Q2"/>
    <x v="0"/>
    <s v="KEPL/00033/82-83"/>
    <s v="SAFAL MART PVT.LTD"/>
    <s v="Straight Pouch"/>
    <x v="4"/>
    <n v="2"/>
    <n v="80"/>
    <n v="260.27999999999997"/>
    <n v="20822.400000000001"/>
    <n v="-1892.76"/>
    <n v="0"/>
    <n v="2460.8530779999996"/>
    <n v="21390.493078"/>
  </r>
  <r>
    <x v="39"/>
    <x v="3"/>
    <s v="Q2"/>
    <x v="0"/>
    <s v="KEPL/00033/82-83"/>
    <s v="SAFAL MART PVT.LTD"/>
    <s v="Blends"/>
    <x v="14"/>
    <n v="1"/>
    <n v="180"/>
    <n v="135.21"/>
    <n v="24337.8"/>
    <n v="-2212.31"/>
    <n v="0"/>
    <n v="2876.3135579999998"/>
    <n v="25001.803558"/>
  </r>
  <r>
    <x v="39"/>
    <x v="3"/>
    <s v="Q2"/>
    <x v="0"/>
    <s v="KEPL/00033/82-83"/>
    <s v="SAFAL MART PVT.LTD"/>
    <s v="Blends"/>
    <x v="19"/>
    <n v="1"/>
    <n v="180"/>
    <n v="155.49"/>
    <n v="27988.2"/>
    <n v="-2544.13"/>
    <n v="0"/>
    <n v="3307.7289369999999"/>
    <n v="28751.798937"/>
  </r>
  <r>
    <x v="39"/>
    <x v="3"/>
    <s v="Q2"/>
    <x v="0"/>
    <s v="KEPL/00033/82-83"/>
    <s v="SAFAL MART PVT.LTD"/>
    <s v="Blends"/>
    <x v="41"/>
    <n v="0.33"/>
    <n v="40"/>
    <n v="162.25"/>
    <n v="6489.9999999999991"/>
    <n v="-589.94000000000005"/>
    <n v="0"/>
    <n v="767.00776200000007"/>
    <n v="6667.0677619999997"/>
  </r>
  <r>
    <x v="39"/>
    <x v="3"/>
    <s v="Q2"/>
    <x v="0"/>
    <s v="KEPL/00033/82-83"/>
    <s v="SAFAL MART PVT.LTD"/>
    <s v="Straight Pouch"/>
    <x v="3"/>
    <n v="2.0099999999999998"/>
    <n v="80"/>
    <n v="459.72"/>
    <n v="36777.599999999999"/>
    <n v="-3343.08"/>
    <n v="0"/>
    <n v="4346.4873849999994"/>
    <n v="37781.007384999997"/>
  </r>
  <r>
    <x v="39"/>
    <x v="3"/>
    <s v="Q2"/>
    <x v="0"/>
    <s v="KEPL/00034/82-83"/>
    <s v="SAFAL MART PVT.LTD"/>
    <s v="Straight Pouch"/>
    <x v="12"/>
    <n v="2"/>
    <n v="80"/>
    <n v="309.39999999999998"/>
    <n v="24752"/>
    <n v="-2249.96"/>
    <n v="0"/>
    <n v="0"/>
    <n v="22502.04"/>
  </r>
  <r>
    <x v="40"/>
    <x v="3"/>
    <s v="Q2"/>
    <x v="0"/>
    <s v="KEPL/00044/82-83"/>
    <s v="SIMPEX SOLUTION PVT. LTD"/>
    <s v="Cooking Paste"/>
    <x v="30"/>
    <n v="0.47"/>
    <n v="28"/>
    <n v="102.65"/>
    <n v="2874.2000000000003"/>
    <n v="0"/>
    <n v="0"/>
    <n v="373.64328399999999"/>
    <n v="3247.843284"/>
  </r>
  <r>
    <x v="40"/>
    <x v="3"/>
    <s v="Q2"/>
    <x v="0"/>
    <s v="KEPL/00044/82-83"/>
    <s v="SIMPEX SOLUTION PVT. LTD"/>
    <s v="Straight Premium"/>
    <x v="8"/>
    <n v="0.04"/>
    <n v="5"/>
    <n v="60.18"/>
    <n v="300.89999999999998"/>
    <n v="0"/>
    <n v="0"/>
    <n v="39.116715999999997"/>
    <n v="340.01671599999997"/>
  </r>
  <r>
    <x v="41"/>
    <x v="3"/>
    <s v="Q2"/>
    <x v="0"/>
    <s v="KEPL/00057/82-83"/>
    <s v="DS SPICECO L &amp; D"/>
    <s v="Blends"/>
    <x v="14"/>
    <n v="0.01"/>
    <n v="2"/>
    <n v="135.21"/>
    <n v="270.42"/>
    <n v="-24.58"/>
    <n v="0"/>
    <n v="31.961458"/>
    <n v="277.80145800000003"/>
  </r>
  <r>
    <x v="41"/>
    <x v="3"/>
    <s v="Q2"/>
    <x v="0"/>
    <s v="KEPL/00057/82-83"/>
    <s v="DS SPICECO L &amp; D"/>
    <s v="Sprinkler"/>
    <x v="31"/>
    <n v="0.01"/>
    <n v="1"/>
    <n v="148.72999999999999"/>
    <n v="148.72999999999999"/>
    <n v="-13.52"/>
    <n v="0"/>
    <n v="17.578541999999999"/>
    <n v="152.78854200000001"/>
  </r>
  <r>
    <x v="41"/>
    <x v="3"/>
    <s v="Q2"/>
    <x v="0"/>
    <s v="KEPL/00058/82-83"/>
    <s v="DS SPICECO L &amp; D"/>
    <s v="Sprinkler"/>
    <x v="31"/>
    <n v="0.01"/>
    <n v="1"/>
    <n v="148.72999999999999"/>
    <n v="148.72999999999999"/>
    <n v="-13.52"/>
    <n v="0"/>
    <n v="17.579999999999998"/>
    <n v="152.79"/>
  </r>
  <r>
    <x v="42"/>
    <x v="3"/>
    <s v="Q2"/>
    <x v="0"/>
    <s v="KEPL/00072/82-83"/>
    <s v="BHAT BHATENI SUPERMARKET &amp; DEPARTMENTAL STORE PVT. LTD."/>
    <s v="Straight Premium"/>
    <x v="23"/>
    <n v="7"/>
    <n v="1260"/>
    <n v="167.26"/>
    <n v="210747.6"/>
    <n v="0"/>
    <n v="0"/>
    <n v="27397.188537999999"/>
    <n v="238144.78853799999"/>
  </r>
  <r>
    <x v="42"/>
    <x v="3"/>
    <s v="Q2"/>
    <x v="0"/>
    <s v="KEPL/00072/82-83"/>
    <s v="BHAT BHATENI SUPERMARKET &amp; DEPARTMENTAL STORE PVT. LTD."/>
    <s v="Straight Premium"/>
    <x v="24"/>
    <n v="2.75"/>
    <n v="110"/>
    <n v="402.65"/>
    <n v="44291.5"/>
    <n v="0"/>
    <n v="0"/>
    <n v="5757.8951130000005"/>
    <n v="50049.395112999999"/>
  </r>
  <r>
    <x v="42"/>
    <x v="3"/>
    <s v="Q2"/>
    <x v="0"/>
    <s v="KEPL/00072/82-83"/>
    <s v="BHAT BHATENI SUPERMARKET &amp; DEPARTMENTAL STORE PVT. LTD."/>
    <s v="Blends"/>
    <x v="18"/>
    <n v="6"/>
    <n v="720"/>
    <n v="130.09"/>
    <n v="93664.8"/>
    <n v="0"/>
    <n v="0"/>
    <n v="12176.424239"/>
    <n v="105841.224239"/>
  </r>
  <r>
    <x v="42"/>
    <x v="3"/>
    <s v="Q2"/>
    <x v="0"/>
    <s v="KEPL/00072/82-83"/>
    <s v="BHAT BHATENI SUPERMARKET &amp; DEPARTMENTAL STORE PVT. LTD."/>
    <s v="Blends"/>
    <x v="14"/>
    <n v="7"/>
    <n v="1260"/>
    <n v="123.89"/>
    <n v="156101.4"/>
    <n v="0"/>
    <n v="0"/>
    <n v="20293.182398999998"/>
    <n v="176394.58239900001"/>
  </r>
  <r>
    <x v="42"/>
    <x v="3"/>
    <s v="Q2"/>
    <x v="0"/>
    <s v="KEPL/00072/82-83"/>
    <s v="BHAT BHATENI SUPERMARKET &amp; DEPARTMENTAL STORE PVT. LTD."/>
    <s v="Blends"/>
    <x v="11"/>
    <n v="7"/>
    <n v="1260"/>
    <n v="58.85"/>
    <n v="74151"/>
    <n v="0"/>
    <n v="0"/>
    <n v="9639.6301890000013"/>
    <n v="83790.630189000003"/>
  </r>
  <r>
    <x v="42"/>
    <x v="3"/>
    <s v="Q2"/>
    <x v="0"/>
    <s v="KEPL/00072/82-83"/>
    <s v="BHAT BHATENI SUPERMARKET &amp; DEPARTMENTAL STORE PVT. LTD."/>
    <s v="Blends"/>
    <x v="9"/>
    <n v="7"/>
    <n v="1260"/>
    <n v="65.040000000000006"/>
    <n v="81950.400000000009"/>
    <n v="0"/>
    <n v="0"/>
    <n v="10653.552208999999"/>
    <n v="92603.952208999995"/>
  </r>
  <r>
    <x v="42"/>
    <x v="3"/>
    <s v="Q2"/>
    <x v="0"/>
    <s v="KEPL/00072/82-83"/>
    <s v="BHAT BHATENI SUPERMARKET &amp; DEPARTMENTAL STORE PVT. LTD."/>
    <s v="Straight Premium"/>
    <x v="28"/>
    <n v="3.5"/>
    <n v="280"/>
    <n v="154.87"/>
    <n v="43363.6"/>
    <n v="0"/>
    <n v="0"/>
    <n v="5637.2681109999994"/>
    <n v="49000.868111000003"/>
  </r>
  <r>
    <x v="42"/>
    <x v="3"/>
    <s v="Q2"/>
    <x v="0"/>
    <s v="KEPL/00072/82-83"/>
    <s v="BHAT BHATENI SUPERMARKET &amp; DEPARTMENTAL STORE PVT. LTD."/>
    <s v="Straight Premium"/>
    <x v="22"/>
    <n v="5"/>
    <n v="200"/>
    <n v="272.57"/>
    <n v="54514"/>
    <n v="0"/>
    <n v="0"/>
    <n v="7086.8201390000004"/>
    <n v="61600.820139000003"/>
  </r>
  <r>
    <x v="42"/>
    <x v="3"/>
    <s v="Q2"/>
    <x v="0"/>
    <s v="KEPL/00072/82-83"/>
    <s v="BHAT BHATENI SUPERMARKET &amp; DEPARTMENTAL STORE PVT. LTD."/>
    <s v="Blends"/>
    <x v="16"/>
    <n v="7"/>
    <n v="840"/>
    <n v="111.5"/>
    <n v="93660"/>
    <n v="0"/>
    <n v="0"/>
    <n v="12175.800239"/>
    <n v="105835.800239"/>
  </r>
  <r>
    <x v="42"/>
    <x v="3"/>
    <s v="Q2"/>
    <x v="0"/>
    <s v="KEPL/00072/82-83"/>
    <s v="BHAT BHATENI SUPERMARKET &amp; DEPARTMENTAL STORE PVT. LTD."/>
    <s v="Blends"/>
    <x v="20"/>
    <n v="7"/>
    <n v="840"/>
    <n v="111.5"/>
    <n v="93660"/>
    <n v="0"/>
    <n v="0"/>
    <n v="12175.800239"/>
    <n v="105835.800239"/>
  </r>
  <r>
    <x v="42"/>
    <x v="3"/>
    <s v="Q2"/>
    <x v="0"/>
    <s v="KEPL/00072/82-83"/>
    <s v="BHAT BHATENI SUPERMARKET &amp; DEPARTMENTAL STORE PVT. LTD."/>
    <s v="Cooking Paste"/>
    <x v="30"/>
    <n v="7"/>
    <n v="420"/>
    <n v="89.82"/>
    <n v="37724.400000000001"/>
    <n v="0"/>
    <n v="0"/>
    <n v="4904.1720959999993"/>
    <n v="42628.572096000004"/>
  </r>
  <r>
    <x v="42"/>
    <x v="3"/>
    <s v="Q2"/>
    <x v="0"/>
    <s v="KEPL/00072/82-83"/>
    <s v="BHAT BHATENI SUPERMARKET &amp; DEPARTMENTAL STORE PVT. LTD."/>
    <s v="Straight Premium"/>
    <x v="7"/>
    <n v="7"/>
    <n v="840"/>
    <n v="139.38"/>
    <n v="117079.2"/>
    <n v="0"/>
    <n v="0"/>
    <n v="15220.296299"/>
    <n v="132299.49629899999"/>
  </r>
  <r>
    <x v="42"/>
    <x v="3"/>
    <s v="Q2"/>
    <x v="0"/>
    <s v="KEPL/00072/82-83"/>
    <s v="BHAT BHATENI SUPERMARKET &amp; DEPARTMENTAL STORE PVT. LTD."/>
    <s v="Blends"/>
    <x v="0"/>
    <n v="7"/>
    <n v="1260"/>
    <n v="58.85"/>
    <n v="74151"/>
    <n v="0"/>
    <n v="0"/>
    <n v="9639.6301890000013"/>
    <n v="83790.630189000003"/>
  </r>
  <r>
    <x v="43"/>
    <x v="3"/>
    <s v="Q2"/>
    <x v="0"/>
    <s v="KEPL/00094/82-83"/>
    <s v="BHAT BHATENI SUPERMARKET &amp; DEPARTMENTAL STORE PVT. LTD."/>
    <s v="Blends"/>
    <x v="41"/>
    <n v="3.33"/>
    <n v="400"/>
    <n v="148.66999999999999"/>
    <n v="59468"/>
    <n v="0"/>
    <n v="0"/>
    <n v="7730.8401219999996"/>
    <n v="67198.840121999994"/>
  </r>
  <r>
    <x v="43"/>
    <x v="3"/>
    <s v="Q2"/>
    <x v="0"/>
    <s v="KEPL/00094/82-83"/>
    <s v="BHAT BHATENI SUPERMARKET &amp; DEPARTMENTAL STORE PVT. LTD."/>
    <s v="Straight Pouch"/>
    <x v="4"/>
    <n v="0.5"/>
    <n v="20"/>
    <n v="238.5"/>
    <n v="4769.9999999999991"/>
    <n v="0"/>
    <n v="0"/>
    <n v="620.10001"/>
    <n v="5390.1000100000001"/>
  </r>
  <r>
    <x v="43"/>
    <x v="3"/>
    <s v="Q2"/>
    <x v="0"/>
    <s v="KEPL/00094/82-83"/>
    <s v="BHAT BHATENI SUPERMARKET &amp; DEPARTMENTAL STORE PVT. LTD."/>
    <s v="Blends"/>
    <x v="21"/>
    <n v="6"/>
    <n v="480"/>
    <n v="173.45"/>
    <n v="83256"/>
    <n v="0"/>
    <n v="0"/>
    <n v="10823.280171"/>
    <n v="94079.280171000006"/>
  </r>
  <r>
    <x v="43"/>
    <x v="3"/>
    <s v="Q2"/>
    <x v="0"/>
    <s v="KEPL/00094/82-83"/>
    <s v="BHAT BHATENI SUPERMARKET &amp; DEPARTMENTAL STORE PVT. LTD."/>
    <s v="Straight Premium"/>
    <x v="34"/>
    <n v="7"/>
    <n v="560"/>
    <n v="210.62"/>
    <n v="117947.2"/>
    <n v="0"/>
    <n v="0"/>
    <n v="15333.136242"/>
    <n v="133280.33624199999"/>
  </r>
  <r>
    <x v="43"/>
    <x v="3"/>
    <s v="Q2"/>
    <x v="0"/>
    <s v="KEPL/00094/82-83"/>
    <s v="BHAT BHATENI SUPERMARKET &amp; DEPARTMENTAL STORE PVT. LTD."/>
    <s v="Blends"/>
    <x v="27"/>
    <n v="2.08"/>
    <n v="250"/>
    <n v="108.41"/>
    <n v="27102.5"/>
    <n v="0"/>
    <n v="0"/>
    <n v="3523.3250560000001"/>
    <n v="30625.825056000001"/>
  </r>
  <r>
    <x v="43"/>
    <x v="3"/>
    <s v="Q2"/>
    <x v="0"/>
    <s v="KEPL/00094/82-83"/>
    <s v="BHAT BHATENI SUPERMARKET &amp; DEPARTMENTAL STORE PVT. LTD."/>
    <s v="Blends"/>
    <x v="37"/>
    <n v="7"/>
    <n v="1260"/>
    <n v="92.92"/>
    <n v="117079.2"/>
    <n v="0"/>
    <n v="0"/>
    <n v="15220.296240000001"/>
    <n v="132299.49624000001"/>
  </r>
  <r>
    <x v="43"/>
    <x v="3"/>
    <s v="Q2"/>
    <x v="0"/>
    <s v="KEPL/00094/82-83"/>
    <s v="BHAT BHATENI SUPERMARKET &amp; DEPARTMENTAL STORE PVT. LTD."/>
    <s v="Blends"/>
    <x v="39"/>
    <n v="4"/>
    <n v="720"/>
    <n v="80.53"/>
    <n v="57981.599999999999"/>
    <n v="0"/>
    <n v="0"/>
    <n v="7537.6081190000004"/>
    <n v="65519.208119000003"/>
  </r>
  <r>
    <x v="43"/>
    <x v="3"/>
    <s v="Q2"/>
    <x v="0"/>
    <s v="KEPL/00094/82-83"/>
    <s v="BHAT BHATENI SUPERMARKET &amp; DEPARTMENTAL STORE PVT. LTD."/>
    <s v="Straight Pouch"/>
    <x v="1"/>
    <n v="0.5"/>
    <n v="50"/>
    <n v="99.12"/>
    <n v="4956"/>
    <n v="0"/>
    <n v="0"/>
    <n v="644.28000999999995"/>
    <n v="5600.2800100000004"/>
  </r>
  <r>
    <x v="43"/>
    <x v="3"/>
    <s v="Q2"/>
    <x v="0"/>
    <s v="KEPL/00094/82-83"/>
    <s v="BHAT BHATENI SUPERMARKET &amp; DEPARTMENTAL STORE PVT. LTD."/>
    <s v="Blends"/>
    <x v="15"/>
    <n v="3.11"/>
    <n v="560"/>
    <n v="105.31"/>
    <n v="58973.599999999999"/>
    <n v="0"/>
    <n v="0"/>
    <n v="7666.5681210000002"/>
    <n v="66640.168120999995"/>
  </r>
  <r>
    <x v="43"/>
    <x v="3"/>
    <s v="Q2"/>
    <x v="0"/>
    <s v="KEPL/00094/82-83"/>
    <s v="BHAT BHATENI SUPERMARKET &amp; DEPARTMENTAL STORE PVT. LTD."/>
    <s v="Blends"/>
    <x v="45"/>
    <n v="3.38"/>
    <n v="270"/>
    <n v="130.09"/>
    <n v="35124.300000000003"/>
    <n v="0"/>
    <n v="0"/>
    <n v="4566.1590720000004"/>
    <n v="39690.459071999998"/>
  </r>
  <r>
    <x v="43"/>
    <x v="3"/>
    <s v="Q2"/>
    <x v="0"/>
    <s v="KEPL/00094/82-83"/>
    <s v="BHAT BHATENI SUPERMARKET &amp; DEPARTMENTAL STORE PVT. LTD."/>
    <s v="Blends"/>
    <x v="38"/>
    <n v="4"/>
    <n v="480"/>
    <n v="77.430000000000007"/>
    <n v="37166.400000000001"/>
    <n v="0"/>
    <n v="0"/>
    <n v="4831.6320760000008"/>
    <n v="41998.032076000003"/>
  </r>
  <r>
    <x v="43"/>
    <x v="3"/>
    <s v="Q2"/>
    <x v="0"/>
    <s v="KEPL/00094/82-83"/>
    <s v="BHAT BHATENI SUPERMARKET &amp; DEPARTMENTAL STORE PVT. LTD."/>
    <s v="Blends"/>
    <x v="10"/>
    <n v="3.11"/>
    <n v="560"/>
    <n v="55.75"/>
    <n v="31220"/>
    <n v="0"/>
    <n v="0"/>
    <n v="4058.6000640000002"/>
    <n v="35278.600063999998"/>
  </r>
  <r>
    <x v="43"/>
    <x v="3"/>
    <s v="Q2"/>
    <x v="0"/>
    <s v="KEPL/00094/82-83"/>
    <s v="BHAT BHATENI SUPERMARKET &amp; DEPARTMENTAL STORE PVT. LTD."/>
    <s v="Sprinkler"/>
    <x v="46"/>
    <n v="7"/>
    <n v="700"/>
    <n v="89.82"/>
    <n v="62874"/>
    <n v="0"/>
    <n v="0"/>
    <n v="8173.6201289999999"/>
    <n v="71047.620129000003"/>
  </r>
  <r>
    <x v="43"/>
    <x v="3"/>
    <s v="Q2"/>
    <x v="0"/>
    <s v="KEPL/00094/82-83"/>
    <s v="BHAT BHATENI SUPERMARKET &amp; DEPARTMENTAL STORE PVT. LTD."/>
    <s v="Straight Pouch"/>
    <x v="6"/>
    <n v="3"/>
    <n v="300"/>
    <n v="173.45"/>
    <n v="52035"/>
    <n v="0"/>
    <n v="0"/>
    <n v="6764.550107"/>
    <n v="58799.550107000003"/>
  </r>
  <r>
    <x v="43"/>
    <x v="3"/>
    <s v="Q2"/>
    <x v="0"/>
    <s v="KEPL/00094/82-83"/>
    <s v="BHAT BHATENI SUPERMARKET &amp; DEPARTMENTAL STORE PVT. LTD."/>
    <s v="Blends"/>
    <x v="35"/>
    <n v="3.88"/>
    <n v="310"/>
    <n v="154.87"/>
    <n v="48009.700000000004"/>
    <n v="0"/>
    <n v="0"/>
    <n v="6241.2610990000003"/>
    <n v="54250.961099"/>
  </r>
  <r>
    <x v="43"/>
    <x v="3"/>
    <s v="Q2"/>
    <x v="0"/>
    <s v="KEPL/00094/82-83"/>
    <s v="BHAT BHATENI SUPERMARKET &amp; DEPARTMENTAL STORE PVT. LTD."/>
    <s v="Blends"/>
    <x v="36"/>
    <n v="2.88"/>
    <n v="230"/>
    <n v="148.66999999999999"/>
    <n v="34194.1"/>
    <n v="0"/>
    <n v="0"/>
    <n v="4445.2330700000002"/>
    <n v="38639.333070000001"/>
  </r>
  <r>
    <x v="43"/>
    <x v="3"/>
    <s v="Q2"/>
    <x v="0"/>
    <s v="KEPL/00094/82-83"/>
    <s v="BHAT BHATENI SUPERMARKET &amp; DEPARTMENTAL STORE PVT. LTD."/>
    <s v="Straight Pouch"/>
    <x v="3"/>
    <n v="0.5"/>
    <n v="20"/>
    <n v="421.24"/>
    <n v="8424.7999999999993"/>
    <n v="0"/>
    <n v="0"/>
    <n v="1095.224017"/>
    <n v="9520.0240169999997"/>
  </r>
  <r>
    <x v="43"/>
    <x v="3"/>
    <s v="Q2"/>
    <x v="0"/>
    <s v="KEPL/00094/82-83"/>
    <s v="BHAT BHATENI SUPERMARKET &amp; DEPARTMENTAL STORE PVT. LTD."/>
    <s v="Blends"/>
    <x v="32"/>
    <n v="14"/>
    <n v="1680"/>
    <n v="58.85"/>
    <n v="98868"/>
    <n v="0"/>
    <n v="0"/>
    <n v="12852.840203"/>
    <n v="111720.840203"/>
  </r>
  <r>
    <x v="43"/>
    <x v="3"/>
    <s v="Q2"/>
    <x v="0"/>
    <s v="KEPL/00094/82-83"/>
    <s v="BHAT BHATENI SUPERMARKET &amp; DEPARTMENTAL STORE PVT. LTD."/>
    <s v="Blends"/>
    <x v="40"/>
    <n v="4"/>
    <n v="480"/>
    <n v="71.239999999999995"/>
    <n v="34195.199999999997"/>
    <n v="0"/>
    <n v="0"/>
    <n v="4445.3760700000003"/>
    <n v="38640.576070000003"/>
  </r>
  <r>
    <x v="43"/>
    <x v="3"/>
    <s v="Q2"/>
    <x v="0"/>
    <s v="KEPL/00095/82-83"/>
    <s v="BHAT BHATENI SUPERMARKET &amp; DEPARTMENTAL STORE PVT. LTD."/>
    <s v="Straight Pouch"/>
    <x v="13"/>
    <n v="1"/>
    <n v="100"/>
    <n v="119"/>
    <n v="11900.000000000002"/>
    <s v=""/>
    <s v=""/>
    <s v=""/>
    <n v="11900"/>
  </r>
  <r>
    <x v="43"/>
    <x v="3"/>
    <s v="Q2"/>
    <x v="0"/>
    <s v="KEPL/00095/82-83"/>
    <s v="BHAT BHATENI SUPERMARKET &amp; DEPARTMENTAL STORE PVT. LTD."/>
    <s v="Straight Pouch"/>
    <x v="12"/>
    <n v="0.5"/>
    <n v="20"/>
    <n v="283.5"/>
    <n v="5670.0000000000009"/>
    <s v=""/>
    <s v=""/>
    <s v=""/>
    <n v="5670"/>
  </r>
  <r>
    <x v="43"/>
    <x v="3"/>
    <s v="Q2"/>
    <x v="0"/>
    <s v="KEPL/00103/82-83"/>
    <s v="WELSON TRADE &amp; RASAN MART"/>
    <s v="Straight Premium"/>
    <x v="8"/>
    <n v="0.25"/>
    <n v="30"/>
    <n v="0"/>
    <n v="0"/>
    <s v=""/>
    <s v=""/>
    <s v=""/>
    <n v="0"/>
  </r>
  <r>
    <x v="43"/>
    <x v="3"/>
    <s v="Q2"/>
    <x v="0"/>
    <s v="KEPL/00103/82-83"/>
    <s v="WELSON TRADE &amp; RASAN MART"/>
    <s v="Cooking Paste"/>
    <x v="30"/>
    <n v="0.33"/>
    <n v="20"/>
    <n v="0"/>
    <n v="0"/>
    <s v=""/>
    <s v=""/>
    <s v=""/>
    <n v="0"/>
  </r>
  <r>
    <x v="43"/>
    <x v="3"/>
    <s v="Q2"/>
    <x v="0"/>
    <s v="KEPL/00103/82-83"/>
    <s v="WELSON TRADE &amp; RASAN MART"/>
    <s v="Blends"/>
    <x v="32"/>
    <n v="1"/>
    <n v="120"/>
    <n v="64.23"/>
    <n v="7707.5999999999995"/>
    <n v="-700.62"/>
    <n v="0"/>
    <n v="910.91000000000008"/>
    <n v="7917.89"/>
  </r>
  <r>
    <x v="43"/>
    <x v="3"/>
    <s v="Q2"/>
    <x v="0"/>
    <s v="KEPL/00103/82-83"/>
    <s v="WELSON TRADE &amp; RASAN MART"/>
    <s v="Straight Premium"/>
    <x v="22"/>
    <n v="0.25"/>
    <n v="10"/>
    <n v="0"/>
    <n v="0"/>
    <s v=""/>
    <s v=""/>
    <s v=""/>
    <n v="0"/>
  </r>
  <r>
    <x v="43"/>
    <x v="3"/>
    <s v="Q2"/>
    <x v="0"/>
    <s v="KEPL/00103/82-83"/>
    <s v="WELSON TRADE &amp; RASAN MART"/>
    <s v="Straight Pouch"/>
    <x v="13"/>
    <n v="0.25"/>
    <n v="25"/>
    <n v="0"/>
    <n v="0"/>
    <s v=""/>
    <s v=""/>
    <s v=""/>
    <n v="0"/>
  </r>
  <r>
    <x v="43"/>
    <x v="3"/>
    <s v="Q2"/>
    <x v="0"/>
    <s v="KEPL/00103/82-83"/>
    <s v="WELSON TRADE &amp; RASAN MART"/>
    <s v="Blends"/>
    <x v="16"/>
    <n v="0.17"/>
    <n v="20"/>
    <n v="0"/>
    <n v="0"/>
    <s v=""/>
    <s v=""/>
    <s v=""/>
    <n v="0"/>
  </r>
  <r>
    <x v="43"/>
    <x v="3"/>
    <s v="Q2"/>
    <x v="0"/>
    <s v="KEPL/00103/82-83"/>
    <s v="WELSON TRADE &amp; RASAN MART"/>
    <s v="Blends"/>
    <x v="20"/>
    <n v="0.17"/>
    <n v="20"/>
    <n v="0"/>
    <n v="0"/>
    <s v=""/>
    <s v=""/>
    <s v=""/>
    <n v="0"/>
  </r>
  <r>
    <x v="44"/>
    <x v="4"/>
    <s v="Q2"/>
    <x v="0"/>
    <s v="KEPL/00173/82-83"/>
    <s v="SIMPEX SOLUTION PVT. LTD"/>
    <s v="Blends"/>
    <x v="0"/>
    <n v="0.06"/>
    <n v="10"/>
    <n v="67.260000000000005"/>
    <n v="672.6"/>
    <n v="0"/>
    <n v="0"/>
    <n v="87.438614999999999"/>
    <n v="760.03861500000005"/>
  </r>
  <r>
    <x v="44"/>
    <x v="4"/>
    <s v="Q2"/>
    <x v="0"/>
    <s v="KEPL/00173/82-83"/>
    <s v="SIMPEX SOLUTION PVT. LTD"/>
    <s v="Sprinkler"/>
    <x v="26"/>
    <n v="0.14000000000000001"/>
    <n v="10"/>
    <n v="138.05000000000001"/>
    <n v="1380.4999999999998"/>
    <n v="0"/>
    <n v="0"/>
    <n v="179.466263"/>
    <n v="1559.966263"/>
  </r>
  <r>
    <x v="44"/>
    <x v="4"/>
    <s v="Q2"/>
    <x v="0"/>
    <s v="KEPL/00173/82-83"/>
    <s v="SIMPEX SOLUTION PVT. LTD"/>
    <s v="Blends"/>
    <x v="17"/>
    <n v="0.09"/>
    <n v="16"/>
    <n v="127.43"/>
    <n v="2038.88"/>
    <n v="0"/>
    <n v="0"/>
    <n v="265.056265"/>
    <n v="2303.9362649999998"/>
  </r>
  <r>
    <x v="44"/>
    <x v="4"/>
    <s v="Q2"/>
    <x v="0"/>
    <s v="KEPL/00173/82-83"/>
    <s v="SIMPEX SOLUTION PVT. LTD"/>
    <s v="Blends"/>
    <x v="9"/>
    <n v="7.0000000000000007E-2"/>
    <n v="12"/>
    <n v="74.34"/>
    <n v="892.08"/>
    <n v="0"/>
    <n v="0"/>
    <n v="115.971216"/>
    <n v="1008.051216"/>
  </r>
  <r>
    <x v="44"/>
    <x v="4"/>
    <s v="Q2"/>
    <x v="0"/>
    <s v="KEPL/00173/82-83"/>
    <s v="SIMPEX SOLUTION PVT. LTD"/>
    <s v="Cooking Paste"/>
    <x v="29"/>
    <n v="7.0000000000000007E-2"/>
    <n v="8"/>
    <n v="60.18"/>
    <n v="481.44"/>
    <n v="0"/>
    <n v="0"/>
    <n v="62.58764"/>
    <n v="544.02764000000002"/>
  </r>
  <r>
    <x v="45"/>
    <x v="4"/>
    <s v="Q2"/>
    <x v="0"/>
    <s v="KEPL/00177/82-83"/>
    <s v="NAWA ATITHI STORES"/>
    <s v="Blends"/>
    <x v="9"/>
    <n v="1"/>
    <n v="180"/>
    <n v="70.989999999999995"/>
    <n v="12778.2"/>
    <n v="-1161.54"/>
    <n v="0"/>
    <n v="1510.1650079999999"/>
    <n v="13126.825008"/>
  </r>
  <r>
    <x v="45"/>
    <x v="4"/>
    <s v="Q2"/>
    <x v="0"/>
    <s v="KEPL/00177/82-83"/>
    <s v="NAWA ATITHI STORES"/>
    <s v="Blends"/>
    <x v="48"/>
    <n v="1"/>
    <n v="180"/>
    <n v="84.51"/>
    <n v="15211.800000000001"/>
    <n v="-1382.75"/>
    <n v="0"/>
    <n v="1797.775558"/>
    <n v="15626.825558"/>
  </r>
  <r>
    <x v="45"/>
    <x v="4"/>
    <s v="Q2"/>
    <x v="0"/>
    <s v="KEPL/00177/82-83"/>
    <s v="NAWA ATITHI STORES"/>
    <s v="Blends"/>
    <x v="10"/>
    <n v="1"/>
    <n v="180"/>
    <n v="60.84"/>
    <n v="10951.199999999999"/>
    <n v="-995.46"/>
    <n v="0"/>
    <n v="1294.2455220000002"/>
    <n v="11249.985522000001"/>
  </r>
  <r>
    <x v="45"/>
    <x v="4"/>
    <s v="Q2"/>
    <x v="0"/>
    <s v="KEPL/00177/82-83"/>
    <s v="NAWA ATITHI STORES"/>
    <s v="Blends"/>
    <x v="11"/>
    <n v="1"/>
    <n v="180"/>
    <n v="64.23"/>
    <n v="11561.4"/>
    <n v="-1050.9299999999998"/>
    <n v="0"/>
    <n v="1366.3603840000001"/>
    <n v="11876.830384000001"/>
  </r>
  <r>
    <x v="45"/>
    <x v="4"/>
    <s v="Q2"/>
    <x v="0"/>
    <s v="KEPL/00177/82-83"/>
    <s v="NAWA ATITHI STORES"/>
    <s v="Straight Premium"/>
    <x v="5"/>
    <n v="1"/>
    <n v="180"/>
    <n v="94.65"/>
    <n v="17037"/>
    <n v="-1548.6599999999999"/>
    <n v="0"/>
    <n v="2013.4831449999999"/>
    <n v="17501.823144999998"/>
  </r>
  <r>
    <x v="45"/>
    <x v="4"/>
    <s v="Q2"/>
    <x v="0"/>
    <s v="KEPL/00177/82-83"/>
    <s v="NAWA ATITHI STORES"/>
    <s v="Blends"/>
    <x v="2"/>
    <n v="1"/>
    <n v="180"/>
    <n v="64.23"/>
    <n v="11561.4"/>
    <n v="-1050.9299999999998"/>
    <n v="0"/>
    <n v="1366.3603840000001"/>
    <n v="11876.830384000001"/>
  </r>
  <r>
    <x v="46"/>
    <x v="4"/>
    <s v="Q2"/>
    <x v="0"/>
    <s v="KEPL/00217/82-83"/>
    <s v="CHHATRA DEV GENERAL SUPPLIERS"/>
    <s v="Blends"/>
    <x v="48"/>
    <n v="1"/>
    <n v="180"/>
    <n v="84.51"/>
    <n v="15211.800000000001"/>
    <n v="-1382.75"/>
    <n v="0"/>
    <n v="1797.7768739999999"/>
    <n v="15626.826874"/>
  </r>
  <r>
    <x v="46"/>
    <x v="4"/>
    <s v="Q2"/>
    <x v="0"/>
    <s v="KEPL/00217/82-83"/>
    <s v="CHHATRA DEV GENERAL SUPPLIERS"/>
    <s v="Straight Premium"/>
    <x v="5"/>
    <n v="2"/>
    <n v="360"/>
    <n v="94.65"/>
    <n v="34074"/>
    <n v="-3097.3300000000004"/>
    <n v="0"/>
    <n v="4026.9679379999998"/>
    <n v="35003.637938"/>
  </r>
  <r>
    <x v="46"/>
    <x v="4"/>
    <s v="Q2"/>
    <x v="0"/>
    <s v="KEPL/00217/82-83"/>
    <s v="CHHATRA DEV GENERAL SUPPLIERS"/>
    <s v="Straight Premium"/>
    <x v="33"/>
    <n v="1"/>
    <n v="180"/>
    <n v="91.27"/>
    <n v="16428.599999999999"/>
    <n v="-1493.36"/>
    <n v="0"/>
    <n v="1941.5816040000002"/>
    <n v="16876.821604000001"/>
  </r>
  <r>
    <x v="46"/>
    <x v="4"/>
    <s v="Q2"/>
    <x v="0"/>
    <s v="KEPL/00217/82-83"/>
    <s v="CHHATRA DEV GENERAL SUPPLIERS"/>
    <s v="Blends"/>
    <x v="11"/>
    <n v="2"/>
    <n v="360"/>
    <n v="64.23"/>
    <n v="23122.799999999999"/>
    <n v="-2101.8599999999997"/>
    <n v="0"/>
    <n v="2732.722769"/>
    <n v="23753.662768999999"/>
  </r>
  <r>
    <x v="46"/>
    <x v="4"/>
    <s v="Q2"/>
    <x v="0"/>
    <s v="KEPL/00217/82-83"/>
    <s v="CHHATRA DEV GENERAL SUPPLIERS"/>
    <s v="Blends"/>
    <x v="2"/>
    <n v="2"/>
    <n v="360"/>
    <n v="64.23"/>
    <n v="23122.799999999999"/>
    <n v="-2101.8599999999997"/>
    <n v="0"/>
    <n v="2732.722769"/>
    <n v="23753.662768999999"/>
  </r>
  <r>
    <x v="46"/>
    <x v="4"/>
    <s v="Q2"/>
    <x v="0"/>
    <s v="KEPL/00217/82-83"/>
    <s v="CHHATRA DEV GENERAL SUPPLIERS"/>
    <s v="Blends"/>
    <x v="10"/>
    <n v="1"/>
    <n v="180"/>
    <n v="60.84"/>
    <n v="10951.199999999999"/>
    <n v="-995.46"/>
    <n v="0"/>
    <n v="1294.2464689999999"/>
    <n v="11249.986468999999"/>
  </r>
  <r>
    <x v="46"/>
    <x v="4"/>
    <s v="Q2"/>
    <x v="0"/>
    <s v="KEPL/00217/82-83"/>
    <s v="CHHATRA DEV GENERAL SUPPLIERS"/>
    <s v="Blends"/>
    <x v="37"/>
    <n v="1"/>
    <n v="180"/>
    <n v="101.41"/>
    <n v="18253.8"/>
    <n v="-1659.27"/>
    <n v="0"/>
    <n v="2157.2893490000001"/>
    <n v="18751.819349000001"/>
  </r>
  <r>
    <x v="46"/>
    <x v="4"/>
    <s v="Q2"/>
    <x v="0"/>
    <s v="KEPL/00217/82-83"/>
    <s v="CHHATRA DEV GENERAL SUPPLIERS"/>
    <s v="Blends"/>
    <x v="9"/>
    <n v="2"/>
    <n v="360"/>
    <n v="70.989999999999995"/>
    <n v="25556.400000000001"/>
    <n v="-2323.08"/>
    <n v="0"/>
    <n v="3020.3322279999998"/>
    <n v="26253.652227999999"/>
  </r>
  <r>
    <x v="47"/>
    <x v="4"/>
    <s v="Q2"/>
    <x v="0"/>
    <s v="KEPL/00229/82-83"/>
    <s v="BHAT BHATENI SUPERMARKET &amp; DEPARTMENTAL STORE PVT. LTD."/>
    <s v="Blends"/>
    <x v="42"/>
    <n v="4.67"/>
    <n v="560"/>
    <n v="86.73"/>
    <n v="48568.799999999996"/>
    <n v="0"/>
    <n v="0"/>
    <n v="6313.9440179999992"/>
    <n v="54882.744017999998"/>
  </r>
  <r>
    <x v="47"/>
    <x v="4"/>
    <s v="Q2"/>
    <x v="0"/>
    <s v="KEPL/00229/82-83"/>
    <s v="BHAT BHATENI SUPERMARKET &amp; DEPARTMENTAL STORE PVT. LTD."/>
    <s v="Blends"/>
    <x v="44"/>
    <n v="3.11"/>
    <n v="560"/>
    <n v="117.7"/>
    <n v="65912"/>
    <n v="0"/>
    <n v="0"/>
    <n v="8568.5600240000003"/>
    <n v="74480.560024000006"/>
  </r>
  <r>
    <x v="47"/>
    <x v="4"/>
    <s v="Q2"/>
    <x v="0"/>
    <s v="KEPL/00229/82-83"/>
    <s v="BHAT BHATENI SUPERMARKET &amp; DEPARTMENTAL STORE PVT. LTD."/>
    <s v="Combo"/>
    <x v="43"/>
    <n v="3.83"/>
    <n v="230"/>
    <n v="136.28"/>
    <n v="31344.400000000001"/>
    <n v="0"/>
    <n v="0"/>
    <n v="4074.772011"/>
    <n v="35419.172011000002"/>
  </r>
  <r>
    <x v="47"/>
    <x v="4"/>
    <s v="Q2"/>
    <x v="0"/>
    <s v="KEPL/00229/82-83"/>
    <s v="BHAT BHATENI SUPERMARKET &amp; DEPARTMENTAL STORE PVT. LTD."/>
    <s v="Straight Premium"/>
    <x v="5"/>
    <n v="7"/>
    <n v="1260"/>
    <n v="86.73"/>
    <n v="109279.79999999999"/>
    <n v="0"/>
    <n v="0"/>
    <n v="14206.374040000001"/>
    <n v="123486.17404"/>
  </r>
  <r>
    <x v="47"/>
    <x v="4"/>
    <s v="Q2"/>
    <x v="0"/>
    <s v="KEPL/00229/82-83"/>
    <s v="BHAT BHATENI SUPERMARKET &amp; DEPARTMENTAL STORE PVT. LTD."/>
    <s v="Straight Premium"/>
    <x v="33"/>
    <n v="1.56"/>
    <n v="280"/>
    <n v="83.63"/>
    <n v="23416.399999999998"/>
    <n v="0"/>
    <n v="0"/>
    <n v="3044.1320089999999"/>
    <n v="26460.532008999999"/>
  </r>
  <r>
    <x v="47"/>
    <x v="4"/>
    <s v="Q2"/>
    <x v="0"/>
    <s v="KEPL/00229/82-83"/>
    <s v="BHAT BHATENI SUPERMARKET &amp; DEPARTMENTAL STORE PVT. LTD."/>
    <s v="Blends"/>
    <x v="19"/>
    <n v="5.44"/>
    <n v="980"/>
    <n v="142.47999999999999"/>
    <n v="139630.39999999999"/>
    <n v="0"/>
    <n v="0"/>
    <n v="18151.952051"/>
    <n v="157782.35205099999"/>
  </r>
  <r>
    <x v="47"/>
    <x v="4"/>
    <s v="Q2"/>
    <x v="0"/>
    <s v="KEPL/00229/82-83"/>
    <s v="BHAT BHATENI SUPERMARKET &amp; DEPARTMENTAL STORE PVT. LTD."/>
    <s v="Blends"/>
    <x v="2"/>
    <n v="14"/>
    <n v="2520"/>
    <n v="58.85"/>
    <n v="148302"/>
    <n v="0"/>
    <n v="0"/>
    <n v="19279.260053999998"/>
    <n v="167581.26005400001"/>
  </r>
  <r>
    <x v="47"/>
    <x v="4"/>
    <s v="Q2"/>
    <x v="0"/>
    <s v="KEPL/00229/82-83"/>
    <s v="BHAT BHATENI SUPERMARKET &amp; DEPARTMENTAL STORE PVT. LTD."/>
    <s v="Sprinkler"/>
    <x v="31"/>
    <n v="6.17"/>
    <n v="444"/>
    <n v="136.28"/>
    <n v="60508.32"/>
    <n v="0"/>
    <n v="0"/>
    <n v="7866.0816219999997"/>
    <n v="68374.401622000005"/>
  </r>
  <r>
    <x v="47"/>
    <x v="4"/>
    <s v="Q2"/>
    <x v="0"/>
    <s v="KEPL/00229/82-83"/>
    <s v="BHAT BHATENI SUPERMARKET &amp; DEPARTMENTAL STORE PVT. LTD."/>
    <s v="Blends"/>
    <x v="17"/>
    <n v="14"/>
    <n v="2520"/>
    <n v="111.5"/>
    <n v="280980"/>
    <n v="0"/>
    <n v="0"/>
    <n v="36527.400102"/>
    <n v="317507.40010199999"/>
  </r>
  <r>
    <x v="47"/>
    <x v="4"/>
    <s v="Q2"/>
    <x v="0"/>
    <s v="KEPL/00229/82-83"/>
    <s v="BHAT BHATENI SUPERMARKET &amp; DEPARTMENTAL STORE PVT. LTD."/>
    <s v="Sprinkler"/>
    <x v="47"/>
    <n v="7"/>
    <n v="700"/>
    <n v="65.040000000000006"/>
    <n v="45528"/>
    <n v="0"/>
    <n v="0"/>
    <n v="5918.6400169999997"/>
    <n v="51446.640016999998"/>
  </r>
  <r>
    <x v="47"/>
    <x v="4"/>
    <s v="Q2"/>
    <x v="0"/>
    <s v="KEPL/00229/82-83"/>
    <s v="BHAT BHATENI SUPERMARKET &amp; DEPARTMENTAL STORE PVT. LTD."/>
    <s v="Straight Premium"/>
    <x v="8"/>
    <n v="7.5"/>
    <n v="900"/>
    <n v="52.65"/>
    <n v="47385.000000000007"/>
    <n v="0"/>
    <n v="0"/>
    <n v="6160.0500170000005"/>
    <n v="53545.050017000001"/>
  </r>
  <r>
    <x v="47"/>
    <x v="4"/>
    <s v="Q2"/>
    <x v="0"/>
    <s v="KEPL/00229/82-83"/>
    <s v="BHAT BHATENI SUPERMARKET &amp; DEPARTMENTAL STORE PVT. LTD."/>
    <s v="Blends"/>
    <x v="48"/>
    <n v="7"/>
    <n v="1260"/>
    <n v="77.430000000000007"/>
    <n v="97561.8"/>
    <n v="0"/>
    <n v="0"/>
    <n v="12683.034036000001"/>
    <n v="110244.834036"/>
  </r>
  <r>
    <x v="48"/>
    <x v="4"/>
    <s v="Q2"/>
    <x v="0"/>
    <s v="KEPL/00234/82-83"/>
    <s v="DS SPICECO L &amp; D"/>
    <s v="Straight Pouch"/>
    <x v="4"/>
    <n v="0.03"/>
    <n v="1"/>
    <n v="281.58"/>
    <n v="281.58"/>
    <n v="-25.6"/>
    <n v="0"/>
    <n v="33.28"/>
    <n v="289.26"/>
  </r>
  <r>
    <x v="48"/>
    <x v="4"/>
    <s v="Q2"/>
    <x v="0"/>
    <s v="KEPL/00235/82-83"/>
    <s v="BEERA BARJEE INTERNATIONAL PVT.LTD"/>
    <s v="Cooking Paste"/>
    <x v="30"/>
    <n v="3"/>
    <n v="180"/>
    <n v="98.03"/>
    <n v="17645.400000000001"/>
    <n v="-1603.97"/>
    <n v="0"/>
    <n v="2085.385925"/>
    <n v="18126.815924999999"/>
  </r>
  <r>
    <x v="48"/>
    <x v="4"/>
    <s v="Q2"/>
    <x v="0"/>
    <s v="KEPL/00235/82-83"/>
    <s v="BEERA BARJEE INTERNATIONAL PVT.LTD"/>
    <s v="Straight Premium"/>
    <x v="8"/>
    <n v="1"/>
    <n v="120"/>
    <n v="57.46"/>
    <n v="6895.2"/>
    <n v="-626.77"/>
    <n v="0"/>
    <n v="814.89590999999996"/>
    <n v="7083.3259099999996"/>
  </r>
  <r>
    <x v="48"/>
    <x v="4"/>
    <s v="Q2"/>
    <x v="0"/>
    <s v="KEPL/00235/82-83"/>
    <s v="BEERA BARJEE INTERNATIONAL PVT.LTD"/>
    <s v="Straight Premium"/>
    <x v="5"/>
    <n v="1"/>
    <n v="180"/>
    <n v="94.65"/>
    <n v="17037"/>
    <n v="-1548.6599999999999"/>
    <n v="0"/>
    <n v="2013.484224"/>
    <n v="17501.824224"/>
  </r>
  <r>
    <x v="48"/>
    <x v="4"/>
    <s v="Q2"/>
    <x v="0"/>
    <s v="KEPL/00235/82-83"/>
    <s v="BEERA BARJEE INTERNATIONAL PVT.LTD"/>
    <s v="Sprinkler"/>
    <x v="46"/>
    <n v="1"/>
    <n v="100"/>
    <n v="98.03"/>
    <n v="9803"/>
    <n v="-891.08999999999992"/>
    <n v="0"/>
    <n v="1158.5483140000001"/>
    <n v="10070.458314"/>
  </r>
  <r>
    <x v="48"/>
    <x v="4"/>
    <s v="Q2"/>
    <x v="0"/>
    <s v="KEPL/00235/82-83"/>
    <s v="BEERA BARJEE INTERNATIONAL PVT.LTD"/>
    <s v="Blends"/>
    <x v="10"/>
    <n v="1"/>
    <n v="180"/>
    <n v="60.84"/>
    <n v="10951.199999999999"/>
    <n v="-995.46"/>
    <n v="0"/>
    <n v="1294.246216"/>
    <n v="11249.986215999999"/>
  </r>
  <r>
    <x v="48"/>
    <x v="4"/>
    <s v="Q2"/>
    <x v="0"/>
    <s v="KEPL/00235/82-83"/>
    <s v="BEERA BARJEE INTERNATIONAL PVT.LTD"/>
    <s v="Cooking Paste"/>
    <x v="29"/>
    <n v="1"/>
    <n v="120"/>
    <n v="57.46"/>
    <n v="6895.2"/>
    <n v="-626.77"/>
    <n v="0"/>
    <n v="814.89590999999996"/>
    <n v="7083.3259099999996"/>
  </r>
  <r>
    <x v="48"/>
    <x v="4"/>
    <s v="Q2"/>
    <x v="0"/>
    <s v="KEPL/00235/82-83"/>
    <s v="BEERA BARJEE INTERNATIONAL PVT.LTD"/>
    <s v="Blends"/>
    <x v="11"/>
    <n v="2"/>
    <n v="360"/>
    <n v="64.23"/>
    <n v="23122.799999999999"/>
    <n v="-2101.8599999999997"/>
    <n v="0"/>
    <n v="2732.722233"/>
    <n v="23753.662232999999"/>
  </r>
  <r>
    <x v="48"/>
    <x v="4"/>
    <s v="Q2"/>
    <x v="0"/>
    <s v="KEPL/00235/82-83"/>
    <s v="BEERA BARJEE INTERNATIONAL PVT.LTD"/>
    <s v="Straight Premium"/>
    <x v="34"/>
    <n v="0.88"/>
    <n v="70"/>
    <n v="229.86"/>
    <n v="16090.2"/>
    <n v="-1462.6"/>
    <n v="0"/>
    <n v="1901.588023"/>
    <n v="16529.188022999999"/>
  </r>
  <r>
    <x v="48"/>
    <x v="4"/>
    <s v="Q2"/>
    <x v="0"/>
    <s v="KEPL/00235/82-83"/>
    <s v="BEERA BARJEE INTERNATIONAL PVT.LTD"/>
    <s v="Straight Premium"/>
    <x v="7"/>
    <n v="1"/>
    <n v="120"/>
    <n v="152.11000000000001"/>
    <n v="18253.2"/>
    <n v="-1659.2199999999998"/>
    <n v="0"/>
    <n v="2157.2174260000002"/>
    <n v="18751.197425999999"/>
  </r>
  <r>
    <x v="48"/>
    <x v="4"/>
    <s v="Q2"/>
    <x v="0"/>
    <s v="KEPL/00235/82-83"/>
    <s v="BEERA BARJEE INTERNATIONAL PVT.LTD"/>
    <s v="Blends"/>
    <x v="9"/>
    <n v="1"/>
    <n v="180"/>
    <n v="70.989999999999995"/>
    <n v="12778.2"/>
    <n v="-1161.54"/>
    <n v="0"/>
    <n v="1510.1658179999999"/>
    <n v="13126.825817999999"/>
  </r>
  <r>
    <x v="48"/>
    <x v="4"/>
    <s v="Q2"/>
    <x v="0"/>
    <s v="KESR/0001/82-83"/>
    <s v="HAMRO KIRANA PASAL"/>
    <s v="Blends"/>
    <x v="10"/>
    <n v="-0.61"/>
    <n v="-110"/>
    <n v="60.84"/>
    <n v="-6692.4000000000005"/>
    <n v="256.99"/>
    <n v="0"/>
    <n v="-836.60323600000004"/>
    <n v="-7272.0132359999998"/>
  </r>
  <r>
    <x v="48"/>
    <x v="4"/>
    <s v="Q2"/>
    <x v="0"/>
    <s v="KESR/0001/82-83"/>
    <s v="HAMRO KIRANA PASAL"/>
    <s v="Blends"/>
    <x v="19"/>
    <n v="-0.61"/>
    <n v="-109"/>
    <n v="155.49"/>
    <n v="-16948.41"/>
    <n v="650.82000000000005"/>
    <n v="0"/>
    <n v="-2118.6865379999999"/>
    <n v="-18416.276537999998"/>
  </r>
  <r>
    <x v="48"/>
    <x v="4"/>
    <s v="Q2"/>
    <x v="0"/>
    <s v="KESR/0001/82-83"/>
    <s v="HAMRO KIRANA PASAL"/>
    <s v="Straight Premium"/>
    <x v="28"/>
    <n v="-0.1"/>
    <n v="-8"/>
    <n v="169.01"/>
    <n v="-1352.08"/>
    <n v="51.92"/>
    <n v="0"/>
    <n v="-169.02078699999998"/>
    <n v="-1469.180787"/>
  </r>
  <r>
    <x v="48"/>
    <x v="4"/>
    <s v="Q2"/>
    <x v="0"/>
    <s v="KESR/0001/82-83"/>
    <s v="HAMRO KIRANA PASAL"/>
    <s v="Cooking Paste"/>
    <x v="30"/>
    <n v="-0.33"/>
    <n v="-20"/>
    <n v="98.03"/>
    <n v="-1960.6"/>
    <n v="75.290000000000006"/>
    <n v="0"/>
    <n v="-245.090281"/>
    <n v="-2130.4002810000002"/>
  </r>
  <r>
    <x v="48"/>
    <x v="4"/>
    <s v="Q2"/>
    <x v="0"/>
    <s v="KESR/0001/82-83"/>
    <s v="HAMRO KIRANA PASAL"/>
    <s v="Straight Pouch"/>
    <x v="4"/>
    <n v="-0.13"/>
    <n v="-5"/>
    <n v="260.27999999999997"/>
    <n v="-1301.4000000000001"/>
    <n v="49.97"/>
    <n v="0"/>
    <n v="-162.68588800000001"/>
    <n v="-1414.115888"/>
  </r>
  <r>
    <x v="48"/>
    <x v="4"/>
    <s v="Q2"/>
    <x v="0"/>
    <s v="KESR/0001/82-83"/>
    <s v="HAMRO KIRANA PASAL"/>
    <s v="Straight Pouch"/>
    <x v="3"/>
    <n v="-0.1"/>
    <n v="-4"/>
    <n v="459.72"/>
    <n v="-1838.88"/>
    <n v="70.61"/>
    <n v="0"/>
    <n v="-229.87508199999999"/>
    <n v="-1998.145082"/>
  </r>
  <r>
    <x v="48"/>
    <x v="4"/>
    <s v="Q2"/>
    <x v="0"/>
    <s v="KESR/0001/82-83"/>
    <s v="HAMRO KIRANA PASAL"/>
    <s v="Blends"/>
    <x v="2"/>
    <n v="-2.0299999999999998"/>
    <n v="-365"/>
    <n v="64.23"/>
    <n v="-23443.95"/>
    <n v="900.24999999999989"/>
    <n v="0"/>
    <n v="-2930.6807760000002"/>
    <n v="-25474.380776000002"/>
  </r>
  <r>
    <x v="48"/>
    <x v="4"/>
    <s v="Q2"/>
    <x v="0"/>
    <s v="KESR/0001/82-83"/>
    <s v="HAMRO KIRANA PASAL"/>
    <s v="Cooking Paste"/>
    <x v="29"/>
    <n v="-1.0900000000000001"/>
    <n v="-131"/>
    <n v="57.46"/>
    <n v="-7527.2599999999993"/>
    <n v="289.05"/>
    <n v="0"/>
    <n v="-940.96722799999998"/>
    <n v="-8179.1772279999996"/>
  </r>
  <r>
    <x v="48"/>
    <x v="4"/>
    <s v="Q2"/>
    <x v="0"/>
    <s v="KESR/0001/82-83"/>
    <s v="HAMRO KIRANA PASAL"/>
    <s v="Sprinkler"/>
    <x v="26"/>
    <n v="-0.25"/>
    <n v="-18"/>
    <n v="131.83000000000001"/>
    <n v="-2372.94"/>
    <n v="91.12"/>
    <n v="0"/>
    <n v="-296.63657699999999"/>
    <n v="-2578.4565769999999"/>
  </r>
  <r>
    <x v="48"/>
    <x v="4"/>
    <s v="Q2"/>
    <x v="0"/>
    <s v="KESR/0001/82-83"/>
    <s v="HAMRO KIRANA PASAL"/>
    <s v="Sprinkler"/>
    <x v="25"/>
    <n v="-0.06"/>
    <n v="-3"/>
    <n v="310.99"/>
    <n v="-932.96999999999991"/>
    <n v="35.83"/>
    <n v="0"/>
    <n v="-116.628191"/>
    <n v="-1013.768191"/>
  </r>
  <r>
    <x v="48"/>
    <x v="4"/>
    <s v="Q2"/>
    <x v="0"/>
    <s v="KESR/0001/82-83"/>
    <s v="HAMRO KIRANA PASAL"/>
    <s v="Sprinkler"/>
    <x v="31"/>
    <n v="-0.22"/>
    <n v="-16"/>
    <n v="148.72999999999999"/>
    <n v="-2379.6799999999998"/>
    <n v="91.38"/>
    <n v="0"/>
    <n v="-297.47897699999999"/>
    <n v="-2585.7789769999999"/>
  </r>
  <r>
    <x v="48"/>
    <x v="4"/>
    <s v="Q2"/>
    <x v="0"/>
    <s v="KESR/0001/82-83"/>
    <s v="HAMRO KIRANA PASAL"/>
    <s v="Straight Premium"/>
    <x v="5"/>
    <n v="-1.99"/>
    <n v="-359"/>
    <n v="94.65"/>
    <n v="-33979.35"/>
    <n v="1304.81"/>
    <n v="0"/>
    <n v="-4247.689875"/>
    <n v="-36922.229874999997"/>
  </r>
  <r>
    <x v="48"/>
    <x v="4"/>
    <s v="Q2"/>
    <x v="0"/>
    <s v="KESR/0001/82-83"/>
    <s v="HAMRO KIRANA PASAL"/>
    <s v="Blends"/>
    <x v="0"/>
    <n v="-0.82"/>
    <n v="-147"/>
    <n v="64.23"/>
    <n v="-9441.81"/>
    <n v="362.57"/>
    <n v="0"/>
    <n v="-1180.3011100000001"/>
    <n v="-10259.54111"/>
  </r>
  <r>
    <x v="48"/>
    <x v="4"/>
    <s v="Q2"/>
    <x v="0"/>
    <s v="KESR/0001/82-83"/>
    <s v="HAMRO KIRANA PASAL"/>
    <s v="Straight Pouch"/>
    <x v="1"/>
    <n v="-0.05"/>
    <n v="-5"/>
    <n v="108.17"/>
    <n v="-540.85"/>
    <n v="20.77"/>
    <n v="0"/>
    <n v="-67.610395000000011"/>
    <n v="-587.69039499999997"/>
  </r>
  <r>
    <x v="48"/>
    <x v="4"/>
    <s v="Q2"/>
    <x v="0"/>
    <s v="KESR/0001/82-83"/>
    <s v="HAMRO KIRANA PASAL"/>
    <s v="Straight Pouch"/>
    <x v="6"/>
    <n v="-0.05"/>
    <n v="-5"/>
    <n v="189.3"/>
    <n v="-946.5"/>
    <n v="36.35"/>
    <n v="0"/>
    <n v="-118.319491"/>
    <n v="-1028.4694910000001"/>
  </r>
  <r>
    <x v="48"/>
    <x v="4"/>
    <s v="Q2"/>
    <x v="0"/>
    <s v="KESR/0001/82-83"/>
    <s v="HAMRO KIRANA PASAL"/>
    <s v="Blends"/>
    <x v="11"/>
    <n v="-1.25"/>
    <n v="-225"/>
    <n v="64.23"/>
    <n v="-14451.75"/>
    <n v="554.95000000000005"/>
    <n v="0"/>
    <n v="-1806.583862"/>
    <n v="-15703.383862000001"/>
  </r>
  <r>
    <x v="48"/>
    <x v="4"/>
    <s v="Q2"/>
    <x v="0"/>
    <s v="KESR/0001/82-83"/>
    <s v="HAMRO KIRANA PASAL"/>
    <s v="Straight Premium"/>
    <x v="8"/>
    <n v="-1.29"/>
    <n v="-155"/>
    <n v="57.46"/>
    <n v="-8906.2999999999993"/>
    <n v="342"/>
    <n v="0"/>
    <n v="-1113.358915"/>
    <n v="-9677.658915"/>
  </r>
  <r>
    <x v="48"/>
    <x v="4"/>
    <s v="Q2"/>
    <x v="0"/>
    <s v="KESR/0001/82-83"/>
    <s v="HAMRO KIRANA PASAL"/>
    <s v="Straight Premium"/>
    <x v="7"/>
    <n v="-2.13"/>
    <n v="-255"/>
    <n v="152.11000000000001"/>
    <n v="-38788.050000000003"/>
    <n v="1489.4599999999998"/>
    <n v="0"/>
    <n v="-4848.8163290000002"/>
    <n v="-42147.406328999998"/>
  </r>
  <r>
    <x v="48"/>
    <x v="4"/>
    <s v="Q2"/>
    <x v="0"/>
    <s v="KESR/0001/82-83"/>
    <s v="HAMRO KIRANA PASAL"/>
    <s v="Blends"/>
    <x v="9"/>
    <n v="-0.32"/>
    <n v="-57"/>
    <n v="70.989999999999995"/>
    <n v="-4046.43"/>
    <n v="155.38"/>
    <n v="0"/>
    <n v="-505.83646099999999"/>
    <n v="-4396.8864610000001"/>
  </r>
  <r>
    <x v="48"/>
    <x v="4"/>
    <s v="Q2"/>
    <x v="0"/>
    <s v="KESR/0002/82-83"/>
    <s v="HAMRO KIRANA PASAL"/>
    <s v="Straight Pouch"/>
    <x v="12"/>
    <n v="-0.13"/>
    <n v="-5"/>
    <n v="309.39999999999998"/>
    <n v="-1547"/>
    <n v="59.4"/>
    <n v="0"/>
    <n v="0"/>
    <n v="-1487.6"/>
  </r>
  <r>
    <x v="48"/>
    <x v="4"/>
    <s v="Q2"/>
    <x v="0"/>
    <s v="KESR/0002/82-83"/>
    <s v="HAMRO KIRANA PASAL"/>
    <s v="Straight Pouch"/>
    <x v="13"/>
    <n v="-0.05"/>
    <n v="-5"/>
    <n v="129.87"/>
    <n v="-649.35"/>
    <n v="24.94"/>
    <n v="0"/>
    <n v="0"/>
    <n v="-624.41"/>
  </r>
  <r>
    <x v="49"/>
    <x v="4"/>
    <s v="Q2"/>
    <x v="0"/>
    <s v="KEPL/00257/82-83"/>
    <s v="BEERA BARJEE INTERNATIONAL PVT.LTD"/>
    <s v="Cooking Paste"/>
    <x v="30"/>
    <n v="0.17"/>
    <n v="10"/>
    <n v="0"/>
    <n v="0"/>
    <s v=""/>
    <s v=""/>
    <s v=""/>
    <n v="0"/>
  </r>
  <r>
    <x v="49"/>
    <x v="4"/>
    <s v="Q2"/>
    <x v="0"/>
    <s v="KEPL/00257/82-83"/>
    <s v="BEERA BARJEE INTERNATIONAL PVT.LTD"/>
    <s v="Straight Pouch"/>
    <x v="13"/>
    <n v="0.2"/>
    <n v="20"/>
    <n v="129.87"/>
    <n v="2597.4"/>
    <n v="-236.1"/>
    <n v="0"/>
    <n v="0"/>
    <n v="2361.3000000000002"/>
  </r>
  <r>
    <x v="49"/>
    <x v="4"/>
    <s v="Q2"/>
    <x v="0"/>
    <s v="KEPL/00257/82-83"/>
    <s v="BEERA BARJEE INTERNATIONAL PVT.LTD"/>
    <s v="Straight Premium"/>
    <x v="22"/>
    <n v="0.25"/>
    <n v="10"/>
    <n v="0"/>
    <n v="0"/>
    <s v=""/>
    <s v=""/>
    <s v=""/>
    <n v="0"/>
  </r>
  <r>
    <x v="49"/>
    <x v="4"/>
    <s v="Q2"/>
    <x v="0"/>
    <s v="KEPL/00257/82-83"/>
    <s v="BEERA BARJEE INTERNATIONAL PVT.LTD"/>
    <s v="Blends"/>
    <x v="20"/>
    <n v="0.08"/>
    <n v="10"/>
    <n v="0"/>
    <n v="0"/>
    <s v=""/>
    <s v=""/>
    <s v=""/>
    <n v="0"/>
  </r>
  <r>
    <x v="49"/>
    <x v="4"/>
    <s v="Q2"/>
    <x v="0"/>
    <s v="KEPL/00257/82-83"/>
    <s v="BEERA BARJEE INTERNATIONAL PVT.LTD"/>
    <s v="Straight Premium"/>
    <x v="8"/>
    <n v="0.08"/>
    <n v="10"/>
    <n v="0"/>
    <n v="0"/>
    <s v=""/>
    <s v=""/>
    <s v=""/>
    <n v="0"/>
  </r>
  <r>
    <x v="49"/>
    <x v="4"/>
    <s v="Q2"/>
    <x v="0"/>
    <s v="KEPL/00257/82-83"/>
    <s v="BEERA BARJEE INTERNATIONAL PVT.LTD"/>
    <s v="Straight Pouch"/>
    <x v="13"/>
    <n v="0.1"/>
    <n v="10"/>
    <n v="0"/>
    <n v="0"/>
    <s v=""/>
    <s v=""/>
    <s v=""/>
    <n v="0"/>
  </r>
  <r>
    <x v="49"/>
    <x v="4"/>
    <s v="Q2"/>
    <x v="0"/>
    <s v="KEPL/00257/82-83"/>
    <s v="BEERA BARJEE INTERNATIONAL PVT.LTD"/>
    <s v="Blends"/>
    <x v="16"/>
    <n v="0.08"/>
    <n v="10"/>
    <n v="0"/>
    <n v="0"/>
    <s v=""/>
    <s v=""/>
    <s v=""/>
    <n v="0"/>
  </r>
  <r>
    <x v="50"/>
    <x v="4"/>
    <s v="Q2"/>
    <x v="0"/>
    <s v="KEPL/00273/82-83"/>
    <s v="SIMPEX SOLUTION PVT. LTD"/>
    <s v="Sprinkler"/>
    <x v="31"/>
    <n v="0.11"/>
    <n v="8"/>
    <n v="155.75"/>
    <n v="1246"/>
    <n v="0"/>
    <n v="0"/>
    <n v="161.98014599999999"/>
    <n v="1407.9801460000001"/>
  </r>
  <r>
    <x v="50"/>
    <x v="4"/>
    <s v="Q2"/>
    <x v="0"/>
    <s v="KEPL/00273/82-83"/>
    <s v="SIMPEX SOLUTION PVT. LTD"/>
    <s v="Cooking Paste"/>
    <x v="30"/>
    <n v="0.17"/>
    <n v="10"/>
    <n v="102.65"/>
    <n v="1026.5"/>
    <n v="0"/>
    <n v="0"/>
    <n v="133.44512"/>
    <n v="1159.9451200000001"/>
  </r>
  <r>
    <x v="50"/>
    <x v="4"/>
    <s v="Q2"/>
    <x v="0"/>
    <s v="KEPL/00273/82-83"/>
    <s v="SIMPEX SOLUTION PVT. LTD"/>
    <s v="Straight Premium"/>
    <x v="8"/>
    <n v="0.16"/>
    <n v="19"/>
    <n v="60.18"/>
    <n v="1143.42"/>
    <n v="0"/>
    <n v="0"/>
    <n v="148.644734"/>
    <n v="1292.064734"/>
  </r>
  <r>
    <x v="51"/>
    <x v="4"/>
    <s v="Q2"/>
    <x v="0"/>
    <s v="KEPL/00276/82-83"/>
    <s v="BEERA BARJEE INTERNATIONAL PVT.LTD"/>
    <s v="Straight Premium"/>
    <x v="33"/>
    <n v="1"/>
    <n v="180"/>
    <n v="91.27"/>
    <n v="16428.599999999999"/>
    <n v="-1493.36"/>
    <n v="0"/>
    <n v="1941.580749"/>
    <n v="16876.820748999999"/>
  </r>
  <r>
    <x v="51"/>
    <x v="4"/>
    <s v="Q2"/>
    <x v="0"/>
    <s v="KEPL/00276/82-83"/>
    <s v="BEERA BARJEE INTERNATIONAL PVT.LTD"/>
    <s v="Blends"/>
    <x v="0"/>
    <n v="1"/>
    <n v="180"/>
    <n v="64.23"/>
    <n v="11561.4"/>
    <n v="-1050.9299999999998"/>
    <n v="0"/>
    <n v="1366.3607830000001"/>
    <n v="11876.830782999999"/>
  </r>
  <r>
    <x v="51"/>
    <x v="4"/>
    <s v="Q2"/>
    <x v="0"/>
    <s v="KEPL/00276/82-83"/>
    <s v="BEERA BARJEE INTERNATIONAL PVT.LTD"/>
    <s v="Sprinkler"/>
    <x v="26"/>
    <n v="0.5"/>
    <n v="36"/>
    <n v="131.83000000000001"/>
    <n v="4745.88"/>
    <n v="-431.4"/>
    <n v="0"/>
    <n v="560.88227000000006"/>
    <n v="4875.3622699999996"/>
  </r>
  <r>
    <x v="51"/>
    <x v="4"/>
    <s v="Q2"/>
    <x v="0"/>
    <s v="KEPL/00276/82-83"/>
    <s v="BEERA BARJEE INTERNATIONAL PVT.LTD"/>
    <s v="Blends"/>
    <x v="2"/>
    <n v="1"/>
    <n v="180"/>
    <n v="64.23"/>
    <n v="11561.4"/>
    <n v="-1050.9299999999998"/>
    <n v="0"/>
    <n v="1366.3607830000001"/>
    <n v="11876.830782999999"/>
  </r>
  <r>
    <x v="51"/>
    <x v="4"/>
    <s v="Q2"/>
    <x v="0"/>
    <s v="KEPL/00276/82-83"/>
    <s v="BEERA BARJEE INTERNATIONAL PVT.LTD"/>
    <s v="Cooking Paste"/>
    <x v="30"/>
    <n v="3"/>
    <n v="180"/>
    <n v="98.03"/>
    <n v="17645.400000000001"/>
    <n v="-1603.97"/>
    <n v="0"/>
    <n v="2085.3854160000001"/>
    <n v="18126.815416000001"/>
  </r>
  <r>
    <x v="52"/>
    <x v="4"/>
    <s v="Q2"/>
    <x v="0"/>
    <s v="KEPL/00293/82-83"/>
    <s v="DS SPICECO L &amp; D"/>
    <s v="Blends"/>
    <x v="44"/>
    <n v="1.1100000000000001"/>
    <n v="200"/>
    <n v="101.02"/>
    <n v="20204"/>
    <n v="0"/>
    <n v="0"/>
    <n v="2626.5200000000004"/>
    <n v="22830.52"/>
  </r>
  <r>
    <x v="52"/>
    <x v="4"/>
    <s v="Q2"/>
    <x v="0"/>
    <s v="KEPL/00293/82-83"/>
    <s v="DS SPICECO L &amp; D"/>
    <s v="Straight Premium"/>
    <x v="8"/>
    <n v="1.67"/>
    <n v="200"/>
    <n v="45.2"/>
    <n v="9040"/>
    <n v="0"/>
    <n v="0"/>
    <n v="1175.2"/>
    <n v="10215.200000000001"/>
  </r>
  <r>
    <x v="52"/>
    <x v="4"/>
    <s v="Q2"/>
    <x v="0"/>
    <s v="KEPL/00293/82-83"/>
    <s v="DS SPICECO L &amp; D"/>
    <s v="Cooking Paste"/>
    <x v="30"/>
    <n v="3.33"/>
    <n v="200"/>
    <n v="80.3"/>
    <n v="16060.000000000002"/>
    <n v="0"/>
    <n v="0"/>
    <n v="2087.8000000000002"/>
    <n v="18147.8"/>
  </r>
  <r>
    <x v="52"/>
    <x v="4"/>
    <s v="Q2"/>
    <x v="0"/>
    <s v="KEPL/00293/82-83"/>
    <s v="DS SPICECO L &amp; D"/>
    <s v="Blends"/>
    <x v="16"/>
    <n v="1.67"/>
    <n v="200"/>
    <n v="95.71"/>
    <n v="19142"/>
    <n v="0"/>
    <n v="0"/>
    <n v="2488.46"/>
    <n v="21630.46"/>
  </r>
  <r>
    <x v="52"/>
    <x v="4"/>
    <s v="Q2"/>
    <x v="0"/>
    <s v="KEPL/00293/82-83"/>
    <s v="DS SPICECO L &amp; D"/>
    <s v="Blends"/>
    <x v="14"/>
    <n v="1.1100000000000001"/>
    <n v="200"/>
    <n v="106.9"/>
    <n v="21380"/>
    <n v="0"/>
    <n v="0"/>
    <n v="2779.3999999999996"/>
    <n v="24159.4"/>
  </r>
  <r>
    <x v="52"/>
    <x v="4"/>
    <s v="Q2"/>
    <x v="0"/>
    <s v="KEPL/00293/82-83"/>
    <s v="DS SPICECO L &amp; D"/>
    <s v="Blends"/>
    <x v="32"/>
    <n v="1.67"/>
    <n v="200"/>
    <n v="50.51"/>
    <n v="10102"/>
    <n v="0"/>
    <n v="0"/>
    <n v="1313.2600000000002"/>
    <n v="11415.26"/>
  </r>
  <r>
    <x v="52"/>
    <x v="4"/>
    <s v="Q2"/>
    <x v="0"/>
    <s v="KEPL/00293/82-83"/>
    <s v="DS SPICECO L &amp; D"/>
    <s v="Blends"/>
    <x v="10"/>
    <n v="1.1100000000000001"/>
    <n v="200"/>
    <n v="49.84"/>
    <n v="9968"/>
    <n v="0"/>
    <n v="0"/>
    <n v="1295.8399999999999"/>
    <n v="11263.84"/>
  </r>
  <r>
    <x v="52"/>
    <x v="4"/>
    <s v="Q2"/>
    <x v="0"/>
    <s v="KESR/0003/82-83"/>
    <s v="SIMPEX SOLUTION PVT. LTD"/>
    <s v="Cooking Paste"/>
    <x v="29"/>
    <n v="-7.0000000000000007E-2"/>
    <n v="-8"/>
    <n v="60.18"/>
    <n v="-481.44"/>
    <n v="0"/>
    <n v="0"/>
    <n v="-62.59"/>
    <n v="-544.03"/>
  </r>
  <r>
    <x v="53"/>
    <x v="4"/>
    <s v="Q2"/>
    <x v="0"/>
    <s v="KEPL/00327/82-83"/>
    <s v="SAFAL MART PVT.LTD"/>
    <s v="Blends"/>
    <x v="0"/>
    <n v="1"/>
    <n v="180"/>
    <n v="64.23"/>
    <n v="11561.4"/>
    <n v="-1050.9299999999998"/>
    <n v="0"/>
    <n v="1366.361024"/>
    <n v="11876.831023999999"/>
  </r>
  <r>
    <x v="53"/>
    <x v="4"/>
    <s v="Q2"/>
    <x v="0"/>
    <s v="KEPL/00327/82-83"/>
    <s v="SAFAL MART PVT.LTD"/>
    <s v="Blends"/>
    <x v="11"/>
    <n v="1"/>
    <n v="180"/>
    <n v="64.23"/>
    <n v="11561.4"/>
    <n v="-1050.9299999999998"/>
    <n v="0"/>
    <n v="1366.361024"/>
    <n v="11876.831023999999"/>
  </r>
  <r>
    <x v="53"/>
    <x v="4"/>
    <s v="Q2"/>
    <x v="0"/>
    <s v="KEPL/00327/82-83"/>
    <s v="SAFAL MART PVT.LTD"/>
    <s v="Blends"/>
    <x v="16"/>
    <n v="1"/>
    <n v="120"/>
    <n v="121.69"/>
    <n v="14602.800000000001"/>
    <n v="-1327.39"/>
    <n v="0"/>
    <n v="1725.8032040000001"/>
    <n v="15001.213204"/>
  </r>
  <r>
    <x v="53"/>
    <x v="4"/>
    <s v="Q2"/>
    <x v="0"/>
    <s v="KEPL/00327/82-83"/>
    <s v="SAFAL MART PVT.LTD"/>
    <s v="Blends"/>
    <x v="20"/>
    <n v="1"/>
    <n v="120"/>
    <n v="121.69"/>
    <n v="14602.800000000001"/>
    <n v="-1327.39"/>
    <n v="0"/>
    <n v="1725.8032040000001"/>
    <n v="15001.213204"/>
  </r>
  <r>
    <x v="53"/>
    <x v="4"/>
    <s v="Q2"/>
    <x v="0"/>
    <s v="KEPL/00327/82-83"/>
    <s v="SAFAL MART PVT.LTD"/>
    <s v="Blends"/>
    <x v="19"/>
    <n v="0.5"/>
    <n v="90"/>
    <n v="155.49"/>
    <n v="13994.1"/>
    <n v="-1272.0600000000002"/>
    <n v="0"/>
    <n v="1653.865108"/>
    <n v="14375.905108000001"/>
  </r>
  <r>
    <x v="53"/>
    <x v="4"/>
    <s v="Q2"/>
    <x v="0"/>
    <s v="KEPL/00327/82-83"/>
    <s v="SAFAL MART PVT.LTD"/>
    <s v="Blends"/>
    <x v="32"/>
    <n v="1"/>
    <n v="120"/>
    <n v="64.23"/>
    <n v="7707.5999999999995"/>
    <n v="-700.62"/>
    <n v="0"/>
    <n v="910.90734899999995"/>
    <n v="7917.8873489999996"/>
  </r>
  <r>
    <x v="53"/>
    <x v="4"/>
    <s v="Q2"/>
    <x v="0"/>
    <s v="KEPL/00327/82-83"/>
    <s v="SAFAL MART PVT.LTD"/>
    <s v="Straight Premium"/>
    <x v="28"/>
    <n v="1"/>
    <n v="80"/>
    <n v="169.01"/>
    <n v="13520.8"/>
    <n v="-1229.04"/>
    <n v="0"/>
    <n v="1597.928711"/>
    <n v="13889.688711000001"/>
  </r>
  <r>
    <x v="53"/>
    <x v="4"/>
    <s v="Q2"/>
    <x v="0"/>
    <s v="KEPL/00327/82-83"/>
    <s v="SAFAL MART PVT.LTD"/>
    <s v="Blends"/>
    <x v="42"/>
    <n v="1"/>
    <n v="120"/>
    <n v="94.65"/>
    <n v="11358"/>
    <n v="-1032.44"/>
    <n v="0"/>
    <n v="1342.3227259999999"/>
    <n v="11667.882726"/>
  </r>
  <r>
    <x v="53"/>
    <x v="4"/>
    <s v="Q2"/>
    <x v="0"/>
    <s v="KEPL/00327/82-83"/>
    <s v="SAFAL MART PVT.LTD"/>
    <s v="Straight Premium"/>
    <x v="23"/>
    <n v="1"/>
    <n v="180"/>
    <n v="182.53"/>
    <n v="32855.4"/>
    <n v="-2986.56"/>
    <n v="0"/>
    <n v="3882.9489850000004"/>
    <n v="33751.788984999999"/>
  </r>
  <r>
    <x v="53"/>
    <x v="4"/>
    <s v="Q2"/>
    <x v="0"/>
    <s v="KEPL/00327/82-83"/>
    <s v="SAFAL MART PVT.LTD"/>
    <s v="Straight Premium"/>
    <x v="8"/>
    <n v="1"/>
    <n v="120"/>
    <n v="57.46"/>
    <n v="6895.2"/>
    <n v="-626.77"/>
    <n v="0"/>
    <n v="814.89585499999998"/>
    <n v="7083.325855"/>
  </r>
  <r>
    <x v="53"/>
    <x v="4"/>
    <s v="Q2"/>
    <x v="0"/>
    <s v="KEPL/00327/82-83"/>
    <s v="SAFAL MART PVT.LTD"/>
    <s v="Blends"/>
    <x v="14"/>
    <n v="1"/>
    <n v="180"/>
    <n v="135.21"/>
    <n v="24337.8"/>
    <n v="-2212.31"/>
    <n v="0"/>
    <n v="2876.3135400000001"/>
    <n v="25001.803540000001"/>
  </r>
  <r>
    <x v="53"/>
    <x v="4"/>
    <s v="Q2"/>
    <x v="0"/>
    <s v="KEPL/00327/82-83"/>
    <s v="SAFAL MART PVT.LTD"/>
    <s v="Blends"/>
    <x v="17"/>
    <n v="1"/>
    <n v="180"/>
    <n v="121.69"/>
    <n v="21904.199999999997"/>
    <n v="-1991.09"/>
    <n v="0"/>
    <n v="2588.7041560000002"/>
    <n v="22501.814156"/>
  </r>
  <r>
    <x v="53"/>
    <x v="4"/>
    <s v="Q2"/>
    <x v="0"/>
    <s v="KEPL/00327/82-83"/>
    <s v="SAFAL MART PVT.LTD"/>
    <s v="Blends"/>
    <x v="2"/>
    <n v="1"/>
    <n v="180"/>
    <n v="64.23"/>
    <n v="11561.4"/>
    <n v="-1050.9299999999998"/>
    <n v="0"/>
    <n v="1366.361024"/>
    <n v="11876.831023999999"/>
  </r>
  <r>
    <x v="53"/>
    <x v="4"/>
    <s v="Q2"/>
    <x v="0"/>
    <s v="KEPL/00327/82-83"/>
    <s v="SAFAL MART PVT.LTD"/>
    <s v="Straight Premium"/>
    <x v="5"/>
    <n v="1"/>
    <n v="180"/>
    <n v="94.65"/>
    <n v="17037"/>
    <n v="-1548.6599999999999"/>
    <n v="0"/>
    <n v="2013.4840879999999"/>
    <n v="17501.824088000001"/>
  </r>
  <r>
    <x v="54"/>
    <x v="4"/>
    <s v="Q2"/>
    <x v="0"/>
    <s v="KEPL/00374/82-83"/>
    <s v="SIMPEX SOLUTION PVT. LTD"/>
    <s v="Blends"/>
    <x v="11"/>
    <n v="0.22"/>
    <n v="39"/>
    <n v="67.260000000000005"/>
    <n v="2623.14"/>
    <n v="0"/>
    <n v="0"/>
    <n v="341.00771899999995"/>
    <n v="2964.1477190000001"/>
  </r>
  <r>
    <x v="54"/>
    <x v="4"/>
    <s v="Q2"/>
    <x v="0"/>
    <s v="KEPL/00374/82-83"/>
    <s v="SIMPEX SOLUTION PVT. LTD"/>
    <s v="Blends"/>
    <x v="0"/>
    <n v="0.09"/>
    <n v="17"/>
    <n v="67.260000000000005"/>
    <n v="1143.42"/>
    <n v="0"/>
    <n v="0"/>
    <n v="148.64439000000002"/>
    <n v="1292.06439"/>
  </r>
  <r>
    <x v="54"/>
    <x v="4"/>
    <s v="Q2"/>
    <x v="0"/>
    <s v="KEPL/00374/82-83"/>
    <s v="SIMPEX SOLUTION PVT. LTD"/>
    <s v="Blends"/>
    <x v="10"/>
    <n v="0.11"/>
    <n v="19"/>
    <n v="63.72"/>
    <n v="1210.68"/>
    <n v="0"/>
    <n v="0"/>
    <n v="157.38817799999998"/>
    <n v="1368.068178"/>
  </r>
  <r>
    <x v="54"/>
    <x v="4"/>
    <s v="Q2"/>
    <x v="0"/>
    <s v="KEPL/00374/82-83"/>
    <s v="SIMPEX SOLUTION PVT. LTD"/>
    <s v="Blends"/>
    <x v="2"/>
    <n v="0.26"/>
    <n v="47"/>
    <n v="67.260000000000005"/>
    <n v="3161.22"/>
    <n v="0"/>
    <n v="0"/>
    <n v="410.95802099999997"/>
    <n v="3572.1780210000002"/>
  </r>
  <r>
    <x v="54"/>
    <x v="4"/>
    <s v="Q2"/>
    <x v="0"/>
    <s v="KEPL/00374/82-83"/>
    <s v="SIMPEX SOLUTION PVT. LTD"/>
    <s v="Blends"/>
    <x v="9"/>
    <n v="0.03"/>
    <n v="5"/>
    <n v="74.34"/>
    <n v="371.7"/>
    <n v="0"/>
    <n v="0"/>
    <n v="48.320931999999999"/>
    <n v="420.02093200000002"/>
  </r>
  <r>
    <x v="54"/>
    <x v="4"/>
    <s v="Q2"/>
    <x v="0"/>
    <s v="KEPL/00374/82-83"/>
    <s v="SIMPEX SOLUTION PVT. LTD"/>
    <s v="Straight Premium"/>
    <x v="5"/>
    <n v="0.22"/>
    <n v="39"/>
    <n v="99.12"/>
    <n v="3865.68"/>
    <n v="0"/>
    <n v="0"/>
    <n v="502.53769199999999"/>
    <n v="4368.2176920000002"/>
  </r>
  <r>
    <x v="54"/>
    <x v="4"/>
    <s v="Q2"/>
    <x v="0"/>
    <s v="KEPL/00374/82-83"/>
    <s v="SIMPEX SOLUTION PVT. LTD"/>
    <s v="Cooking Paste"/>
    <x v="30"/>
    <n v="0.57999999999999996"/>
    <n v="35"/>
    <n v="102.65"/>
    <n v="3592.75"/>
    <n v="0"/>
    <n v="0"/>
    <n v="467.05684200000002"/>
    <n v="4059.806842"/>
  </r>
  <r>
    <x v="54"/>
    <x v="4"/>
    <s v="Q2"/>
    <x v="0"/>
    <s v="KEPL/00374/82-83"/>
    <s v="SIMPEX SOLUTION PVT. LTD"/>
    <s v="Straight Premium"/>
    <x v="8"/>
    <n v="0.43"/>
    <n v="52"/>
    <n v="60.18"/>
    <n v="3129.36"/>
    <n v="0"/>
    <n v="0"/>
    <n v="406.81622599999997"/>
    <n v="3536.176226"/>
  </r>
  <r>
    <x v="55"/>
    <x v="4"/>
    <s v="Q2"/>
    <x v="0"/>
    <s v="KEPL/00498/82-83"/>
    <s v="UNITED DISTRIBUTOR"/>
    <s v="Blends"/>
    <x v="18"/>
    <n v="1"/>
    <n v="120"/>
    <n v="141.97"/>
    <n v="17036.400000000001"/>
    <n v="-1548.61"/>
    <n v="0"/>
    <n v="2013.4126860000001"/>
    <n v="17501.202686000001"/>
  </r>
  <r>
    <x v="55"/>
    <x v="4"/>
    <s v="Q2"/>
    <x v="0"/>
    <s v="KEPL/00498/82-83"/>
    <s v="UNITED DISTRIBUTOR"/>
    <s v="Blends"/>
    <x v="14"/>
    <n v="1"/>
    <n v="180"/>
    <n v="135.21"/>
    <n v="24337.8"/>
    <n v="-2212.31"/>
    <n v="0"/>
    <n v="2876.3136800000002"/>
    <n v="25001.803680000001"/>
  </r>
  <r>
    <x v="55"/>
    <x v="4"/>
    <s v="Q2"/>
    <x v="0"/>
    <s v="KEPL/00498/82-83"/>
    <s v="UNITED DISTRIBUTOR"/>
    <s v="Blends"/>
    <x v="38"/>
    <n v="1"/>
    <n v="120"/>
    <n v="84.51"/>
    <n v="10141.199999999999"/>
    <n v="-921.84"/>
    <n v="0"/>
    <n v="1198.5167920000001"/>
    <n v="10417.876791999999"/>
  </r>
  <r>
    <x v="55"/>
    <x v="4"/>
    <s v="Q2"/>
    <x v="0"/>
    <s v="KEPL/00498/82-83"/>
    <s v="UNITED DISTRIBUTOR"/>
    <s v="Straight Premium"/>
    <x v="33"/>
    <n v="1"/>
    <n v="180"/>
    <n v="91.27"/>
    <n v="16428.599999999999"/>
    <n v="-1493.36"/>
    <n v="0"/>
    <n v="1941.581187"/>
    <n v="16876.821187000001"/>
  </r>
  <r>
    <x v="55"/>
    <x v="4"/>
    <s v="Q2"/>
    <x v="0"/>
    <s v="KEPL/00498/82-83"/>
    <s v="UNITED DISTRIBUTOR"/>
    <s v="Straight Premium"/>
    <x v="7"/>
    <n v="1"/>
    <n v="120"/>
    <n v="152.11000000000001"/>
    <n v="18253.2"/>
    <n v="-1659.2199999999998"/>
    <n v="0"/>
    <n v="2157.2173849999999"/>
    <n v="18751.197384999999"/>
  </r>
  <r>
    <x v="55"/>
    <x v="4"/>
    <s v="Q2"/>
    <x v="0"/>
    <s v="KEPL/00498/82-83"/>
    <s v="UNITED DISTRIBUTOR"/>
    <s v="Blends"/>
    <x v="42"/>
    <n v="1"/>
    <n v="120"/>
    <n v="94.65"/>
    <n v="11358"/>
    <n v="-1032.44"/>
    <n v="0"/>
    <n v="1342.3227909999998"/>
    <n v="11667.882791"/>
  </r>
  <r>
    <x v="55"/>
    <x v="4"/>
    <s v="Q2"/>
    <x v="0"/>
    <s v="KEPL/00498/82-83"/>
    <s v="UNITED DISTRIBUTOR"/>
    <s v="Blends"/>
    <x v="9"/>
    <n v="1"/>
    <n v="180"/>
    <n v="70.989999999999995"/>
    <n v="12778.2"/>
    <n v="-1161.54"/>
    <n v="0"/>
    <n v="1510.16579"/>
    <n v="13126.825790000001"/>
  </r>
  <r>
    <x v="55"/>
    <x v="4"/>
    <s v="Q2"/>
    <x v="0"/>
    <s v="KEPL/00498/82-83"/>
    <s v="UNITED DISTRIBUTOR"/>
    <s v="Blends"/>
    <x v="44"/>
    <n v="1"/>
    <n v="180"/>
    <n v="128.44999999999999"/>
    <n v="23121.000000000004"/>
    <n v="-2101.6999999999998"/>
    <n v="0"/>
    <n v="2732.5089810000004"/>
    <n v="23751.808980999998"/>
  </r>
  <r>
    <x v="55"/>
    <x v="4"/>
    <s v="Q2"/>
    <x v="0"/>
    <s v="KEPL/00498/82-83"/>
    <s v="UNITED DISTRIBUTOR"/>
    <s v="Blends"/>
    <x v="32"/>
    <n v="1"/>
    <n v="120"/>
    <n v="64.23"/>
    <n v="7707.5999999999995"/>
    <n v="-700.62"/>
    <n v="0"/>
    <n v="910.90739399999995"/>
    <n v="7917.8873940000003"/>
  </r>
  <r>
    <x v="55"/>
    <x v="4"/>
    <s v="Q2"/>
    <x v="0"/>
    <s v="KEPL/00498/82-83"/>
    <s v="UNITED DISTRIBUTOR"/>
    <s v="Straight Premium"/>
    <x v="34"/>
    <n v="1"/>
    <n v="80"/>
    <n v="229.86"/>
    <n v="18388.8"/>
    <n v="-1671.54"/>
    <n v="0"/>
    <n v="2173.2437850000001"/>
    <n v="18890.503785000001"/>
  </r>
  <r>
    <x v="55"/>
    <x v="4"/>
    <s v="Q2"/>
    <x v="0"/>
    <s v="KEPL/00498/82-83"/>
    <s v="UNITED DISTRIBUTOR"/>
    <s v="Straight Premium"/>
    <x v="5"/>
    <n v="1"/>
    <n v="180"/>
    <n v="94.65"/>
    <n v="17037"/>
    <n v="-1548.6599999999999"/>
    <n v="0"/>
    <n v="2013.4841860000001"/>
    <n v="17501.824186000002"/>
  </r>
  <r>
    <x v="55"/>
    <x v="4"/>
    <s v="Q2"/>
    <x v="0"/>
    <s v="KEPL/00498/82-83"/>
    <s v="UNITED DISTRIBUTOR"/>
    <s v="Blends"/>
    <x v="48"/>
    <n v="1"/>
    <n v="180"/>
    <n v="84.51"/>
    <n v="15211.800000000001"/>
    <n v="-1382.75"/>
    <n v="0"/>
    <n v="1797.7764880000002"/>
    <n v="15626.826488000001"/>
  </r>
  <r>
    <x v="55"/>
    <x v="4"/>
    <s v="Q2"/>
    <x v="0"/>
    <s v="KEPL/00498/82-83"/>
    <s v="UNITED DISTRIBUTOR"/>
    <s v="Straight Premium"/>
    <x v="23"/>
    <n v="1"/>
    <n v="180"/>
    <n v="182.53"/>
    <n v="32855.4"/>
    <n v="-2986.56"/>
    <n v="0"/>
    <n v="3882.9491730000004"/>
    <n v="33751.789172999997"/>
  </r>
  <r>
    <x v="55"/>
    <x v="4"/>
    <s v="Q2"/>
    <x v="0"/>
    <s v="KEPL/00498/82-83"/>
    <s v="UNITED DISTRIBUTOR"/>
    <s v="Straight Premium"/>
    <x v="8"/>
    <n v="1"/>
    <n v="120"/>
    <n v="57.46"/>
    <n v="6895.2"/>
    <n v="-626.77"/>
    <n v="0"/>
    <n v="814.895894"/>
    <n v="7083.3258939999996"/>
  </r>
  <r>
    <x v="55"/>
    <x v="4"/>
    <s v="Q2"/>
    <x v="0"/>
    <s v="KEPL/00498/82-83"/>
    <s v="UNITED DISTRIBUTOR"/>
    <s v="Blends"/>
    <x v="17"/>
    <n v="1"/>
    <n v="180"/>
    <n v="121.69"/>
    <n v="21904.199999999997"/>
    <n v="-1991.09"/>
    <n v="0"/>
    <n v="2588.7042819999997"/>
    <n v="22501.814281999999"/>
  </r>
  <r>
    <x v="55"/>
    <x v="4"/>
    <s v="Q2"/>
    <x v="0"/>
    <s v="KEPL/00498/82-83"/>
    <s v="UNITED DISTRIBUTOR"/>
    <s v="Blends"/>
    <x v="2"/>
    <n v="1"/>
    <n v="180"/>
    <n v="64.23"/>
    <n v="11561.4"/>
    <n v="-1050.9299999999998"/>
    <n v="0"/>
    <n v="1366.361091"/>
    <n v="11876.831091"/>
  </r>
  <r>
    <x v="55"/>
    <x v="4"/>
    <s v="Q2"/>
    <x v="0"/>
    <s v="KEPL/00498/82-83"/>
    <s v="UNITED DISTRIBUTOR"/>
    <s v="Blends"/>
    <x v="37"/>
    <n v="1"/>
    <n v="180"/>
    <n v="101.41"/>
    <n v="18253.8"/>
    <n v="-1659.27"/>
    <n v="0"/>
    <n v="2157.2888849999999"/>
    <n v="18751.818885000001"/>
  </r>
  <r>
    <x v="55"/>
    <x v="4"/>
    <s v="Q2"/>
    <x v="0"/>
    <s v="KEPL/00498/82-83"/>
    <s v="UNITED DISTRIBUTOR"/>
    <s v="Cooking Paste"/>
    <x v="29"/>
    <n v="1"/>
    <n v="120"/>
    <n v="57.46"/>
    <n v="6895.2"/>
    <n v="-626.77"/>
    <n v="0"/>
    <n v="814.895894"/>
    <n v="7083.3258939999996"/>
  </r>
  <r>
    <x v="55"/>
    <x v="4"/>
    <s v="Q2"/>
    <x v="0"/>
    <s v="KEPL/00498/82-83"/>
    <s v="UNITED DISTRIBUTOR"/>
    <s v="Sprinkler"/>
    <x v="47"/>
    <n v="1"/>
    <n v="100"/>
    <n v="70.989999999999995"/>
    <n v="7099"/>
    <n v="-645.29999999999995"/>
    <n v="0"/>
    <n v="838.98099400000001"/>
    <n v="7292.6809940000003"/>
  </r>
  <r>
    <x v="55"/>
    <x v="4"/>
    <s v="Q2"/>
    <x v="0"/>
    <s v="KEPL/00498/82-83"/>
    <s v="UNITED DISTRIBUTOR"/>
    <s v="Straight Pouch"/>
    <x v="1"/>
    <n v="1"/>
    <n v="100"/>
    <n v="108.17"/>
    <n v="10817"/>
    <n v="-983.2700000000001"/>
    <n v="0"/>
    <n v="1278.3848910000002"/>
    <n v="11112.114890999999"/>
  </r>
  <r>
    <x v="55"/>
    <x v="4"/>
    <s v="Q2"/>
    <x v="0"/>
    <s v="KEPL/00498/82-83"/>
    <s v="UNITED DISTRIBUTOR"/>
    <s v="Sprinkler"/>
    <x v="31"/>
    <n v="1"/>
    <n v="72"/>
    <n v="148.74"/>
    <n v="10709.279999999999"/>
    <n v="-973.47"/>
    <n v="0"/>
    <n v="1265.655291"/>
    <n v="11001.465291"/>
  </r>
  <r>
    <x v="55"/>
    <x v="4"/>
    <s v="Q2"/>
    <x v="0"/>
    <s v="KEPL/00498/82-83"/>
    <s v="UNITED DISTRIBUTOR"/>
    <s v="Blends"/>
    <x v="10"/>
    <n v="1"/>
    <n v="180"/>
    <n v="60.84"/>
    <n v="10951.199999999999"/>
    <n v="-995.46"/>
    <n v="0"/>
    <n v="1294.246191"/>
    <n v="11249.986191"/>
  </r>
  <r>
    <x v="55"/>
    <x v="4"/>
    <s v="Q2"/>
    <x v="0"/>
    <s v="KEPL/00498/82-83"/>
    <s v="UNITED DISTRIBUTOR"/>
    <s v="Blends"/>
    <x v="39"/>
    <n v="1"/>
    <n v="180"/>
    <n v="87.89"/>
    <n v="15820.199999999999"/>
    <n v="-1438.0600000000002"/>
    <n v="0"/>
    <n v="1869.678187"/>
    <n v="16251.818187000001"/>
  </r>
  <r>
    <x v="55"/>
    <x v="4"/>
    <s v="Q2"/>
    <x v="0"/>
    <s v="KEPL/00498/82-83"/>
    <s v="UNITED DISTRIBUTOR"/>
    <s v="Blends"/>
    <x v="11"/>
    <n v="1"/>
    <n v="180"/>
    <n v="64.23"/>
    <n v="11561.4"/>
    <n v="-1050.9299999999998"/>
    <n v="0"/>
    <n v="1366.361091"/>
    <n v="11876.831091"/>
  </r>
  <r>
    <x v="55"/>
    <x v="4"/>
    <s v="Q2"/>
    <x v="0"/>
    <s v="KEPL/00498/82-83"/>
    <s v="UNITED DISTRIBUTOR"/>
    <s v="Blends"/>
    <x v="40"/>
    <n v="1"/>
    <n v="120"/>
    <n v="77.75"/>
    <n v="9330"/>
    <n v="-848.1"/>
    <n v="0"/>
    <n v="1102.646992"/>
    <n v="9584.5469919999996"/>
  </r>
  <r>
    <x v="55"/>
    <x v="4"/>
    <s v="Q2"/>
    <x v="0"/>
    <s v="KEPL/00499/82-83"/>
    <s v="UNITED DISTRIBUTOR"/>
    <s v="Straight Pouch"/>
    <x v="12"/>
    <n v="1"/>
    <n v="40"/>
    <n v="336"/>
    <n v="13440"/>
    <n v="-1221.6999999999998"/>
    <n v="0"/>
    <n v="0"/>
    <n v="12218.3"/>
  </r>
  <r>
    <x v="55"/>
    <x v="4"/>
    <s v="Q2"/>
    <x v="0"/>
    <s v="KEPL/00499/82-83"/>
    <s v="UNITED DISTRIBUTOR"/>
    <s v="Straight Pouch"/>
    <x v="13"/>
    <n v="1"/>
    <n v="100"/>
    <n v="138"/>
    <n v="13800"/>
    <n v="-1254.4199999999998"/>
    <n v="0"/>
    <n v="0"/>
    <n v="12545.58"/>
  </r>
  <r>
    <x v="55"/>
    <x v="4"/>
    <s v="Q2"/>
    <x v="0"/>
    <s v="KEPL/00504/82-83"/>
    <s v="BEERA BARJEE INTERNATIONAL PVT.LTD"/>
    <s v="Sprinkler"/>
    <x v="31"/>
    <n v="4"/>
    <n v="288"/>
    <n v="148.74"/>
    <n v="42837.119999999995"/>
    <n v="-3893.8900000000003"/>
    <n v="0"/>
    <n v="5062.6203210000003"/>
    <n v="44005.850320999998"/>
  </r>
  <r>
    <x v="55"/>
    <x v="4"/>
    <s v="Q2"/>
    <x v="0"/>
    <s v="KEPL/00504/82-83"/>
    <s v="BEERA BARJEE INTERNATIONAL PVT.LTD"/>
    <s v="Blends"/>
    <x v="39"/>
    <n v="1"/>
    <n v="180"/>
    <n v="83.82"/>
    <n v="15087.6"/>
    <n v="0"/>
    <n v="0"/>
    <n v="1961.3881630000001"/>
    <n v="17048.988163000002"/>
  </r>
  <r>
    <x v="55"/>
    <x v="4"/>
    <s v="Q2"/>
    <x v="0"/>
    <s v="KEPL/00504/82-83"/>
    <s v="BEERA BARJEE INTERNATIONAL PVT.LTD"/>
    <s v="Straight Pouch"/>
    <x v="1"/>
    <n v="1"/>
    <n v="100"/>
    <n v="108.17"/>
    <n v="10817"/>
    <n v="-983.2700000000001"/>
    <n v="0"/>
    <n v="1278.385006"/>
    <n v="11112.115006"/>
  </r>
  <r>
    <x v="55"/>
    <x v="4"/>
    <s v="Q2"/>
    <x v="0"/>
    <s v="KEPL/00504/82-83"/>
    <s v="BEERA BARJEE INTERNATIONAL PVT.LTD"/>
    <s v="Sprinkler"/>
    <x v="47"/>
    <n v="3"/>
    <n v="300"/>
    <n v="70.989999999999995"/>
    <n v="21297.000000000004"/>
    <n v="-1935.9"/>
    <n v="0"/>
    <n v="2516.9432089999996"/>
    <n v="21878.043208999999"/>
  </r>
  <r>
    <x v="55"/>
    <x v="4"/>
    <s v="Q2"/>
    <x v="0"/>
    <s v="KEPL/00504/82-83"/>
    <s v="BEERA BARJEE INTERNATIONAL PVT.LTD"/>
    <s v="Blends"/>
    <x v="10"/>
    <n v="1"/>
    <n v="180"/>
    <n v="60.84"/>
    <n v="10951.199999999999"/>
    <n v="-995.46"/>
    <n v="0"/>
    <n v="1294.2463080000002"/>
    <n v="11249.986308"/>
  </r>
  <r>
    <x v="55"/>
    <x v="4"/>
    <s v="Q2"/>
    <x v="0"/>
    <s v="KEPL/00504/82-83"/>
    <s v="BEERA BARJEE INTERNATIONAL PVT.LTD"/>
    <s v="Straight Pouch"/>
    <x v="6"/>
    <n v="1"/>
    <n v="100"/>
    <n v="162.26"/>
    <n v="16226"/>
    <n v="-1474.94"/>
    <n v="0"/>
    <n v="1917.63796"/>
    <n v="16668.697960000001"/>
  </r>
  <r>
    <x v="55"/>
    <x v="4"/>
    <s v="Q2"/>
    <x v="0"/>
    <s v="KEPL/00504/82-83"/>
    <s v="BEERA BARJEE INTERNATIONAL PVT.LTD"/>
    <s v="Straight Premium"/>
    <x v="8"/>
    <n v="1"/>
    <n v="120"/>
    <n v="50.7"/>
    <n v="6084"/>
    <n v="-553.04"/>
    <n v="0"/>
    <n v="719.02485999999999"/>
    <n v="6249.9848599999996"/>
  </r>
  <r>
    <x v="55"/>
    <x v="4"/>
    <s v="Q2"/>
    <x v="0"/>
    <s v="KEPL/00504/82-83"/>
    <s v="BEERA BARJEE INTERNATIONAL PVT.LTD"/>
    <s v="Sprinkler"/>
    <x v="25"/>
    <n v="5"/>
    <n v="240"/>
    <n v="310.99"/>
    <n v="74637.600000000006"/>
    <n v="-6784.56"/>
    <n v="0"/>
    <n v="8820.8959340000001"/>
    <n v="76673.935933999994"/>
  </r>
  <r>
    <x v="55"/>
    <x v="4"/>
    <s v="Q2"/>
    <x v="0"/>
    <s v="KEPL/00504/82-83"/>
    <s v="BEERA BARJEE INTERNATIONAL PVT.LTD"/>
    <s v="Blends"/>
    <x v="2"/>
    <n v="1"/>
    <n v="180"/>
    <n v="64.23"/>
    <n v="11561.4"/>
    <n v="-1050.9299999999998"/>
    <n v="0"/>
    <n v="1366.3612139999998"/>
    <n v="11876.831214"/>
  </r>
  <r>
    <x v="55"/>
    <x v="4"/>
    <s v="Q2"/>
    <x v="0"/>
    <s v="KEPL/00504/82-83"/>
    <s v="BEERA BARJEE INTERNATIONAL PVT.LTD"/>
    <s v="Combo"/>
    <x v="43"/>
    <n v="1.83"/>
    <n v="110"/>
    <n v="148.74"/>
    <n v="16361.4"/>
    <n v="-1487.25"/>
    <n v="0"/>
    <n v="1933.6396609999999"/>
    <n v="16807.789660999999"/>
  </r>
  <r>
    <x v="55"/>
    <x v="4"/>
    <s v="Q2"/>
    <x v="0"/>
    <s v="KEPL/00504/82-83"/>
    <s v="BEERA BARJEE INTERNATIONAL PVT.LTD"/>
    <s v="Sprinkler"/>
    <x v="26"/>
    <n v="4"/>
    <n v="288"/>
    <n v="131.83000000000001"/>
    <n v="37967.040000000001"/>
    <n v="-3451.2"/>
    <n v="0"/>
    <n v="4487.0595729999995"/>
    <n v="39002.899573000002"/>
  </r>
  <r>
    <x v="55"/>
    <x v="4"/>
    <s v="Q2"/>
    <x v="0"/>
    <s v="KEPL/00504/82-83"/>
    <s v="BEERA BARJEE INTERNATIONAL PVT.LTD"/>
    <s v="Sprinkler"/>
    <x v="46"/>
    <n v="3"/>
    <n v="300"/>
    <n v="98.03"/>
    <n v="29409.000000000004"/>
    <n v="-2673.28"/>
    <n v="0"/>
    <n v="3475.6438890000004"/>
    <n v="30211.363889"/>
  </r>
  <r>
    <x v="55"/>
    <x v="4"/>
    <s v="Q2"/>
    <x v="0"/>
    <s v="KEPL/00504/82-83"/>
    <s v="BEERA BARJEE INTERNATIONAL PVT.LTD"/>
    <s v="Blends"/>
    <x v="40"/>
    <n v="1"/>
    <n v="120"/>
    <n v="77.739999999999995"/>
    <n v="9328.7999999999993"/>
    <n v="-847.99"/>
    <n v="0"/>
    <n v="1102.505392"/>
    <n v="9583.3153920000004"/>
  </r>
  <r>
    <x v="55"/>
    <x v="4"/>
    <s v="Q2"/>
    <x v="0"/>
    <s v="KEPL/00504/82-83"/>
    <s v="BEERA BARJEE INTERNATIONAL PVT.LTD"/>
    <s v="Blends"/>
    <x v="9"/>
    <n v="1"/>
    <n v="180"/>
    <n v="70.989999999999995"/>
    <n v="12778.2"/>
    <n v="-1161.54"/>
    <n v="0"/>
    <n v="1510.1659259999999"/>
    <n v="13126.825926"/>
  </r>
  <r>
    <x v="55"/>
    <x v="4"/>
    <s v="Q2"/>
    <x v="0"/>
    <s v="KEPL/00504/82-83"/>
    <s v="BEERA BARJEE INTERNATIONAL PVT.LTD"/>
    <s v="Cooking Paste"/>
    <x v="30"/>
    <n v="1"/>
    <n v="60"/>
    <n v="98.03"/>
    <n v="5881.8"/>
    <n v="-534.66"/>
    <n v="0"/>
    <n v="695.12825799999996"/>
    <n v="6042.2682580000001"/>
  </r>
  <r>
    <x v="55"/>
    <x v="4"/>
    <s v="Q2"/>
    <x v="0"/>
    <s v="KEPL/00504/82-83"/>
    <s v="BEERA BARJEE INTERNATIONAL PVT.LTD"/>
    <s v="Blends"/>
    <x v="21"/>
    <n v="1"/>
    <n v="80"/>
    <n v="185.92"/>
    <n v="14873.6"/>
    <n v="-1352.01"/>
    <n v="0"/>
    <n v="1757.806846"/>
    <n v="15279.396846"/>
  </r>
  <r>
    <x v="55"/>
    <x v="4"/>
    <s v="Q2"/>
    <x v="0"/>
    <s v="KEPL/00504/82-83"/>
    <s v="BEERA BARJEE INTERNATIONAL PVT.LTD"/>
    <s v="Blends"/>
    <x v="38"/>
    <n v="1"/>
    <n v="120"/>
    <n v="84.51"/>
    <n v="10141.199999999999"/>
    <n v="-921.84"/>
    <n v="0"/>
    <n v="1198.5169000000001"/>
    <n v="10417.876899999999"/>
  </r>
  <r>
    <x v="55"/>
    <x v="4"/>
    <s v="Q2"/>
    <x v="0"/>
    <s v="KEPL/00504/82-83"/>
    <s v="BEERA BARJEE INTERNATIONAL PVT.LTD"/>
    <s v="Cooking Paste"/>
    <x v="29"/>
    <n v="1"/>
    <n v="120"/>
    <n v="57.46"/>
    <n v="6895.2"/>
    <n v="-626.77"/>
    <n v="0"/>
    <n v="814.89596800000004"/>
    <n v="7083.3259680000001"/>
  </r>
  <r>
    <x v="55"/>
    <x v="4"/>
    <s v="Q2"/>
    <x v="0"/>
    <s v="KEPL/00504/82-83"/>
    <s v="BEERA BARJEE INTERNATIONAL PVT.LTD"/>
    <s v="Blends"/>
    <x v="42"/>
    <n v="1"/>
    <n v="120"/>
    <n v="94.66"/>
    <n v="11359.2"/>
    <n v="-1032.55"/>
    <n v="0"/>
    <n v="1342.4646120000002"/>
    <n v="11669.114611999999"/>
  </r>
  <r>
    <x v="55"/>
    <x v="4"/>
    <s v="Q2"/>
    <x v="0"/>
    <s v="KEPL/00505/82-83"/>
    <s v="BEERA BARJEE INTERNATIONAL PVT.LTD"/>
    <s v="Blends"/>
    <x v="18"/>
    <n v="1"/>
    <n v="120"/>
    <n v="141.97"/>
    <n v="17036.400000000001"/>
    <n v="-1548.61"/>
    <n v="0"/>
    <n v="2013.412278"/>
    <n v="17501.202278000001"/>
  </r>
  <r>
    <x v="55"/>
    <x v="4"/>
    <s v="Q2"/>
    <x v="0"/>
    <s v="KEPL/00505/82-83"/>
    <s v="BEERA BARJEE INTERNATIONAL PVT.LTD"/>
    <s v="Blends"/>
    <x v="17"/>
    <n v="1"/>
    <n v="180"/>
    <n v="118.3"/>
    <n v="21294"/>
    <n v="-1935.62"/>
    <n v="0"/>
    <n v="2516.5888729999997"/>
    <n v="21874.968873000002"/>
  </r>
  <r>
    <x v="55"/>
    <x v="4"/>
    <s v="Q2"/>
    <x v="0"/>
    <s v="KEPL/00505/82-83"/>
    <s v="BEERA BARJEE INTERNATIONAL PVT.LTD"/>
    <s v="Blends"/>
    <x v="36"/>
    <n v="0.88"/>
    <n v="70"/>
    <n v="155.49"/>
    <n v="10884.3"/>
    <n v="-989.38"/>
    <n v="0"/>
    <n v="1286.3393310000001"/>
    <n v="11181.259330999999"/>
  </r>
  <r>
    <x v="55"/>
    <x v="4"/>
    <s v="Q2"/>
    <x v="0"/>
    <s v="KEPL/00505/82-83"/>
    <s v="BEERA BARJEE INTERNATIONAL PVT.LTD"/>
    <s v="Straight Premium"/>
    <x v="22"/>
    <n v="1"/>
    <n v="40"/>
    <n v="283.94"/>
    <n v="11357.599999999999"/>
    <n v="-1032.4099999999999"/>
    <n v="0"/>
    <n v="1342.2744190000001"/>
    <n v="11667.464419"/>
  </r>
  <r>
    <x v="55"/>
    <x v="4"/>
    <s v="Q2"/>
    <x v="0"/>
    <s v="KEPL/00505/82-83"/>
    <s v="BEERA BARJEE INTERNATIONAL PVT.LTD"/>
    <s v="Blends"/>
    <x v="45"/>
    <n v="1"/>
    <n v="80"/>
    <n v="141.97"/>
    <n v="11357.599999999999"/>
    <n v="-1032.4099999999999"/>
    <n v="0"/>
    <n v="1342.2744190000001"/>
    <n v="11667.464419"/>
  </r>
  <r>
    <x v="55"/>
    <x v="4"/>
    <s v="Q2"/>
    <x v="0"/>
    <s v="KEPL/00505/82-83"/>
    <s v="BEERA BARJEE INTERNATIONAL PVT.LTD"/>
    <s v="Blends"/>
    <x v="11"/>
    <n v="1"/>
    <n v="180"/>
    <n v="64.23"/>
    <n v="11561.4"/>
    <n v="-1050.9299999999998"/>
    <n v="0"/>
    <n v="1366.3608139999999"/>
    <n v="11876.830814000001"/>
  </r>
  <r>
    <x v="55"/>
    <x v="4"/>
    <s v="Q2"/>
    <x v="0"/>
    <s v="KEPL/00505/82-83"/>
    <s v="BEERA BARJEE INTERNATIONAL PVT.LTD"/>
    <s v="Straight Premium"/>
    <x v="7"/>
    <n v="1"/>
    <n v="120"/>
    <n v="152.11000000000001"/>
    <n v="18253.2"/>
    <n v="-1659.2199999999998"/>
    <n v="0"/>
    <n v="2157.2169480000002"/>
    <n v="18751.196948000001"/>
  </r>
  <r>
    <x v="55"/>
    <x v="4"/>
    <s v="Q2"/>
    <x v="0"/>
    <s v="KEPL/00505/82-83"/>
    <s v="BEERA BARJEE INTERNATIONAL PVT.LTD"/>
    <s v="Straight Premium"/>
    <x v="5"/>
    <n v="1"/>
    <n v="180"/>
    <n v="94.65"/>
    <n v="17037"/>
    <n v="-1548.6599999999999"/>
    <n v="0"/>
    <n v="2013.483778"/>
    <n v="17501.823778000002"/>
  </r>
  <r>
    <x v="55"/>
    <x v="4"/>
    <s v="Q2"/>
    <x v="0"/>
    <s v="KEPL/00505/82-83"/>
    <s v="BEERA BARJEE INTERNATIONAL PVT.LTD"/>
    <s v="Straight Premium"/>
    <x v="34"/>
    <n v="1"/>
    <n v="80"/>
    <n v="229.86"/>
    <n v="18388.8"/>
    <n v="-1671.54"/>
    <n v="0"/>
    <n v="2173.2433450000003"/>
    <n v="18890.503345000001"/>
  </r>
  <r>
    <x v="55"/>
    <x v="4"/>
    <s v="Q2"/>
    <x v="0"/>
    <s v="KEPL/00505/82-83"/>
    <s v="BEERA BARJEE INTERNATIONAL PVT.LTD"/>
    <s v="Blends"/>
    <x v="32"/>
    <n v="2"/>
    <n v="240"/>
    <n v="64.23"/>
    <n v="15415.199999999999"/>
    <n v="-1401.24"/>
    <n v="0"/>
    <n v="1821.8144180000002"/>
    <n v="15835.774418000001"/>
  </r>
  <r>
    <x v="55"/>
    <x v="4"/>
    <s v="Q2"/>
    <x v="0"/>
    <s v="KEPL/00505/82-83"/>
    <s v="BEERA BARJEE INTERNATIONAL PVT.LTD"/>
    <s v="Blends"/>
    <x v="48"/>
    <n v="2"/>
    <n v="360"/>
    <n v="81.14"/>
    <n v="29210.399999999998"/>
    <n v="-2655.23"/>
    <n v="0"/>
    <n v="3452.1713770000001"/>
    <n v="30007.341377000001"/>
  </r>
  <r>
    <x v="55"/>
    <x v="4"/>
    <s v="Q2"/>
    <x v="0"/>
    <s v="KEPL/00506/82-83"/>
    <s v="SHUBHASHREE MARKETING"/>
    <s v="Blends"/>
    <x v="9"/>
    <n v="0.65"/>
    <n v="117"/>
    <n v="70.989999999999995"/>
    <n v="8305.83"/>
    <n v="-755"/>
    <n v="0"/>
    <n v="981.60783099999992"/>
    <n v="8532.4378309999993"/>
  </r>
  <r>
    <x v="55"/>
    <x v="4"/>
    <s v="Q2"/>
    <x v="0"/>
    <s v="KEPL/00506/82-83"/>
    <s v="SHUBHASHREE MARKETING"/>
    <s v="Straight Premium"/>
    <x v="5"/>
    <n v="0.01"/>
    <n v="1"/>
    <n v="94.65"/>
    <n v="94.65"/>
    <n v="-8.6"/>
    <n v="0"/>
    <n v="11.186499"/>
    <n v="97.236498999999995"/>
  </r>
  <r>
    <x v="55"/>
    <x v="4"/>
    <s v="Q2"/>
    <x v="0"/>
    <s v="KEPL/00506/82-83"/>
    <s v="SHUBHASHREE MARKETING"/>
    <s v="Sprinkler"/>
    <x v="26"/>
    <n v="1"/>
    <n v="72"/>
    <n v="131.83000000000001"/>
    <n v="9491.76"/>
    <n v="-862.8"/>
    <n v="0"/>
    <n v="1121.764721"/>
    <n v="9750.7247210000005"/>
  </r>
  <r>
    <x v="55"/>
    <x v="4"/>
    <s v="Q2"/>
    <x v="0"/>
    <s v="KEPL/00506/82-83"/>
    <s v="SHUBHASHREE MARKETING"/>
    <s v="Sprinkler"/>
    <x v="25"/>
    <n v="1"/>
    <n v="48"/>
    <n v="310.99"/>
    <n v="14927.519999999999"/>
    <n v="-1356.91"/>
    <n v="0"/>
    <n v="1764.1791760000001"/>
    <n v="15334.789176"/>
  </r>
  <r>
    <x v="55"/>
    <x v="4"/>
    <s v="Q2"/>
    <x v="0"/>
    <s v="KEPL/00506/82-83"/>
    <s v="SHUBHASHREE MARKETING"/>
    <s v="Cooking Paste"/>
    <x v="29"/>
    <n v="2"/>
    <n v="240"/>
    <n v="57.46"/>
    <n v="13790.4"/>
    <n v="-1253.55"/>
    <n v="0"/>
    <n v="1629.790385"/>
    <n v="14166.640385000001"/>
  </r>
  <r>
    <x v="55"/>
    <x v="4"/>
    <s v="Q2"/>
    <x v="0"/>
    <s v="KEPL/00506/82-83"/>
    <s v="SHUBHASHREE MARKETING"/>
    <s v="Straight Premium"/>
    <x v="33"/>
    <n v="2"/>
    <n v="360"/>
    <n v="91.27"/>
    <n v="32857.199999999997"/>
    <n v="-2986.72"/>
    <n v="0"/>
    <n v="3883.1621260000002"/>
    <n v="33753.642125999999"/>
  </r>
  <r>
    <x v="55"/>
    <x v="4"/>
    <s v="Q2"/>
    <x v="0"/>
    <s v="KEPL/00506/82-83"/>
    <s v="SHUBHASHREE MARKETING"/>
    <s v="Straight Pouch"/>
    <x v="6"/>
    <n v="2"/>
    <n v="200"/>
    <n v="162.26"/>
    <n v="32452"/>
    <n v="-2949.8900000000003"/>
    <n v="0"/>
    <n v="3835.2740289999997"/>
    <n v="33337.384029000001"/>
  </r>
  <r>
    <x v="55"/>
    <x v="4"/>
    <s v="Q2"/>
    <x v="0"/>
    <s v="KEPL/00506/82-83"/>
    <s v="SHUBHASHREE MARKETING"/>
    <s v="Blends"/>
    <x v="11"/>
    <n v="1"/>
    <n v="180"/>
    <n v="64.23"/>
    <n v="11561.4"/>
    <n v="-1050.9299999999998"/>
    <n v="0"/>
    <n v="1366.3610040000001"/>
    <n v="11876.831004"/>
  </r>
  <r>
    <x v="55"/>
    <x v="4"/>
    <s v="Q2"/>
    <x v="0"/>
    <s v="KEPL/00506/82-83"/>
    <s v="SHUBHASHREE MARKETING"/>
    <s v="Blends"/>
    <x v="32"/>
    <n v="1"/>
    <n v="120"/>
    <n v="64.23"/>
    <n v="7707.5999999999995"/>
    <n v="-700.62"/>
    <n v="0"/>
    <n v="910.90733599999999"/>
    <n v="7917.8873359999998"/>
  </r>
  <r>
    <x v="55"/>
    <x v="4"/>
    <s v="Q2"/>
    <x v="0"/>
    <s v="KEPL/00506/82-83"/>
    <s v="SHUBHASHREE MARKETING"/>
    <s v="Blends"/>
    <x v="0"/>
    <n v="1"/>
    <n v="180"/>
    <n v="64.23"/>
    <n v="11561.4"/>
    <n v="-1050.9299999999998"/>
    <n v="0"/>
    <n v="1366.3610040000001"/>
    <n v="11876.831004"/>
  </r>
  <r>
    <x v="55"/>
    <x v="4"/>
    <s v="Q2"/>
    <x v="0"/>
    <s v="KEPL/00506/82-83"/>
    <s v="SHUBHASHREE MARKETING"/>
    <s v="Straight Premium"/>
    <x v="5"/>
    <n v="0.99"/>
    <n v="179"/>
    <n v="94.65"/>
    <n v="16942.349999999999"/>
    <n v="-1540.0600000000002"/>
    <n v="0"/>
    <n v="2002.2975589999999"/>
    <n v="17404.587559"/>
  </r>
  <r>
    <x v="55"/>
    <x v="4"/>
    <s v="Q2"/>
    <x v="0"/>
    <s v="KEPL/00506/82-83"/>
    <s v="SHUBHASHREE MARKETING"/>
    <s v="Straight Pouch"/>
    <x v="1"/>
    <n v="2"/>
    <n v="200"/>
    <n v="108.17"/>
    <n v="21634"/>
    <n v="-1966.53"/>
    <n v="0"/>
    <n v="2556.7709199999999"/>
    <n v="22224.24092"/>
  </r>
  <r>
    <x v="55"/>
    <x v="4"/>
    <s v="Q2"/>
    <x v="0"/>
    <s v="KEPL/00506/82-83"/>
    <s v="SHUBHASHREE MARKETING"/>
    <s v="Blends"/>
    <x v="44"/>
    <n v="2"/>
    <n v="360"/>
    <n v="121.7"/>
    <n v="43812"/>
    <n v="-3982.5099999999998"/>
    <n v="0"/>
    <n v="5177.8333350000003"/>
    <n v="45007.323335000001"/>
  </r>
  <r>
    <x v="55"/>
    <x v="4"/>
    <s v="Q2"/>
    <x v="0"/>
    <s v="KEPL/00506/82-83"/>
    <s v="SHUBHASHREE MARKETING"/>
    <s v="Blends"/>
    <x v="9"/>
    <n v="0.32"/>
    <n v="57"/>
    <n v="70.989999999999995"/>
    <n v="4046.43"/>
    <n v="-367.82"/>
    <n v="0"/>
    <n v="478.219266"/>
    <n v="4156.8292659999997"/>
  </r>
  <r>
    <x v="55"/>
    <x v="4"/>
    <s v="Q2"/>
    <x v="0"/>
    <s v="KEPL/00506/82-83"/>
    <s v="SHUBHASHREE MARKETING"/>
    <s v="Blends"/>
    <x v="9"/>
    <n v="0.03"/>
    <n v="6"/>
    <n v="70.989999999999995"/>
    <n v="425.94"/>
    <n v="-38.72"/>
    <n v="0"/>
    <n v="50.338596000000003"/>
    <n v="437.55859600000002"/>
  </r>
  <r>
    <x v="55"/>
    <x v="4"/>
    <s v="Q2"/>
    <x v="0"/>
    <s v="KEPL/00506/82-83"/>
    <s v="SHUBHASHREE MARKETING"/>
    <s v="Blends"/>
    <x v="2"/>
    <n v="1"/>
    <n v="180"/>
    <n v="64.23"/>
    <n v="11561.4"/>
    <n v="-1050.9299999999998"/>
    <n v="0"/>
    <n v="1366.3610040000001"/>
    <n v="11876.831004"/>
  </r>
  <r>
    <x v="55"/>
    <x v="4"/>
    <s v="Q2"/>
    <x v="0"/>
    <s v="KEPL/00506/82-83"/>
    <s v="SHUBHASHREE MARKETING"/>
    <s v="Sprinkler"/>
    <x v="31"/>
    <n v="1"/>
    <n v="72"/>
    <n v="148.74"/>
    <n v="10709.279999999999"/>
    <n v="-973.47"/>
    <n v="0"/>
    <n v="1265.6552109999998"/>
    <n v="11001.465211000001"/>
  </r>
  <r>
    <x v="55"/>
    <x v="4"/>
    <s v="Q2"/>
    <x v="0"/>
    <s v="KEPL/00509/82-83"/>
    <s v="SAFAL MART PVT.LTD"/>
    <s v="Straight Premium"/>
    <x v="22"/>
    <n v="1.5"/>
    <n v="60"/>
    <n v="283.94"/>
    <n v="17036.400000000001"/>
    <n v="-1548.61"/>
    <n v="0"/>
    <n v="2013.4121269999998"/>
    <n v="17501.202127"/>
  </r>
  <r>
    <x v="55"/>
    <x v="4"/>
    <s v="Q2"/>
    <x v="0"/>
    <s v="KEPL/00509/82-83"/>
    <s v="SAFAL MART PVT.LTD"/>
    <s v="Blends"/>
    <x v="45"/>
    <n v="0.5"/>
    <n v="40"/>
    <n v="141.97"/>
    <n v="5678.7999999999993"/>
    <n v="-516.20000000000005"/>
    <n v="0"/>
    <n v="671.13780899999995"/>
    <n v="5833.7378090000002"/>
  </r>
  <r>
    <x v="55"/>
    <x v="4"/>
    <s v="Q2"/>
    <x v="0"/>
    <s v="KEPL/00509/82-83"/>
    <s v="SAFAL MART PVT.LTD"/>
    <s v="Blends"/>
    <x v="18"/>
    <n v="1"/>
    <n v="120"/>
    <n v="141.97"/>
    <n v="17036.400000000001"/>
    <n v="-1548.61"/>
    <n v="0"/>
    <n v="2013.4121269999998"/>
    <n v="17501.202127"/>
  </r>
  <r>
    <x v="55"/>
    <x v="4"/>
    <s v="Q2"/>
    <x v="0"/>
    <s v="KEPL/00509/82-83"/>
    <s v="SAFAL MART PVT.LTD"/>
    <s v="Blends"/>
    <x v="27"/>
    <n v="1"/>
    <n v="120"/>
    <n v="114.93"/>
    <n v="13791.6"/>
    <n v="-1253.6600000000001"/>
    <n v="0"/>
    <n v="1629.931736"/>
    <n v="14167.871735999999"/>
  </r>
  <r>
    <x v="55"/>
    <x v="4"/>
    <s v="Q2"/>
    <x v="0"/>
    <s v="KEPL/00509/82-83"/>
    <s v="SAFAL MART PVT.LTD"/>
    <s v="Blends"/>
    <x v="21"/>
    <n v="1"/>
    <n v="80"/>
    <n v="185.92"/>
    <n v="14873.6"/>
    <n v="-1352.01"/>
    <n v="0"/>
    <n v="1757.8062"/>
    <n v="15279.396199999999"/>
  </r>
  <r>
    <x v="56"/>
    <x v="5"/>
    <s v="Q2"/>
    <x v="0"/>
    <s v="KEPL/00512/82-83"/>
    <s v="UNITED DISTRIBUTOR"/>
    <s v="Straight Pouch"/>
    <x v="13"/>
    <n v="1"/>
    <n v="100"/>
    <n v="137.51"/>
    <n v="13751"/>
    <n v="-1249.97"/>
    <n v="-1745"/>
    <n v="0"/>
    <n v="10756.03"/>
  </r>
  <r>
    <x v="56"/>
    <x v="5"/>
    <s v="Q2"/>
    <x v="0"/>
    <s v="KEPL/00513/82-83"/>
    <s v="BEERA BARJEE INTERNATIONAL PVT.LTD"/>
    <s v="Straight Pouch"/>
    <x v="13"/>
    <n v="1"/>
    <n v="100"/>
    <n v="137.51"/>
    <n v="13751"/>
    <n v="-1249.97"/>
    <n v="0"/>
    <n v="0"/>
    <n v="12501.03"/>
  </r>
  <r>
    <x v="56"/>
    <x v="5"/>
    <s v="Q2"/>
    <x v="0"/>
    <s v="KEPL/00514/82-83"/>
    <s v="SHUBHASHREE MARKETING"/>
    <s v="Straight Pouch"/>
    <x v="13"/>
    <n v="2"/>
    <n v="200"/>
    <n v="137.51"/>
    <n v="27502"/>
    <n v="-2499.9299999999998"/>
    <n v="0"/>
    <n v="0"/>
    <n v="25002.07"/>
  </r>
  <r>
    <x v="56"/>
    <x v="5"/>
    <s v="Q2"/>
    <x v="0"/>
    <s v="KEPL/00515/82-83"/>
    <s v="GORIN TRADING "/>
    <s v="Blends"/>
    <x v="11"/>
    <n v="1"/>
    <n v="180"/>
    <n v="64.23"/>
    <n v="11561.4"/>
    <n v="-1050.9299999999998"/>
    <n v="0"/>
    <n v="1366.3610880000001"/>
    <n v="11876.831088000001"/>
  </r>
  <r>
    <x v="56"/>
    <x v="5"/>
    <s v="Q2"/>
    <x v="0"/>
    <s v="KEPL/00515/82-83"/>
    <s v="GORIN TRADING "/>
    <s v="Cooking Paste"/>
    <x v="29"/>
    <n v="2"/>
    <n v="240"/>
    <n v="57.46"/>
    <n v="13790.4"/>
    <n v="-1253.55"/>
    <n v="0"/>
    <n v="1629.7904850000002"/>
    <n v="14166.640485"/>
  </r>
  <r>
    <x v="56"/>
    <x v="5"/>
    <s v="Q2"/>
    <x v="0"/>
    <s v="KEPL/00515/82-83"/>
    <s v="GORIN TRADING "/>
    <s v="Blends"/>
    <x v="27"/>
    <n v="0.5"/>
    <n v="60"/>
    <n v="114.93"/>
    <n v="6895.8"/>
    <n v="-626.83000000000004"/>
    <n v="0"/>
    <n v="814.966093"/>
    <n v="7083.9360930000003"/>
  </r>
  <r>
    <x v="56"/>
    <x v="5"/>
    <s v="Q2"/>
    <x v="0"/>
    <s v="KEPL/00515/82-83"/>
    <s v="GORIN TRADING "/>
    <s v="Blends"/>
    <x v="21"/>
    <n v="0.75"/>
    <n v="60"/>
    <n v="185.92"/>
    <n v="11155.2"/>
    <n v="-1014.01"/>
    <n v="0"/>
    <n v="1318.3546879999999"/>
    <n v="11459.544688"/>
  </r>
  <r>
    <x v="56"/>
    <x v="5"/>
    <s v="Q2"/>
    <x v="0"/>
    <s v="KEPL/00515/82-83"/>
    <s v="GORIN TRADING "/>
    <s v="Blends"/>
    <x v="2"/>
    <n v="1"/>
    <n v="180"/>
    <n v="64.23"/>
    <n v="11561.4"/>
    <n v="-1050.9299999999998"/>
    <n v="0"/>
    <n v="1366.3610880000001"/>
    <n v="11876.831088000001"/>
  </r>
  <r>
    <x v="56"/>
    <x v="5"/>
    <s v="Q2"/>
    <x v="0"/>
    <s v="KEPL/00515/82-83"/>
    <s v="GORIN TRADING "/>
    <s v="Blends"/>
    <x v="0"/>
    <n v="1"/>
    <n v="180"/>
    <n v="64.23"/>
    <n v="11561.4"/>
    <n v="-1050.9299999999998"/>
    <n v="0"/>
    <n v="1366.3610880000001"/>
    <n v="11876.831088000001"/>
  </r>
  <r>
    <x v="56"/>
    <x v="5"/>
    <s v="Q2"/>
    <x v="0"/>
    <s v="KEPL/00515/82-83"/>
    <s v="GORIN TRADING "/>
    <s v="Sprinkler"/>
    <x v="26"/>
    <n v="2"/>
    <n v="144"/>
    <n v="131.83000000000001"/>
    <n v="18983.52"/>
    <n v="-1725.6"/>
    <n v="0"/>
    <n v="2243.5295799999999"/>
    <n v="19501.44958"/>
  </r>
  <r>
    <x v="56"/>
    <x v="5"/>
    <s v="Q2"/>
    <x v="0"/>
    <s v="KEPL/00515/82-83"/>
    <s v="GORIN TRADING "/>
    <s v="Sprinkler"/>
    <x v="25"/>
    <n v="2"/>
    <n v="96"/>
    <n v="310.99"/>
    <n v="29855.039999999997"/>
    <n v="-2713.82"/>
    <n v="0"/>
    <n v="3528.3585679999997"/>
    <n v="30669.578568000001"/>
  </r>
  <r>
    <x v="56"/>
    <x v="5"/>
    <s v="Q2"/>
    <x v="0"/>
    <s v="KEPL/00515/82-83"/>
    <s v="GORIN TRADING "/>
    <s v="Blends"/>
    <x v="9"/>
    <n v="1"/>
    <n v="180"/>
    <n v="70.989999999999995"/>
    <n v="12778.2"/>
    <n v="-1161.54"/>
    <n v="0"/>
    <n v="1510.1657869999999"/>
    <n v="13126.825787"/>
  </r>
  <r>
    <x v="56"/>
    <x v="5"/>
    <s v="Q2"/>
    <x v="0"/>
    <s v="KEPL/00515/82-83"/>
    <s v="GORIN TRADING "/>
    <s v="Sprinkler"/>
    <x v="31"/>
    <n v="2"/>
    <n v="144"/>
    <n v="148.74"/>
    <n v="21418.559999999998"/>
    <n v="-1946.95"/>
    <n v="0"/>
    <n v="2531.3092770000003"/>
    <n v="22002.919277000001"/>
  </r>
  <r>
    <x v="56"/>
    <x v="5"/>
    <s v="Q2"/>
    <x v="0"/>
    <s v="KEPL/00515/82-83"/>
    <s v="GORIN TRADING "/>
    <s v="Straight Premium"/>
    <x v="23"/>
    <n v="1"/>
    <n v="180"/>
    <n v="182.53"/>
    <n v="32855.4"/>
    <n v="-2986.56"/>
    <n v="0"/>
    <n v="3882.9491649999995"/>
    <n v="33751.789165000002"/>
  </r>
  <r>
    <x v="56"/>
    <x v="5"/>
    <s v="Q2"/>
    <x v="0"/>
    <s v="KEPL/00515/82-83"/>
    <s v="GORIN TRADING "/>
    <s v="Blends"/>
    <x v="17"/>
    <n v="0.33"/>
    <n v="60"/>
    <n v="121.69"/>
    <n v="7301.4000000000005"/>
    <n v="-663.7"/>
    <n v="0"/>
    <n v="862.90099199999997"/>
    <n v="7500.6009919999997"/>
  </r>
  <r>
    <x v="56"/>
    <x v="5"/>
    <s v="Q2"/>
    <x v="0"/>
    <s v="KEPL/00515/82-83"/>
    <s v="GORIN TRADING "/>
    <s v="Blends"/>
    <x v="16"/>
    <n v="0.5"/>
    <n v="60"/>
    <n v="121.69"/>
    <n v="7301.4000000000005"/>
    <n v="-663.7"/>
    <n v="0"/>
    <n v="862.90099199999997"/>
    <n v="7500.6009919999997"/>
  </r>
  <r>
    <x v="56"/>
    <x v="5"/>
    <s v="Q2"/>
    <x v="0"/>
    <s v="KEPL/00515/82-83"/>
    <s v="GORIN TRADING "/>
    <s v="Blends"/>
    <x v="14"/>
    <n v="0.33"/>
    <n v="60"/>
    <n v="135.21"/>
    <n v="8112.6"/>
    <n v="-737.44"/>
    <n v="0"/>
    <n v="958.77079100000003"/>
    <n v="8333.9307910000007"/>
  </r>
  <r>
    <x v="56"/>
    <x v="5"/>
    <s v="Q2"/>
    <x v="0"/>
    <s v="KEPL/00515/82-83"/>
    <s v="GORIN TRADING "/>
    <s v="Blends"/>
    <x v="20"/>
    <n v="0.5"/>
    <n v="60"/>
    <n v="121.69"/>
    <n v="7301.4000000000005"/>
    <n v="-663.7"/>
    <n v="0"/>
    <n v="862.90099199999997"/>
    <n v="7500.6009919999997"/>
  </r>
  <r>
    <x v="56"/>
    <x v="5"/>
    <s v="Q2"/>
    <x v="0"/>
    <s v="KEPL/00515/82-83"/>
    <s v="GORIN TRADING "/>
    <s v="Straight Premium"/>
    <x v="5"/>
    <n v="1"/>
    <n v="180"/>
    <n v="94.65"/>
    <n v="17037"/>
    <n v="-1548.6599999999999"/>
    <n v="0"/>
    <n v="2013.4841820000001"/>
    <n v="17501.824182"/>
  </r>
  <r>
    <x v="56"/>
    <x v="5"/>
    <s v="Q2"/>
    <x v="0"/>
    <s v="KEPL/00515/82-83"/>
    <s v="GORIN TRADING "/>
    <s v="Straight Premium"/>
    <x v="7"/>
    <n v="1"/>
    <n v="120"/>
    <n v="152.11000000000001"/>
    <n v="18253.2"/>
    <n v="-1659.2199999999998"/>
    <n v="0"/>
    <n v="2157.2173809999999"/>
    <n v="18751.197381000002"/>
  </r>
  <r>
    <x v="56"/>
    <x v="5"/>
    <s v="Q2"/>
    <x v="0"/>
    <s v="KEPL/00515/82-83"/>
    <s v="GORIN TRADING "/>
    <s v="Blends"/>
    <x v="32"/>
    <n v="1"/>
    <n v="120"/>
    <n v="64.23"/>
    <n v="7707.5999999999995"/>
    <n v="-700.62"/>
    <n v="0"/>
    <n v="910.90739199999996"/>
    <n v="7917.8873919999996"/>
  </r>
  <r>
    <x v="56"/>
    <x v="5"/>
    <s v="Q2"/>
    <x v="0"/>
    <s v="KEPL/00515/82-83"/>
    <s v="GORIN TRADING "/>
    <s v="Blends"/>
    <x v="18"/>
    <n v="1"/>
    <n v="120"/>
    <n v="141.97"/>
    <n v="17036.400000000001"/>
    <n v="-1548.61"/>
    <n v="0"/>
    <n v="2013.4126820000001"/>
    <n v="17501.202681999999"/>
  </r>
  <r>
    <x v="56"/>
    <x v="5"/>
    <s v="Q2"/>
    <x v="0"/>
    <s v="KEPL/00515/82-83"/>
    <s v="GORIN TRADING "/>
    <s v="Cooking Paste"/>
    <x v="30"/>
    <n v="2"/>
    <n v="120"/>
    <n v="98.03"/>
    <n v="11763.6"/>
    <n v="-1069.3100000000002"/>
    <n v="0"/>
    <n v="1390.2576879999999"/>
    <n v="12084.547688000001"/>
  </r>
  <r>
    <x v="56"/>
    <x v="5"/>
    <s v="Q2"/>
    <x v="0"/>
    <s v="KEPL/00516/82-83"/>
    <s v="WELSON TRADE &amp; RASAN MART"/>
    <s v="Blends"/>
    <x v="18"/>
    <n v="1"/>
    <n v="120"/>
    <n v="141.97"/>
    <n v="17036.400000000001"/>
    <n v="-1548.61"/>
    <n v="0"/>
    <n v="2013.4131739999998"/>
    <n v="17501.203173999998"/>
  </r>
  <r>
    <x v="56"/>
    <x v="5"/>
    <s v="Q2"/>
    <x v="0"/>
    <s v="KEPL/00516/82-83"/>
    <s v="WELSON TRADE &amp; RASAN MART"/>
    <s v="Blends"/>
    <x v="42"/>
    <n v="1"/>
    <n v="120"/>
    <n v="94.65"/>
    <n v="11358"/>
    <n v="-1032.44"/>
    <n v="0"/>
    <n v="1342.323116"/>
    <n v="11667.883116000001"/>
  </r>
  <r>
    <x v="56"/>
    <x v="5"/>
    <s v="Q2"/>
    <x v="0"/>
    <s v="KEPL/00516/82-83"/>
    <s v="WELSON TRADE &amp; RASAN MART"/>
    <s v="Straight Premium"/>
    <x v="5"/>
    <n v="1"/>
    <n v="180"/>
    <n v="94.65"/>
    <n v="17037"/>
    <n v="-1548.6599999999999"/>
    <n v="0"/>
    <n v="2013.484674"/>
    <n v="17501.824674"/>
  </r>
  <r>
    <x v="56"/>
    <x v="5"/>
    <s v="Q2"/>
    <x v="0"/>
    <s v="KEPL/00516/82-83"/>
    <s v="WELSON TRADE &amp; RASAN MART"/>
    <s v="Blends"/>
    <x v="2"/>
    <n v="1"/>
    <n v="180"/>
    <n v="64.23"/>
    <n v="11561.4"/>
    <n v="-1050.9299999999998"/>
    <n v="0"/>
    <n v="1366.3614220000002"/>
    <n v="11876.831421999999"/>
  </r>
  <r>
    <x v="56"/>
    <x v="5"/>
    <s v="Q2"/>
    <x v="0"/>
    <s v="KEPL/00516/82-83"/>
    <s v="WELSON TRADE &amp; RASAN MART"/>
    <s v="Blends"/>
    <x v="32"/>
    <n v="1"/>
    <n v="120"/>
    <n v="64.23"/>
    <n v="7707.5999999999995"/>
    <n v="-700.62"/>
    <n v="0"/>
    <n v="910.90761399999997"/>
    <n v="7917.8876140000002"/>
  </r>
  <r>
    <x v="56"/>
    <x v="5"/>
    <s v="Q2"/>
    <x v="0"/>
    <s v="KEPL/00517/82-83"/>
    <s v="SAMPURNA TRADERS"/>
    <s v="Cooking Paste"/>
    <x v="30"/>
    <n v="5"/>
    <n v="300"/>
    <n v="98.03"/>
    <n v="29409.000000000004"/>
    <n v="-2673.28"/>
    <n v="0"/>
    <n v="3475.6436799999997"/>
    <n v="30211.363679999999"/>
  </r>
  <r>
    <x v="56"/>
    <x v="5"/>
    <s v="Q2"/>
    <x v="0"/>
    <s v="KEPL/00517/82-83"/>
    <s v="SAMPURNA TRADERS"/>
    <s v="Sprinkler"/>
    <x v="31"/>
    <n v="2"/>
    <n v="144"/>
    <n v="148.72999999999999"/>
    <n v="21417.119999999999"/>
    <n v="-1946.82"/>
    <n v="0"/>
    <n v="2531.1390579999997"/>
    <n v="22001.439058"/>
  </r>
  <r>
    <x v="56"/>
    <x v="5"/>
    <s v="Q2"/>
    <x v="0"/>
    <s v="KEPL/00517/82-83"/>
    <s v="SAMPURNA TRADERS"/>
    <s v="Straight Pouch"/>
    <x v="3"/>
    <n v="2"/>
    <n v="80"/>
    <n v="393.46"/>
    <n v="31476.799999999999"/>
    <n v="-2861.2400000000002"/>
    <n v="0"/>
    <n v="3720.0228860000002"/>
    <n v="32335.582886"/>
  </r>
  <r>
    <x v="56"/>
    <x v="5"/>
    <s v="Q2"/>
    <x v="0"/>
    <s v="KEPL/00517/82-83"/>
    <s v="SAMPURNA TRADERS"/>
    <s v="Blends"/>
    <x v="2"/>
    <n v="1"/>
    <n v="180"/>
    <n v="64.23"/>
    <n v="11561.4"/>
    <n v="-1050.9299999999998"/>
    <n v="0"/>
    <n v="1366.361132"/>
    <n v="11876.831131999999"/>
  </r>
  <r>
    <x v="56"/>
    <x v="5"/>
    <s v="Q2"/>
    <x v="0"/>
    <s v="KEPL/00517/82-83"/>
    <s v="SAMPURNA TRADERS"/>
    <s v="Straight Pouch"/>
    <x v="6"/>
    <n v="5"/>
    <n v="500"/>
    <n v="162.26"/>
    <n v="81130"/>
    <n v="-7374.72"/>
    <n v="0"/>
    <n v="9588.1866210000007"/>
    <n v="83343.466621"/>
  </r>
  <r>
    <x v="56"/>
    <x v="5"/>
    <s v="Q2"/>
    <x v="0"/>
    <s v="KEPL/00517/82-83"/>
    <s v="SAMPURNA TRADERS"/>
    <s v="Straight Premium"/>
    <x v="33"/>
    <n v="1"/>
    <n v="180"/>
    <n v="91.27"/>
    <n v="16428.599999999999"/>
    <n v="-1493.36"/>
    <n v="0"/>
    <n v="1941.5812449999999"/>
    <n v="16876.821244999999"/>
  </r>
  <r>
    <x v="56"/>
    <x v="5"/>
    <s v="Q2"/>
    <x v="0"/>
    <s v="KEPL/00517/82-83"/>
    <s v="SAMPURNA TRADERS"/>
    <s v="Straight Premium"/>
    <x v="5"/>
    <n v="1"/>
    <n v="180"/>
    <n v="94.65"/>
    <n v="17037"/>
    <n v="-1548.6599999999999"/>
    <n v="0"/>
    <n v="2013.484246"/>
    <n v="17501.824246"/>
  </r>
  <r>
    <x v="56"/>
    <x v="5"/>
    <s v="Q2"/>
    <x v="0"/>
    <s v="KEPL/00517/82-83"/>
    <s v="SAMPURNA TRADERS"/>
    <s v="Blends"/>
    <x v="11"/>
    <n v="1"/>
    <n v="180"/>
    <n v="64.23"/>
    <n v="11561.4"/>
    <n v="-1050.9299999999998"/>
    <n v="0"/>
    <n v="1366.361132"/>
    <n v="11876.831131999999"/>
  </r>
  <r>
    <x v="56"/>
    <x v="5"/>
    <s v="Q2"/>
    <x v="0"/>
    <s v="KEPL/00518/82-83"/>
    <s v="NEPAL SENA SUPATH MULYA CANTEEN"/>
    <s v="Sprinkler"/>
    <x v="26"/>
    <n v="1"/>
    <n v="72"/>
    <n v="132.74"/>
    <n v="9557.2799999999988"/>
    <n v="0"/>
    <n v="0"/>
    <n v="1242.4466640000001"/>
    <n v="10799.726664"/>
  </r>
  <r>
    <x v="56"/>
    <x v="5"/>
    <s v="Q2"/>
    <x v="0"/>
    <s v="KEPL/00518/82-83"/>
    <s v="NEPAL SENA SUPATH MULYA CANTEEN"/>
    <s v="Blends"/>
    <x v="14"/>
    <n v="1"/>
    <n v="180"/>
    <n v="136.15"/>
    <n v="24507"/>
    <n v="0"/>
    <n v="0"/>
    <n v="3185.9106769999999"/>
    <n v="27692.910677"/>
  </r>
  <r>
    <x v="56"/>
    <x v="5"/>
    <s v="Q2"/>
    <x v="0"/>
    <s v="KEPL/00518/82-83"/>
    <s v="NEPAL SENA SUPATH MULYA CANTEEN"/>
    <s v="Sprinkler"/>
    <x v="31"/>
    <n v="1"/>
    <n v="72"/>
    <n v="149.76"/>
    <n v="10782.72"/>
    <n v="0"/>
    <n v="0"/>
    <n v="1401.7538979999999"/>
    <n v="12184.473898"/>
  </r>
  <r>
    <x v="56"/>
    <x v="5"/>
    <s v="Q2"/>
    <x v="0"/>
    <s v="KEPL/00518/82-83"/>
    <s v="NEPAL SENA SUPATH MULYA CANTEEN"/>
    <s v="Blends"/>
    <x v="15"/>
    <n v="1"/>
    <n v="180"/>
    <n v="115.72"/>
    <n v="20829.599999999999"/>
    <n v="0"/>
    <n v="0"/>
    <n v="2707.8485759999999"/>
    <n v="23537.448575999999"/>
  </r>
  <r>
    <x v="56"/>
    <x v="5"/>
    <s v="Q2"/>
    <x v="0"/>
    <s v="KEPL/00518/82-83"/>
    <s v="NEPAL SENA SUPATH MULYA CANTEEN"/>
    <s v="Straight Premium"/>
    <x v="8"/>
    <n v="1"/>
    <n v="120"/>
    <n v="51.06"/>
    <n v="6127.2"/>
    <n v="0"/>
    <n v="0"/>
    <n v="796.53616899999997"/>
    <n v="6923.7361689999998"/>
  </r>
  <r>
    <x v="56"/>
    <x v="5"/>
    <s v="Q2"/>
    <x v="0"/>
    <s v="KEPL/00518/82-83"/>
    <s v="NEPAL SENA SUPATH MULYA CANTEEN"/>
    <s v="Sprinkler"/>
    <x v="25"/>
    <n v="1"/>
    <n v="48"/>
    <n v="313.14"/>
    <n v="15030.72"/>
    <n v="0"/>
    <n v="0"/>
    <n v="1953.994015"/>
    <n v="16984.714015000001"/>
  </r>
  <r>
    <x v="56"/>
    <x v="5"/>
    <s v="Q2"/>
    <x v="0"/>
    <s v="KEPL/00519/82-83"/>
    <s v="NEPAL SENA SUPATH MULYA CANTEEN"/>
    <s v="Blends"/>
    <x v="11"/>
    <n v="0.5"/>
    <n v="90"/>
    <n v="64.67"/>
    <n v="5820.3"/>
    <n v="0"/>
    <n v="0"/>
    <n v="756.639588"/>
    <n v="6576.9395880000002"/>
  </r>
  <r>
    <x v="56"/>
    <x v="5"/>
    <s v="Q2"/>
    <x v="0"/>
    <s v="KEPL/00519/82-83"/>
    <s v="NEPAL SENA SUPATH MULYA CANTEEN"/>
    <s v="Blends"/>
    <x v="2"/>
    <n v="0.5"/>
    <n v="90"/>
    <n v="64.67"/>
    <n v="5820.3"/>
    <n v="0"/>
    <n v="0"/>
    <n v="756.639588"/>
    <n v="6576.9395880000002"/>
  </r>
  <r>
    <x v="56"/>
    <x v="5"/>
    <s v="Q2"/>
    <x v="0"/>
    <s v="KEPL/00519/82-83"/>
    <s v="NEPAL SENA SUPATH MULYA CANTEEN"/>
    <s v="Straight Pouch"/>
    <x v="6"/>
    <n v="0.5"/>
    <n v="50"/>
    <n v="163.38"/>
    <n v="8169"/>
    <n v="0"/>
    <n v="0"/>
    <n v="1061.9708250000001"/>
    <n v="9230.9708250000003"/>
  </r>
  <r>
    <x v="56"/>
    <x v="5"/>
    <s v="Q2"/>
    <x v="0"/>
    <s v="KEPL/00520/82-83"/>
    <s v="NEPAL SENA SUPATH MULYA CANTEEN"/>
    <s v="Straight Pouch"/>
    <x v="13"/>
    <n v="0.5"/>
    <n v="50"/>
    <n v="130.77000000000001"/>
    <n v="6538.5"/>
    <s v=""/>
    <s v=""/>
    <s v=""/>
    <n v="6538.5"/>
  </r>
  <r>
    <x v="56"/>
    <x v="5"/>
    <s v="Q2"/>
    <x v="0"/>
    <s v="KEPL/00521/82-83"/>
    <s v="MEGA MART PVT.LTD"/>
    <s v="Sprinkler"/>
    <x v="31"/>
    <n v="9"/>
    <n v="648"/>
    <n v="140.18"/>
    <n v="90836.64"/>
    <n v="0"/>
    <n v="0"/>
    <n v="11808.764793"/>
    <n v="102645.40479299999"/>
  </r>
  <r>
    <x v="56"/>
    <x v="5"/>
    <s v="Q2"/>
    <x v="0"/>
    <s v="KEPL/00521/82-83"/>
    <s v="MEGA MART PVT.LTD"/>
    <s v="Sprinkler"/>
    <x v="25"/>
    <n v="13"/>
    <n v="624"/>
    <n v="293.10000000000002"/>
    <n v="182894.40000000002"/>
    <n v="0"/>
    <n v="0"/>
    <n v="23776.275207000002"/>
    <n v="206670.67520699999"/>
  </r>
  <r>
    <x v="56"/>
    <x v="5"/>
    <s v="Q2"/>
    <x v="0"/>
    <s v="KEPL/00523/82-83"/>
    <s v="SIMPEX SOLUTION PVT. LTD"/>
    <s v="Straight Pouch"/>
    <x v="13"/>
    <n v="0.05"/>
    <n v="5"/>
    <n v="144"/>
    <n v="720"/>
    <s v=""/>
    <s v=""/>
    <s v=""/>
    <n v="720"/>
  </r>
  <r>
    <x v="56"/>
    <x v="5"/>
    <s v="Q2"/>
    <x v="0"/>
    <s v="KEPL/00524/82-83"/>
    <s v="SIMPEX SOLUTION PVT. LTD"/>
    <s v="Blends"/>
    <x v="39"/>
    <n v="0.03"/>
    <n v="5"/>
    <n v="87.79"/>
    <n v="438.95"/>
    <n v="0"/>
    <n v="0"/>
    <n v="57.063437999999998"/>
    <n v="496.01343800000001"/>
  </r>
  <r>
    <x v="56"/>
    <x v="5"/>
    <s v="Q2"/>
    <x v="0"/>
    <s v="KEPL/00524/82-83"/>
    <s v="SIMPEX SOLUTION PVT. LTD"/>
    <s v="Blends"/>
    <x v="18"/>
    <n v="0.13"/>
    <n v="15"/>
    <n v="148.66999999999999"/>
    <n v="2230.0499999999997"/>
    <n v="0"/>
    <n v="0"/>
    <n v="289.906184"/>
    <n v="2519.9561840000001"/>
  </r>
  <r>
    <x v="56"/>
    <x v="5"/>
    <s v="Q2"/>
    <x v="0"/>
    <s v="KEPL/00524/82-83"/>
    <s v="SIMPEX SOLUTION PVT. LTD"/>
    <s v="Blends"/>
    <x v="42"/>
    <n v="0.04"/>
    <n v="5"/>
    <n v="99.12"/>
    <n v="495.6"/>
    <n v="0"/>
    <n v="0"/>
    <n v="64.427930000000003"/>
    <n v="560.02792999999997"/>
  </r>
  <r>
    <x v="56"/>
    <x v="5"/>
    <s v="Q2"/>
    <x v="0"/>
    <s v="KEPL/00524/82-83"/>
    <s v="SIMPEX SOLUTION PVT. LTD"/>
    <s v="Blends"/>
    <x v="37"/>
    <n v="0.03"/>
    <n v="5"/>
    <n v="102.65"/>
    <n v="513.25"/>
    <n v="0"/>
    <n v="0"/>
    <n v="66.72242700000001"/>
    <n v="579.97242700000004"/>
  </r>
  <r>
    <x v="56"/>
    <x v="5"/>
    <s v="Q2"/>
    <x v="0"/>
    <s v="KEPL/00524/82-83"/>
    <s v="SIMPEX SOLUTION PVT. LTD"/>
    <s v="Sprinkler"/>
    <x v="46"/>
    <n v="0.05"/>
    <n v="5"/>
    <n v="102.65"/>
    <n v="513.25"/>
    <n v="0"/>
    <n v="0"/>
    <n v="66.72242700000001"/>
    <n v="579.97242700000004"/>
  </r>
  <r>
    <x v="56"/>
    <x v="5"/>
    <s v="Q2"/>
    <x v="0"/>
    <s v="KEPL/00524/82-83"/>
    <s v="SIMPEX SOLUTION PVT. LTD"/>
    <s v="Blends"/>
    <x v="44"/>
    <n v="0.03"/>
    <n v="5"/>
    <n v="134.51"/>
    <n v="672.55000000000007"/>
    <n v="0"/>
    <n v="0"/>
    <n v="87.431404999999998"/>
    <n v="759.981405"/>
  </r>
  <r>
    <x v="56"/>
    <x v="5"/>
    <s v="Q2"/>
    <x v="0"/>
    <s v="KEPL/00524/82-83"/>
    <s v="SIMPEX SOLUTION PVT. LTD"/>
    <s v="Cooking Paste"/>
    <x v="29"/>
    <n v="1.18"/>
    <n v="142"/>
    <n v="60.18"/>
    <n v="8545.56"/>
    <n v="0"/>
    <n v="0"/>
    <n v="1110.9215880000002"/>
    <n v="9656.4815880000006"/>
  </r>
  <r>
    <x v="56"/>
    <x v="5"/>
    <s v="Q2"/>
    <x v="0"/>
    <s v="KEPL/00524/82-83"/>
    <s v="SIMPEX SOLUTION PVT. LTD"/>
    <s v="Sprinkler"/>
    <x v="31"/>
    <n v="0.25"/>
    <n v="18"/>
    <n v="155.75"/>
    <n v="2803.5"/>
    <n v="0"/>
    <n v="0"/>
    <n v="364.45460200000002"/>
    <n v="3167.9546019999998"/>
  </r>
  <r>
    <x v="57"/>
    <x v="5"/>
    <s v="Q2"/>
    <x v="0"/>
    <s v="KEPL/00530/82-83"/>
    <s v="DS SPICECO L &amp; D"/>
    <s v="Sprinkler"/>
    <x v="31"/>
    <n v="0.01"/>
    <n v="1"/>
    <n v="148.72999999999999"/>
    <n v="148.72999999999999"/>
    <n v="-13.52"/>
    <n v="0"/>
    <n v="17.578465999999999"/>
    <n v="152.788466"/>
  </r>
  <r>
    <x v="57"/>
    <x v="5"/>
    <s v="Q2"/>
    <x v="0"/>
    <s v="KEPL/00530/82-83"/>
    <s v="DS SPICECO L &amp; D"/>
    <s v="Sprinkler"/>
    <x v="26"/>
    <n v="0.01"/>
    <n v="1"/>
    <n v="131.83000000000001"/>
    <n v="131.83000000000001"/>
    <n v="-11.98"/>
    <n v="0"/>
    <n v="15.581534"/>
    <n v="135.431534"/>
  </r>
  <r>
    <x v="58"/>
    <x v="5"/>
    <s v="Q2"/>
    <x v="0"/>
    <s v="KEPL/00540/82-83"/>
    <s v="ISHWORI SUPPLIERS"/>
    <s v="Sprinkler"/>
    <x v="26"/>
    <n v="1"/>
    <n v="72"/>
    <n v="131.83000000000001"/>
    <n v="9491.76"/>
    <n v="-862.8"/>
    <n v="0"/>
    <n v="1121.764872"/>
    <n v="9750.7248720000007"/>
  </r>
  <r>
    <x v="58"/>
    <x v="5"/>
    <s v="Q2"/>
    <x v="0"/>
    <s v="KEPL/00540/82-83"/>
    <s v="ISHWORI SUPPLIERS"/>
    <s v="Blends"/>
    <x v="10"/>
    <n v="1"/>
    <n v="180"/>
    <n v="60.84"/>
    <n v="10951.199999999999"/>
    <n v="-995.46"/>
    <n v="0"/>
    <n v="1294.2462829999999"/>
    <n v="11249.986283"/>
  </r>
  <r>
    <x v="58"/>
    <x v="5"/>
    <s v="Q2"/>
    <x v="0"/>
    <s v="KEPL/00540/82-83"/>
    <s v="ISHWORI SUPPLIERS"/>
    <s v="Straight Premium"/>
    <x v="33"/>
    <n v="1"/>
    <n v="180"/>
    <n v="91.27"/>
    <n v="16428.599999999999"/>
    <n v="-1493.36"/>
    <n v="0"/>
    <n v="1941.581324"/>
    <n v="16876.821324"/>
  </r>
  <r>
    <x v="58"/>
    <x v="5"/>
    <s v="Q2"/>
    <x v="0"/>
    <s v="KEPL/00540/82-83"/>
    <s v="ISHWORI SUPPLIERS"/>
    <s v="Sprinkler"/>
    <x v="47"/>
    <n v="1"/>
    <n v="100"/>
    <n v="70.989999999999995"/>
    <n v="7099"/>
    <n v="-645.29999999999995"/>
    <n v="0"/>
    <n v="838.98105399999997"/>
    <n v="7292.6810539999997"/>
  </r>
  <r>
    <x v="58"/>
    <x v="5"/>
    <s v="Q2"/>
    <x v="0"/>
    <s v="KEPL/00540/82-83"/>
    <s v="ISHWORI SUPPLIERS"/>
    <s v="Blends"/>
    <x v="39"/>
    <n v="1"/>
    <n v="180"/>
    <n v="83.82"/>
    <n v="15087.6"/>
    <n v="-1371.4599999999998"/>
    <n v="0"/>
    <n v="1783.0983140000001"/>
    <n v="15499.238314"/>
  </r>
  <r>
    <x v="58"/>
    <x v="5"/>
    <s v="Q2"/>
    <x v="0"/>
    <s v="KEPL/00540/82-83"/>
    <s v="ISHWORI SUPPLIERS"/>
    <s v="Blends"/>
    <x v="32"/>
    <n v="1"/>
    <n v="120"/>
    <n v="64.23"/>
    <n v="7707.5999999999995"/>
    <n v="-700.62"/>
    <n v="0"/>
    <n v="910.90745800000002"/>
    <n v="7917.8874580000002"/>
  </r>
  <r>
    <x v="58"/>
    <x v="5"/>
    <s v="Q2"/>
    <x v="0"/>
    <s v="KEPL/00540/82-83"/>
    <s v="ISHWORI SUPPLIERS"/>
    <s v="Sprinkler"/>
    <x v="46"/>
    <n v="1"/>
    <n v="100"/>
    <n v="98.03"/>
    <n v="9803"/>
    <n v="-891.08999999999992"/>
    <n v="0"/>
    <n v="1158.548374"/>
    <n v="10070.458374"/>
  </r>
  <r>
    <x v="58"/>
    <x v="5"/>
    <s v="Q2"/>
    <x v="0"/>
    <s v="KEPL/00540/82-83"/>
    <s v="ISHWORI SUPPLIERS"/>
    <s v="Blends"/>
    <x v="0"/>
    <n v="1"/>
    <n v="180"/>
    <n v="64.23"/>
    <n v="11561.4"/>
    <n v="-1050.9299999999998"/>
    <n v="0"/>
    <n v="1366.361187"/>
    <n v="11876.831187"/>
  </r>
  <r>
    <x v="58"/>
    <x v="5"/>
    <s v="Q2"/>
    <x v="0"/>
    <s v="KEPL/00540/82-83"/>
    <s v="ISHWORI SUPPLIERS"/>
    <s v="Sprinkler"/>
    <x v="31"/>
    <n v="1"/>
    <n v="72"/>
    <n v="148.74"/>
    <n v="10709.279999999999"/>
    <n v="-973.47"/>
    <n v="0"/>
    <n v="1265.655381"/>
    <n v="11001.465381"/>
  </r>
  <r>
    <x v="58"/>
    <x v="5"/>
    <s v="Q2"/>
    <x v="0"/>
    <s v="KEPL/00540/82-83"/>
    <s v="ISHWORI SUPPLIERS"/>
    <s v="Blends"/>
    <x v="18"/>
    <n v="1"/>
    <n v="120"/>
    <n v="141.97"/>
    <n v="17036.400000000001"/>
    <n v="-1548.61"/>
    <n v="0"/>
    <n v="2013.4128290000001"/>
    <n v="17501.202829000002"/>
  </r>
  <r>
    <x v="58"/>
    <x v="5"/>
    <s v="Q2"/>
    <x v="0"/>
    <s v="KEPL/00540/82-83"/>
    <s v="ISHWORI SUPPLIERS"/>
    <s v="Sprinkler"/>
    <x v="25"/>
    <n v="1"/>
    <n v="48"/>
    <n v="310.99"/>
    <n v="14927.519999999999"/>
    <n v="-1356.91"/>
    <n v="0"/>
    <n v="1764.1794130000001"/>
    <n v="15334.789413"/>
  </r>
  <r>
    <x v="58"/>
    <x v="5"/>
    <s v="Q2"/>
    <x v="0"/>
    <s v="KEPL/00540/82-83"/>
    <s v="ISHWORI SUPPLIERS"/>
    <s v="Blends"/>
    <x v="11"/>
    <n v="1"/>
    <n v="180"/>
    <n v="64.23"/>
    <n v="11561.4"/>
    <n v="-1050.9299999999998"/>
    <n v="0"/>
    <n v="1366.361187"/>
    <n v="11876.831187"/>
  </r>
  <r>
    <x v="58"/>
    <x v="5"/>
    <s v="Q2"/>
    <x v="0"/>
    <s v="KEPL/00540/82-83"/>
    <s v="ISHWORI SUPPLIERS"/>
    <s v="Straight Premium"/>
    <x v="5"/>
    <n v="1"/>
    <n v="180"/>
    <n v="94.65"/>
    <n v="17037"/>
    <n v="-1548.6599999999999"/>
    <n v="0"/>
    <n v="2013.4843290000001"/>
    <n v="17501.824328999999"/>
  </r>
  <r>
    <x v="58"/>
    <x v="5"/>
    <s v="Q2"/>
    <x v="0"/>
    <s v="KEPL/00540/82-83"/>
    <s v="ISHWORI SUPPLIERS"/>
    <s v="Blends"/>
    <x v="2"/>
    <n v="1"/>
    <n v="180"/>
    <n v="64.23"/>
    <n v="11561.4"/>
    <n v="-1050.9299999999998"/>
    <n v="0"/>
    <n v="1366.361187"/>
    <n v="11876.831187"/>
  </r>
  <r>
    <x v="58"/>
    <x v="5"/>
    <s v="Q2"/>
    <x v="0"/>
    <s v="KEPL/00540/82-83"/>
    <s v="ISHWORI SUPPLIERS"/>
    <s v="Blends"/>
    <x v="48"/>
    <n v="1"/>
    <n v="180"/>
    <n v="81.14"/>
    <n v="14605.199999999999"/>
    <n v="-1327.61"/>
    <n v="0"/>
    <n v="1726.08681"/>
    <n v="15003.676810000001"/>
  </r>
  <r>
    <x v="58"/>
    <x v="5"/>
    <s v="Q2"/>
    <x v="0"/>
    <s v="KEPL/00541/82-83"/>
    <s v="BEERA BARJEE INTERNATIONAL PVT.LTD"/>
    <s v="Cooking Paste"/>
    <x v="29"/>
    <n v="1"/>
    <n v="120"/>
    <n v="57.46"/>
    <n v="6895.2"/>
    <n v="-626.77"/>
    <n v="-239.845653"/>
    <n v="783.716227"/>
    <n v="6812.3005739999999"/>
  </r>
  <r>
    <x v="58"/>
    <x v="5"/>
    <s v="Q2"/>
    <x v="0"/>
    <s v="KEPL/00541/82-83"/>
    <s v="BEERA BARJEE INTERNATIONAL PVT.LTD"/>
    <s v="Cooking Paste"/>
    <x v="30"/>
    <n v="3"/>
    <n v="180"/>
    <n v="98.03"/>
    <n v="17645.400000000001"/>
    <n v="-1603.97"/>
    <n v="-613.78483200000005"/>
    <n v="2005.5945429999999"/>
    <n v="17433.239710999998"/>
  </r>
  <r>
    <x v="58"/>
    <x v="5"/>
    <s v="Q2"/>
    <x v="0"/>
    <s v="KEPL/00541/82-83"/>
    <s v="BEERA BARJEE INTERNATIONAL PVT.LTD"/>
    <s v="Blends"/>
    <x v="21"/>
    <n v="1"/>
    <n v="80"/>
    <n v="185.92"/>
    <n v="14873.6"/>
    <n v="-1352.01"/>
    <n v="-517.36951399999998"/>
    <n v="1690.549229"/>
    <n v="14694.769715"/>
  </r>
  <r>
    <x v="59"/>
    <x v="5"/>
    <s v="Q2"/>
    <x v="0"/>
    <s v="KEPL/00544/82-83"/>
    <s v="WELSON TRADE &amp; RASAN MART"/>
    <s v="Blends"/>
    <x v="11"/>
    <n v="2"/>
    <n v="360"/>
    <n v="64.23"/>
    <n v="23122.799999999999"/>
    <n v="-2101.8599999999997"/>
    <n v="0"/>
    <n v="2732.7217740000001"/>
    <n v="23753.661774"/>
  </r>
  <r>
    <x v="59"/>
    <x v="5"/>
    <s v="Q2"/>
    <x v="0"/>
    <s v="KEPL/00544/82-83"/>
    <s v="WELSON TRADE &amp; RASAN MART"/>
    <s v="Blends"/>
    <x v="9"/>
    <n v="1"/>
    <n v="180"/>
    <n v="70.989999999999995"/>
    <n v="12778.2"/>
    <n v="-1161.54"/>
    <n v="0"/>
    <n v="1510.165565"/>
    <n v="13126.825564999999"/>
  </r>
  <r>
    <x v="59"/>
    <x v="5"/>
    <s v="Q2"/>
    <x v="0"/>
    <s v="KEPL/00544/82-83"/>
    <s v="WELSON TRADE &amp; RASAN MART"/>
    <s v="Blends"/>
    <x v="2"/>
    <n v="3"/>
    <n v="540"/>
    <n v="64.23"/>
    <n v="34684.199999999997"/>
    <n v="-3152.79"/>
    <n v="0"/>
    <n v="4099.0826609999995"/>
    <n v="35630.492660999997"/>
  </r>
  <r>
    <x v="59"/>
    <x v="5"/>
    <s v="Q2"/>
    <x v="0"/>
    <s v="KEPL/00545/82-83"/>
    <s v="GORIN TRADING "/>
    <s v="Blends"/>
    <x v="48"/>
    <n v="0.5"/>
    <n v="90"/>
    <n v="81.14"/>
    <n v="7302.5999999999995"/>
    <n v="-663.81"/>
    <n v="0"/>
    <n v="863.04272900000001"/>
    <n v="7501.8327289999997"/>
  </r>
  <r>
    <x v="59"/>
    <x v="5"/>
    <s v="Q2"/>
    <x v="0"/>
    <s v="KEPL/00545/82-83"/>
    <s v="GORIN TRADING "/>
    <s v="Straight Premium"/>
    <x v="33"/>
    <n v="1"/>
    <n v="180"/>
    <n v="91.27"/>
    <n v="16428.599999999999"/>
    <n v="-1493.36"/>
    <n v="0"/>
    <n v="1941.581265"/>
    <n v="16876.821264999999"/>
  </r>
  <r>
    <x v="59"/>
    <x v="5"/>
    <s v="Q2"/>
    <x v="0"/>
    <s v="KEPL/00545/82-83"/>
    <s v="GORIN TRADING "/>
    <s v="Sprinkler"/>
    <x v="25"/>
    <n v="1"/>
    <n v="48"/>
    <n v="310.99"/>
    <n v="14927.519999999999"/>
    <n v="-1356.91"/>
    <n v="0"/>
    <n v="1764.179359"/>
    <n v="15334.789359"/>
  </r>
  <r>
    <x v="59"/>
    <x v="5"/>
    <s v="Q2"/>
    <x v="0"/>
    <s v="KEPL/00545/82-83"/>
    <s v="GORIN TRADING "/>
    <s v="Blends"/>
    <x v="20"/>
    <n v="1"/>
    <n v="120"/>
    <n v="121.69"/>
    <n v="14602.800000000001"/>
    <n v="-1327.39"/>
    <n v="0"/>
    <n v="1725.8033580000001"/>
    <n v="15001.213358000001"/>
  </r>
  <r>
    <x v="59"/>
    <x v="5"/>
    <s v="Q2"/>
    <x v="0"/>
    <s v="KEPL/00545/82-83"/>
    <s v="GORIN TRADING "/>
    <s v="Blends"/>
    <x v="17"/>
    <n v="1"/>
    <n v="180"/>
    <n v="121.69"/>
    <n v="21904.199999999997"/>
    <n v="-1991.09"/>
    <n v="0"/>
    <n v="2588.7043859999999"/>
    <n v="22501.814385999998"/>
  </r>
  <r>
    <x v="59"/>
    <x v="5"/>
    <s v="Q2"/>
    <x v="0"/>
    <s v="KEPL/00545/82-83"/>
    <s v="GORIN TRADING "/>
    <s v="Straight Pouch"/>
    <x v="6"/>
    <n v="1"/>
    <n v="100"/>
    <n v="162.26"/>
    <n v="16226"/>
    <n v="-1474.94"/>
    <n v="0"/>
    <n v="1917.637864"/>
    <n v="16668.697864000002"/>
  </r>
  <r>
    <x v="59"/>
    <x v="5"/>
    <s v="Q2"/>
    <x v="0"/>
    <s v="KEPL/00545/82-83"/>
    <s v="GORIN TRADING "/>
    <s v="Blends"/>
    <x v="16"/>
    <n v="1"/>
    <n v="120"/>
    <n v="121.69"/>
    <n v="14602.800000000001"/>
    <n v="-1327.39"/>
    <n v="0"/>
    <n v="1725.8033580000001"/>
    <n v="15001.213358000001"/>
  </r>
  <r>
    <x v="59"/>
    <x v="5"/>
    <s v="Q2"/>
    <x v="0"/>
    <s v="KEPL/00545/82-83"/>
    <s v="GORIN TRADING "/>
    <s v="Blends"/>
    <x v="42"/>
    <n v="1"/>
    <n v="120"/>
    <n v="94.65"/>
    <n v="11358"/>
    <n v="-1032.44"/>
    <n v="0"/>
    <n v="1342.3228450000001"/>
    <n v="11667.882845"/>
  </r>
  <r>
    <x v="59"/>
    <x v="5"/>
    <s v="Q2"/>
    <x v="0"/>
    <s v="KEPL/00545/82-83"/>
    <s v="GORIN TRADING "/>
    <s v="Sprinkler"/>
    <x v="26"/>
    <n v="1"/>
    <n v="72"/>
    <n v="131.83000000000001"/>
    <n v="9491.76"/>
    <n v="-862.8"/>
    <n v="0"/>
    <n v="1121.7648369999999"/>
    <n v="9750.7248369999998"/>
  </r>
  <r>
    <x v="60"/>
    <x v="5"/>
    <s v="Q2"/>
    <x v="0"/>
    <s v="KEPL/00560/82-83"/>
    <s v="BEERA BARJEE INTERNATIONAL PVT.LTD"/>
    <s v="Blends"/>
    <x v="37"/>
    <n v="1"/>
    <n v="180"/>
    <n v="98.03"/>
    <n v="17645.400000000001"/>
    <n v="-1603.97"/>
    <n v="0"/>
    <n v="2085.39"/>
    <n v="18126.82"/>
  </r>
  <r>
    <x v="61"/>
    <x v="5"/>
    <s v="Q2"/>
    <x v="0"/>
    <s v="KEPL/00570/82-83"/>
    <s v="A N S STORE"/>
    <s v="Blends"/>
    <x v="20"/>
    <n v="1"/>
    <n v="120"/>
    <n v="133.86000000000001"/>
    <n v="16063.2"/>
    <n v="-1460.14"/>
    <n v="0"/>
    <n v="1898.3974210000001"/>
    <n v="16501.457420999999"/>
  </r>
  <r>
    <x v="61"/>
    <x v="5"/>
    <s v="Q2"/>
    <x v="0"/>
    <s v="KEPL/00570/82-83"/>
    <s v="A N S STORE"/>
    <s v="Straight Premium"/>
    <x v="8"/>
    <n v="1"/>
    <n v="120"/>
    <n v="55.77"/>
    <n v="6692.4000000000005"/>
    <n v="-608.34"/>
    <n v="0"/>
    <n v="790.92764199999999"/>
    <n v="6874.9876420000001"/>
  </r>
  <r>
    <x v="61"/>
    <x v="5"/>
    <s v="Q2"/>
    <x v="0"/>
    <s v="KEPL/00570/82-83"/>
    <s v="A N S STORE"/>
    <s v="Blends"/>
    <x v="14"/>
    <n v="1"/>
    <n v="180"/>
    <n v="148.72999999999999"/>
    <n v="26771.399999999998"/>
    <n v="-2433.52"/>
    <n v="0"/>
    <n v="3163.923769"/>
    <n v="27501.803768999998"/>
  </r>
  <r>
    <x v="61"/>
    <x v="5"/>
    <s v="Q2"/>
    <x v="0"/>
    <s v="KEPL/00570/82-83"/>
    <s v="A N S STORE"/>
    <s v="Straight Premium"/>
    <x v="23"/>
    <n v="1"/>
    <n v="180"/>
    <n v="200.79"/>
    <n v="36142.199999999997"/>
    <n v="-3285.3300000000004"/>
    <n v="0"/>
    <n v="4271.3922480000001"/>
    <n v="37128.262247999999"/>
  </r>
  <r>
    <x v="61"/>
    <x v="5"/>
    <s v="Q2"/>
    <x v="0"/>
    <s v="KEPL/00570/82-83"/>
    <s v="A N S STORE"/>
    <s v="Blends"/>
    <x v="18"/>
    <n v="1"/>
    <n v="120"/>
    <n v="156.16999999999999"/>
    <n v="18740.400000000001"/>
    <n v="-1703.5000000000002"/>
    <n v="0"/>
    <n v="2214.796558"/>
    <n v="19251.696558"/>
  </r>
  <r>
    <x v="61"/>
    <x v="5"/>
    <s v="Q2"/>
    <x v="0"/>
    <s v="KEPL/00570/82-83"/>
    <s v="A N S STORE"/>
    <s v="Blends"/>
    <x v="16"/>
    <n v="1"/>
    <n v="120"/>
    <n v="133.86000000000001"/>
    <n v="16063.2"/>
    <n v="-1460.14"/>
    <n v="0"/>
    <n v="1898.3974210000001"/>
    <n v="16501.457420999999"/>
  </r>
  <r>
    <x v="61"/>
    <x v="5"/>
    <s v="Q2"/>
    <x v="0"/>
    <s v="KEPL/00570/82-83"/>
    <s v="A N S STORE"/>
    <s v="Blends"/>
    <x v="27"/>
    <n v="1"/>
    <n v="120"/>
    <n v="126.42"/>
    <n v="15170.400000000001"/>
    <n v="-1378.99"/>
    <n v="0"/>
    <n v="1792.882942"/>
    <n v="15584.292942"/>
  </r>
  <r>
    <x v="61"/>
    <x v="5"/>
    <s v="Q2"/>
    <x v="0"/>
    <s v="KEPL/00570/82-83"/>
    <s v="A N S STORE"/>
    <s v="Blends"/>
    <x v="17"/>
    <n v="1"/>
    <n v="180"/>
    <n v="130.13999999999999"/>
    <n v="23425.200000000001"/>
    <n v="-2129.35"/>
    <n v="0"/>
    <n v="2768.4599480000002"/>
    <n v="24064.309947999998"/>
  </r>
  <r>
    <x v="61"/>
    <x v="5"/>
    <s v="Q2"/>
    <x v="0"/>
    <s v="KEPL/00570/82-83"/>
    <s v="A N S STORE"/>
    <s v="Straight Premium"/>
    <x v="22"/>
    <n v="1"/>
    <n v="40"/>
    <n v="312.33999999999997"/>
    <n v="12493.599999999999"/>
    <n v="-1135.67"/>
    <n v="0"/>
    <n v="1476.5306049999999"/>
    <n v="12834.460605"/>
  </r>
  <r>
    <x v="61"/>
    <x v="5"/>
    <s v="Q2"/>
    <x v="0"/>
    <s v="KEPL/00570/82-83"/>
    <s v="A N S STORE"/>
    <s v="Straight Premium"/>
    <x v="24"/>
    <n v="1"/>
    <n v="40"/>
    <n v="483.38"/>
    <n v="19335.2"/>
    <n v="-1757.57"/>
    <n v="0"/>
    <n v="2285.0914440000001"/>
    <n v="19862.721443999999"/>
  </r>
  <r>
    <x v="61"/>
    <x v="5"/>
    <s v="Q2"/>
    <x v="0"/>
    <s v="KEPL/00571/82-83"/>
    <s v="SHIVA SHAKTI CONCERN"/>
    <s v="Sprinkler"/>
    <x v="26"/>
    <n v="1"/>
    <n v="72"/>
    <n v="131.83000000000001"/>
    <n v="9491.76"/>
    <n v="-862.8"/>
    <n v="0"/>
    <n v="1121.7651579999999"/>
    <n v="9750.7251579999993"/>
  </r>
  <r>
    <x v="61"/>
    <x v="5"/>
    <s v="Q2"/>
    <x v="0"/>
    <s v="KEPL/00571/82-83"/>
    <s v="SHIVA SHAKTI CONCERN"/>
    <s v="Blends"/>
    <x v="11"/>
    <n v="2"/>
    <n v="360"/>
    <n v="64.23"/>
    <n v="23122.799999999999"/>
    <n v="-2101.8599999999997"/>
    <n v="0"/>
    <n v="2732.7230709999999"/>
    <n v="23753.663070999999"/>
  </r>
  <r>
    <x v="61"/>
    <x v="5"/>
    <s v="Q2"/>
    <x v="0"/>
    <s v="KEPL/00571/82-83"/>
    <s v="SHIVA SHAKTI CONCERN"/>
    <s v="Blends"/>
    <x v="2"/>
    <n v="2"/>
    <n v="360"/>
    <n v="64.23"/>
    <n v="23122.799999999999"/>
    <n v="-2101.8599999999997"/>
    <n v="0"/>
    <n v="2732.7230709999999"/>
    <n v="23753.663070999999"/>
  </r>
  <r>
    <x v="61"/>
    <x v="5"/>
    <s v="Q2"/>
    <x v="0"/>
    <s v="KEPL/00571/82-83"/>
    <s v="SHIVA SHAKTI CONCERN"/>
    <s v="Blends"/>
    <x v="0"/>
    <n v="1"/>
    <n v="180"/>
    <n v="64.23"/>
    <n v="11561.4"/>
    <n v="-1050.9299999999998"/>
    <n v="0"/>
    <n v="1366.3615359999999"/>
    <n v="11876.831536"/>
  </r>
  <r>
    <x v="61"/>
    <x v="5"/>
    <s v="Q2"/>
    <x v="0"/>
    <s v="KEPL/00571/82-83"/>
    <s v="SHIVA SHAKTI CONCERN"/>
    <s v="Blends"/>
    <x v="9"/>
    <n v="1"/>
    <n v="180"/>
    <n v="70.989999999999995"/>
    <n v="12778.2"/>
    <n v="-1161.54"/>
    <n v="0"/>
    <n v="1510.1662820000001"/>
    <n v="13126.826282"/>
  </r>
  <r>
    <x v="61"/>
    <x v="5"/>
    <s v="Q2"/>
    <x v="0"/>
    <s v="KEPL/00571/82-83"/>
    <s v="SHIVA SHAKTI CONCERN"/>
    <s v="Sprinkler"/>
    <x v="25"/>
    <n v="1"/>
    <n v="48"/>
    <n v="310.99"/>
    <n v="14927.519999999999"/>
    <n v="-1356.91"/>
    <n v="0"/>
    <n v="1764.1798630000001"/>
    <n v="15334.789863"/>
  </r>
  <r>
    <x v="61"/>
    <x v="5"/>
    <s v="Q2"/>
    <x v="0"/>
    <s v="KEPL/00571/82-83"/>
    <s v="SHIVA SHAKTI CONCERN"/>
    <s v="Cooking Paste"/>
    <x v="29"/>
    <n v="2"/>
    <n v="240"/>
    <n v="57.46"/>
    <n v="13790.4"/>
    <n v="-1253.55"/>
    <n v="0"/>
    <n v="1629.7910200000001"/>
    <n v="14166.641019999999"/>
  </r>
  <r>
    <x v="61"/>
    <x v="5"/>
    <s v="Q2"/>
    <x v="0"/>
    <s v="KESR/0006/82-83"/>
    <s v="AMRIT TRADE CONCERN"/>
    <s v="Sprinkler"/>
    <x v="26"/>
    <n v="-1.43"/>
    <n v="-103"/>
    <n v="131.83000000000001"/>
    <n v="-13578.49"/>
    <n v="1234.28"/>
    <n v="0"/>
    <n v="-1604.7477630000001"/>
    <n v="-13948.957763"/>
  </r>
  <r>
    <x v="61"/>
    <x v="5"/>
    <s v="Q2"/>
    <x v="0"/>
    <s v="KESR/0006/82-83"/>
    <s v="AMRIT TRADE CONCERN"/>
    <s v="Cooking Paste"/>
    <x v="30"/>
    <n v="-0.62"/>
    <n v="-37"/>
    <n v="98.03"/>
    <n v="-3627.11"/>
    <n v="329.7"/>
    <n v="0"/>
    <n v="-428.66342400000002"/>
    <n v="-3726.0734240000002"/>
  </r>
  <r>
    <x v="61"/>
    <x v="5"/>
    <s v="Q2"/>
    <x v="0"/>
    <s v="KESR/0006/82-83"/>
    <s v="AMRIT TRADE CONCERN"/>
    <s v="Blends"/>
    <x v="18"/>
    <n v="-0.53"/>
    <n v="-64"/>
    <n v="141.97"/>
    <n v="-9086.08"/>
    <n v="825.92"/>
    <n v="0"/>
    <n v="-1073.8211100000001"/>
    <n v="-9333.9811100000006"/>
  </r>
  <r>
    <x v="61"/>
    <x v="5"/>
    <s v="Q2"/>
    <x v="0"/>
    <s v="KESR/0006/82-83"/>
    <s v="AMRIT TRADE CONCERN"/>
    <s v="Blends"/>
    <x v="27"/>
    <n v="-1"/>
    <n v="-120"/>
    <n v="118.31"/>
    <n v="-14197.199999999999"/>
    <n v="1290.53"/>
    <n v="0"/>
    <n v="-1677.8675840000001"/>
    <n v="-14584.537584"/>
  </r>
  <r>
    <x v="61"/>
    <x v="5"/>
    <s v="Q2"/>
    <x v="0"/>
    <s v="KESR/0006/82-83"/>
    <s v="AMRIT TRADE CONCERN"/>
    <s v="Blends"/>
    <x v="21"/>
    <n v="-0.94"/>
    <n v="-75"/>
    <n v="189.3"/>
    <n v="-14197.5"/>
    <n v="1290.55"/>
    <n v="0"/>
    <n v="-1677.903984"/>
    <n v="-14584.853983999999"/>
  </r>
  <r>
    <x v="61"/>
    <x v="5"/>
    <s v="Q2"/>
    <x v="0"/>
    <s v="KESR/0006/82-83"/>
    <s v="AMRIT TRADE CONCERN"/>
    <s v="Blends"/>
    <x v="19"/>
    <n v="-1"/>
    <n v="-180"/>
    <n v="155.49"/>
    <n v="-27988.2"/>
    <n v="2544.13"/>
    <n v="0"/>
    <n v="-3307.7300529999998"/>
    <n v="-28751.800052999999"/>
  </r>
  <r>
    <x v="61"/>
    <x v="5"/>
    <s v="Q2"/>
    <x v="0"/>
    <s v="KESR/0006/82-83"/>
    <s v="AMRIT TRADE CONCERN"/>
    <s v="Sprinkler"/>
    <x v="31"/>
    <n v="-0.75"/>
    <n v="-54"/>
    <n v="148.72999999999999"/>
    <n v="-8031.4199999999992"/>
    <n v="730.06"/>
    <n v="0"/>
    <n v="-949.17707400000006"/>
    <n v="-8250.5370739999998"/>
  </r>
  <r>
    <x v="61"/>
    <x v="5"/>
    <s v="Q2"/>
    <x v="0"/>
    <s v="KESR/0006/82-83"/>
    <s v="AMRIT TRADE CONCERN"/>
    <s v="Straight Premium"/>
    <x v="28"/>
    <n v="-0.25"/>
    <n v="-20"/>
    <n v="169.01"/>
    <n v="-3380.2"/>
    <n v="307.26"/>
    <n v="0"/>
    <n v="-399.48231500000003"/>
    <n v="-3472.4223149999998"/>
  </r>
  <r>
    <x v="61"/>
    <x v="5"/>
    <s v="Q2"/>
    <x v="0"/>
    <s v="KESR/0006/82-83"/>
    <s v="AMRIT TRADE CONCERN"/>
    <s v="Sprinkler"/>
    <x v="25"/>
    <n v="-0.9"/>
    <n v="-43"/>
    <n v="310.99"/>
    <n v="-13372.57"/>
    <n v="1215.57"/>
    <n v="0"/>
    <n v="-1580.4104559999998"/>
    <n v="-13737.410456"/>
  </r>
  <r>
    <x v="61"/>
    <x v="5"/>
    <s v="Q2"/>
    <x v="0"/>
    <s v="KESR/0006/82-83"/>
    <s v="AMRIT TRADE CONCERN"/>
    <s v="Cooking Paste"/>
    <x v="29"/>
    <n v="-0.17"/>
    <n v="-20"/>
    <n v="57.46"/>
    <n v="-1149.2"/>
    <n v="104.46"/>
    <n v="0"/>
    <n v="-135.816239"/>
    <n v="-1180.556239"/>
  </r>
  <r>
    <x v="61"/>
    <x v="5"/>
    <s v="Q2"/>
    <x v="0"/>
    <s v="KESR/0007/82-83"/>
    <s v="AMRIT TRADE CONCERN"/>
    <s v="Blends"/>
    <x v="0"/>
    <n v="-0.72"/>
    <n v="-130"/>
    <n v="64.23"/>
    <n v="-8349.9"/>
    <n v="320.64"/>
    <n v="0"/>
    <n v="-1043.8037770000001"/>
    <n v="-9073.0637769999994"/>
  </r>
  <r>
    <x v="61"/>
    <x v="5"/>
    <s v="Q2"/>
    <x v="0"/>
    <s v="KESR/0007/82-83"/>
    <s v="AMRIT TRADE CONCERN"/>
    <s v="Blends"/>
    <x v="11"/>
    <n v="-0.24"/>
    <n v="-43"/>
    <n v="64.23"/>
    <n v="-2761.8900000000003"/>
    <n v="106.06"/>
    <n v="0"/>
    <n v="-345.25789199999997"/>
    <n v="-3001.087892"/>
  </r>
  <r>
    <x v="61"/>
    <x v="5"/>
    <s v="Q2"/>
    <x v="0"/>
    <s v="KESR/0007/82-83"/>
    <s v="AMRIT TRADE CONCERN"/>
    <s v="Blends"/>
    <x v="9"/>
    <n v="-0.75"/>
    <n v="-135"/>
    <n v="70.989999999999995"/>
    <n v="-9583.65"/>
    <n v="368.01"/>
    <n v="0"/>
    <n v="-1198.033173"/>
    <n v="-10413.673172999999"/>
  </r>
  <r>
    <x v="61"/>
    <x v="5"/>
    <s v="Q2"/>
    <x v="0"/>
    <s v="KESR/0007/82-83"/>
    <s v="AMRIT TRADE CONCERN"/>
    <s v="Straight Premium"/>
    <x v="5"/>
    <n v="-1.56"/>
    <n v="-280"/>
    <n v="94.65"/>
    <n v="-26502"/>
    <n v="1017.68"/>
    <n v="0"/>
    <n v="-3312.961526"/>
    <n v="-28797.281525999999"/>
  </r>
  <r>
    <x v="61"/>
    <x v="5"/>
    <s v="Q2"/>
    <x v="0"/>
    <s v="KESR/0007/82-83"/>
    <s v="AMRIT TRADE CONCERN"/>
    <s v="Straight Premium"/>
    <x v="7"/>
    <n v="-1.88"/>
    <n v="-225"/>
    <n v="152.11000000000001"/>
    <n v="-34224.75"/>
    <n v="1314.23"/>
    <n v="0"/>
    <n v="-4278.3675039999998"/>
    <n v="-37188.887503999998"/>
  </r>
  <r>
    <x v="61"/>
    <x v="5"/>
    <s v="Q2"/>
    <x v="0"/>
    <s v="KESR/0007/82-83"/>
    <s v="AMRIT TRADE CONCERN"/>
    <s v="Blends"/>
    <x v="10"/>
    <n v="-0.75"/>
    <n v="-135"/>
    <n v="60.84"/>
    <n v="-8213.4"/>
    <n v="315.39"/>
    <n v="0"/>
    <n v="-1026.7412769999999"/>
    <n v="-8924.7512769999994"/>
  </r>
  <r>
    <x v="61"/>
    <x v="5"/>
    <s v="Q2"/>
    <x v="0"/>
    <s v="KESR/0007/82-83"/>
    <s v="AMRIT TRADE CONCERN"/>
    <s v="Blends"/>
    <x v="2"/>
    <n v="-0.95"/>
    <n v="-171"/>
    <n v="64.23"/>
    <n v="-10983.33"/>
    <n v="421.76"/>
    <n v="0"/>
    <n v="-1373.0040690000001"/>
    <n v="-11934.574069"/>
  </r>
  <r>
    <x v="61"/>
    <x v="5"/>
    <s v="Q2"/>
    <x v="0"/>
    <s v="KESR/0007/82-83"/>
    <s v="AMRIT TRADE CONCERN"/>
    <s v="Straight Premium"/>
    <x v="8"/>
    <n v="-0.96"/>
    <n v="-115"/>
    <n v="57.46"/>
    <n v="-6607.9"/>
    <n v="253.74"/>
    <n v="0"/>
    <n v="-826.04078199999992"/>
    <n v="-7180.2007819999999"/>
  </r>
  <r>
    <x v="62"/>
    <x v="5"/>
    <s v="Q2"/>
    <x v="0"/>
    <s v="KEPL/00572/82-83"/>
    <s v="DS SPICECO L &amp; D"/>
    <s v="Blends"/>
    <x v="20"/>
    <n v="0.02"/>
    <n v="2"/>
    <n v="93.06"/>
    <n v="186.12"/>
    <n v="0"/>
    <n v="0"/>
    <n v="24.194220000000001"/>
    <n v="210.31422000000001"/>
  </r>
  <r>
    <x v="62"/>
    <x v="5"/>
    <s v="Q2"/>
    <x v="0"/>
    <s v="KEPL/00572/82-83"/>
    <s v="DS SPICECO L &amp; D"/>
    <s v="Blends"/>
    <x v="44"/>
    <n v="0.01"/>
    <n v="2"/>
    <n v="95.72"/>
    <n v="191.44"/>
    <n v="0"/>
    <n v="0"/>
    <n v="24.88578"/>
    <n v="216.32578000000001"/>
  </r>
  <r>
    <x v="62"/>
    <x v="5"/>
    <s v="Q2"/>
    <x v="0"/>
    <s v="KEPL/00573/82-83"/>
    <s v="S GAUTAM STORE"/>
    <s v="Straight Premium"/>
    <x v="8"/>
    <n v="1"/>
    <n v="120"/>
    <n v="50.7"/>
    <n v="6084"/>
    <n v="-553.04"/>
    <n v="0"/>
    <n v="719.02484399999992"/>
    <n v="6249.9848439999996"/>
  </r>
  <r>
    <x v="62"/>
    <x v="5"/>
    <s v="Q2"/>
    <x v="0"/>
    <s v="KEPL/00573/82-83"/>
    <s v="S GAUTAM STORE"/>
    <s v="Blends"/>
    <x v="11"/>
    <n v="1"/>
    <n v="180"/>
    <n v="64.23"/>
    <n v="11561.4"/>
    <n v="-1050.9299999999998"/>
    <n v="0"/>
    <n v="1366.3611840000001"/>
    <n v="11876.831184000001"/>
  </r>
  <r>
    <x v="62"/>
    <x v="5"/>
    <s v="Q2"/>
    <x v="0"/>
    <s v="KEPL/00573/82-83"/>
    <s v="S GAUTAM STORE"/>
    <s v="Blends"/>
    <x v="42"/>
    <n v="1"/>
    <n v="120"/>
    <n v="94.65"/>
    <n v="11358"/>
    <n v="-1032.44"/>
    <n v="0"/>
    <n v="1342.322883"/>
    <n v="11667.882883"/>
  </r>
  <r>
    <x v="62"/>
    <x v="5"/>
    <s v="Q2"/>
    <x v="0"/>
    <s v="KEPL/00573/82-83"/>
    <s v="S GAUTAM STORE"/>
    <s v="Cooking Paste"/>
    <x v="30"/>
    <n v="1"/>
    <n v="60"/>
    <n v="98.03"/>
    <n v="5881.8"/>
    <n v="-534.66"/>
    <n v="0"/>
    <n v="695.128243"/>
    <n v="6042.2682430000004"/>
  </r>
  <r>
    <x v="62"/>
    <x v="5"/>
    <s v="Q2"/>
    <x v="0"/>
    <s v="KEPL/00573/82-83"/>
    <s v="S GAUTAM STORE"/>
    <s v="Sprinkler"/>
    <x v="25"/>
    <n v="1"/>
    <n v="48"/>
    <n v="310.99"/>
    <n v="14927.519999999999"/>
    <n v="-1356.91"/>
    <n v="0"/>
    <n v="1764.1794090000001"/>
    <n v="15334.789409000001"/>
  </r>
  <r>
    <x v="62"/>
    <x v="5"/>
    <s v="Q2"/>
    <x v="0"/>
    <s v="KEPL/00573/82-83"/>
    <s v="S GAUTAM STORE"/>
    <s v="Straight Premium"/>
    <x v="7"/>
    <n v="1"/>
    <n v="120"/>
    <n v="152.11000000000001"/>
    <n v="18253.2"/>
    <n v="-1659.2199999999998"/>
    <n v="0"/>
    <n v="2157.217533"/>
    <n v="18751.197532999999"/>
  </r>
  <r>
    <x v="62"/>
    <x v="5"/>
    <s v="Q2"/>
    <x v="0"/>
    <s v="KEPL/00573/82-83"/>
    <s v="S GAUTAM STORE"/>
    <s v="Sprinkler"/>
    <x v="26"/>
    <n v="1"/>
    <n v="72"/>
    <n v="131.83000000000001"/>
    <n v="9491.76"/>
    <n v="-862.8"/>
    <n v="0"/>
    <n v="1121.7648690000001"/>
    <n v="9750.7248689999997"/>
  </r>
  <r>
    <x v="62"/>
    <x v="5"/>
    <s v="Q2"/>
    <x v="0"/>
    <s v="KEPL/00573/82-83"/>
    <s v="S GAUTAM STORE"/>
    <s v="Blends"/>
    <x v="0"/>
    <n v="1"/>
    <n v="180"/>
    <n v="64.23"/>
    <n v="11561.4"/>
    <n v="-1050.9299999999998"/>
    <n v="0"/>
    <n v="1366.3611840000001"/>
    <n v="11876.831184000001"/>
  </r>
  <r>
    <x v="62"/>
    <x v="5"/>
    <s v="Q2"/>
    <x v="0"/>
    <s v="KEPL/00573/82-83"/>
    <s v="S GAUTAM STORE"/>
    <s v="Straight Premium"/>
    <x v="5"/>
    <n v="1"/>
    <n v="180"/>
    <n v="94.65"/>
    <n v="17037"/>
    <n v="-1548.6599999999999"/>
    <n v="0"/>
    <n v="2013.484324"/>
    <n v="17501.824324000001"/>
  </r>
  <r>
    <x v="62"/>
    <x v="5"/>
    <s v="Q2"/>
    <x v="0"/>
    <s v="KEPL/00573/82-83"/>
    <s v="S GAUTAM STORE"/>
    <s v="Blends"/>
    <x v="48"/>
    <n v="1"/>
    <n v="180"/>
    <n v="81.14"/>
    <n v="14605.199999999999"/>
    <n v="-1327.61"/>
    <n v="0"/>
    <n v="1726.0868069999999"/>
    <n v="15003.676807"/>
  </r>
  <r>
    <x v="62"/>
    <x v="5"/>
    <s v="Q2"/>
    <x v="0"/>
    <s v="KEPL/00573/82-83"/>
    <s v="S GAUTAM STORE"/>
    <s v="Blends"/>
    <x v="18"/>
    <n v="1"/>
    <n v="120"/>
    <n v="141.97"/>
    <n v="17036.400000000001"/>
    <n v="-1548.61"/>
    <n v="0"/>
    <n v="2013.412824"/>
    <n v="17501.202824"/>
  </r>
  <r>
    <x v="62"/>
    <x v="5"/>
    <s v="Q2"/>
    <x v="0"/>
    <s v="KEPL/00573/82-83"/>
    <s v="S GAUTAM STORE"/>
    <s v="Blends"/>
    <x v="9"/>
    <n v="1"/>
    <n v="180"/>
    <n v="70.989999999999995"/>
    <n v="12778.2"/>
    <n v="-1161.54"/>
    <n v="0"/>
    <n v="1510.1658929999999"/>
    <n v="13126.825892999999"/>
  </r>
  <r>
    <x v="62"/>
    <x v="5"/>
    <s v="Q2"/>
    <x v="0"/>
    <s v="KEPL/00574/82-83"/>
    <s v="S GAUTAM STORE"/>
    <s v="Blends"/>
    <x v="10"/>
    <n v="1"/>
    <n v="180"/>
    <n v="60.84"/>
    <n v="10951.199999999999"/>
    <n v="-995.46"/>
    <n v="0"/>
    <n v="1294.2465179999999"/>
    <n v="11249.986518"/>
  </r>
  <r>
    <x v="62"/>
    <x v="5"/>
    <s v="Q2"/>
    <x v="0"/>
    <s v="KEPL/00574/82-83"/>
    <s v="S GAUTAM STORE"/>
    <s v="Blends"/>
    <x v="32"/>
    <n v="1"/>
    <n v="120"/>
    <n v="64.23"/>
    <n v="7707.5999999999995"/>
    <n v="-700.62"/>
    <n v="0"/>
    <n v="910.90762399999994"/>
    <n v="7917.887624"/>
  </r>
  <r>
    <x v="62"/>
    <x v="5"/>
    <s v="Q2"/>
    <x v="0"/>
    <s v="KEPL/00574/82-83"/>
    <s v="S GAUTAM STORE"/>
    <s v="Sprinkler"/>
    <x v="31"/>
    <n v="1"/>
    <n v="72"/>
    <n v="148.72999999999999"/>
    <n v="10708.74"/>
    <n v="-973.42"/>
    <n v="0"/>
    <n v="1265.591911"/>
    <n v="11000.911910999999"/>
  </r>
  <r>
    <x v="62"/>
    <x v="5"/>
    <s v="Q2"/>
    <x v="0"/>
    <s v="KEPL/00574/82-83"/>
    <s v="S GAUTAM STORE"/>
    <s v="Cooking Paste"/>
    <x v="29"/>
    <n v="1"/>
    <n v="120"/>
    <n v="57.46"/>
    <n v="6895.2"/>
    <n v="-626.77"/>
    <n v="0"/>
    <n v="814.89609999999993"/>
    <n v="7083.3261000000002"/>
  </r>
  <r>
    <x v="62"/>
    <x v="5"/>
    <s v="Q2"/>
    <x v="0"/>
    <s v="KEPL/00574/82-83"/>
    <s v="S GAUTAM STORE"/>
    <s v="Blends"/>
    <x v="2"/>
    <n v="1"/>
    <n v="180"/>
    <n v="64.23"/>
    <n v="11561.4"/>
    <n v="-1050.9299999999998"/>
    <n v="0"/>
    <n v="1366.3614359999999"/>
    <n v="11876.831436"/>
  </r>
  <r>
    <x v="62"/>
    <x v="5"/>
    <s v="Q2"/>
    <x v="0"/>
    <s v="KEPL/00574/82-83"/>
    <s v="S GAUTAM STORE"/>
    <s v="Blends"/>
    <x v="37"/>
    <n v="1"/>
    <n v="180"/>
    <n v="98.03"/>
    <n v="17645.400000000001"/>
    <n v="-1603.97"/>
    <n v="0"/>
    <n v="2085.3864120000003"/>
    <n v="18126.816412"/>
  </r>
  <r>
    <x v="62"/>
    <x v="5"/>
    <s v="Q2"/>
    <x v="0"/>
    <s v="KEPL/00575/82-83"/>
    <s v="SUBHARAMBHA TRADING"/>
    <s v="Straight Premium"/>
    <x v="5"/>
    <n v="1"/>
    <n v="180"/>
    <n v="94.65"/>
    <n v="17037"/>
    <n v="-1548.6599999999999"/>
    <n v="0"/>
    <n v="2013.4845889999999"/>
    <n v="17501.824589"/>
  </r>
  <r>
    <x v="62"/>
    <x v="5"/>
    <s v="Q2"/>
    <x v="0"/>
    <s v="KEPL/00575/82-83"/>
    <s v="SUBHARAMBHA TRADING"/>
    <s v="Sprinkler"/>
    <x v="26"/>
    <n v="1"/>
    <n v="72"/>
    <n v="131.83000000000001"/>
    <n v="9491.76"/>
    <n v="-862.8"/>
    <n v="0"/>
    <n v="1121.7650169999999"/>
    <n v="9750.7250170000007"/>
  </r>
  <r>
    <x v="62"/>
    <x v="5"/>
    <s v="Q2"/>
    <x v="0"/>
    <s v="KEPL/00575/82-83"/>
    <s v="SUBHARAMBHA TRADING"/>
    <s v="Blends"/>
    <x v="0"/>
    <n v="1"/>
    <n v="180"/>
    <n v="64.23"/>
    <n v="11561.4"/>
    <n v="-1050.9299999999998"/>
    <n v="0"/>
    <n v="1366.3613639999999"/>
    <n v="11876.831364"/>
  </r>
  <r>
    <x v="62"/>
    <x v="5"/>
    <s v="Q2"/>
    <x v="0"/>
    <s v="KEPL/00575/82-83"/>
    <s v="SUBHARAMBHA TRADING"/>
    <s v="Blends"/>
    <x v="42"/>
    <n v="1"/>
    <n v="120"/>
    <n v="94.65"/>
    <n v="11358"/>
    <n v="-1032.44"/>
    <n v="0"/>
    <n v="1342.3230590000001"/>
    <n v="11667.883059"/>
  </r>
  <r>
    <x v="62"/>
    <x v="5"/>
    <s v="Q2"/>
    <x v="0"/>
    <s v="KEPL/00575/82-83"/>
    <s v="SUBHARAMBHA TRADING"/>
    <s v="Cooking Paste"/>
    <x v="30"/>
    <n v="1"/>
    <n v="60"/>
    <n v="98.03"/>
    <n v="5881.8"/>
    <n v="-534.66"/>
    <n v="0"/>
    <n v="695.128334"/>
    <n v="6042.2683340000003"/>
  </r>
  <r>
    <x v="62"/>
    <x v="5"/>
    <s v="Q2"/>
    <x v="0"/>
    <s v="KEPL/00575/82-83"/>
    <s v="SUBHARAMBHA TRADING"/>
    <s v="Blends"/>
    <x v="9"/>
    <n v="1"/>
    <n v="180"/>
    <n v="70.989999999999995"/>
    <n v="12778.2"/>
    <n v="-1161.54"/>
    <n v="0"/>
    <n v="1510.1660919999999"/>
    <n v="13126.826091999999"/>
  </r>
  <r>
    <x v="62"/>
    <x v="5"/>
    <s v="Q2"/>
    <x v="0"/>
    <s v="KEPL/00575/82-83"/>
    <s v="SUBHARAMBHA TRADING"/>
    <s v="Blends"/>
    <x v="2"/>
    <n v="1"/>
    <n v="180"/>
    <n v="64.23"/>
    <n v="11561.4"/>
    <n v="-1050.9299999999998"/>
    <n v="0"/>
    <n v="1366.3613639999999"/>
    <n v="11876.831364"/>
  </r>
  <r>
    <x v="62"/>
    <x v="5"/>
    <s v="Q2"/>
    <x v="0"/>
    <s v="KEPL/00575/82-83"/>
    <s v="SUBHARAMBHA TRADING"/>
    <s v="Sprinkler"/>
    <x v="31"/>
    <n v="1"/>
    <n v="72"/>
    <n v="148.74"/>
    <n v="10709.279999999999"/>
    <n v="-973.47"/>
    <n v="0"/>
    <n v="1265.655544"/>
    <n v="11001.465544000001"/>
  </r>
  <r>
    <x v="62"/>
    <x v="5"/>
    <s v="Q2"/>
    <x v="0"/>
    <s v="KEPL/00575/82-83"/>
    <s v="SUBHARAMBHA TRADING"/>
    <s v="Blends"/>
    <x v="32"/>
    <n v="1"/>
    <n v="120"/>
    <n v="64.23"/>
    <n v="7707.5999999999995"/>
    <n v="-700.62"/>
    <n v="0"/>
    <n v="910.90757600000006"/>
    <n v="7917.8875760000001"/>
  </r>
  <r>
    <x v="62"/>
    <x v="5"/>
    <s v="Q2"/>
    <x v="0"/>
    <s v="KEPL/00575/82-83"/>
    <s v="SUBHARAMBHA TRADING"/>
    <s v="Cooking Paste"/>
    <x v="29"/>
    <n v="1"/>
    <n v="120"/>
    <n v="57.46"/>
    <n v="6895.2"/>
    <n v="-626.77"/>
    <n v="0"/>
    <n v="814.89605699999993"/>
    <n v="7083.3260570000002"/>
  </r>
  <r>
    <x v="62"/>
    <x v="5"/>
    <s v="Q2"/>
    <x v="0"/>
    <s v="KEPL/00575/82-83"/>
    <s v="SUBHARAMBHA TRADING"/>
    <s v="Sprinkler"/>
    <x v="25"/>
    <n v="1"/>
    <n v="48"/>
    <n v="310.99"/>
    <n v="14927.519999999999"/>
    <n v="-1356.91"/>
    <n v="0"/>
    <n v="1764.1796409999999"/>
    <n v="15334.789640999999"/>
  </r>
  <r>
    <x v="62"/>
    <x v="5"/>
    <s v="Q2"/>
    <x v="0"/>
    <s v="KEPL/00575/82-83"/>
    <s v="SUBHARAMBHA TRADING"/>
    <s v="Blends"/>
    <x v="11"/>
    <n v="1"/>
    <n v="180"/>
    <n v="64.23"/>
    <n v="11561.4"/>
    <n v="-1050.9299999999998"/>
    <n v="0"/>
    <n v="1366.3613639999999"/>
    <n v="11876.831364"/>
  </r>
  <r>
    <x v="62"/>
    <x v="5"/>
    <s v="Q2"/>
    <x v="0"/>
    <s v="KEPL/00588/82-83"/>
    <s v="GORIN TRADING "/>
    <s v="Straight Pouch"/>
    <x v="1"/>
    <n v="1"/>
    <n v="100"/>
    <n v="108.17"/>
    <n v="10817"/>
    <n v="-983.2700000000001"/>
    <n v="0"/>
    <n v="1278.3862779999999"/>
    <n v="11112.116278"/>
  </r>
  <r>
    <x v="62"/>
    <x v="5"/>
    <s v="Q2"/>
    <x v="0"/>
    <s v="KEPL/00588/82-83"/>
    <s v="GORIN TRADING "/>
    <s v="Blends"/>
    <x v="37"/>
    <n v="1"/>
    <n v="180"/>
    <n v="98.03"/>
    <n v="17645.400000000001"/>
    <n v="-1603.97"/>
    <n v="0"/>
    <n v="2085.3881470000001"/>
    <n v="18126.818147000002"/>
  </r>
  <r>
    <x v="62"/>
    <x v="5"/>
    <s v="Q2"/>
    <x v="0"/>
    <s v="KEPL/00588/82-83"/>
    <s v="GORIN TRADING "/>
    <s v="Straight Premium"/>
    <x v="8"/>
    <n v="1"/>
    <n v="120"/>
    <n v="50.7"/>
    <n v="6084"/>
    <n v="-553.04"/>
    <n v="0"/>
    <n v="719.025575"/>
    <n v="6249.9855749999997"/>
  </r>
  <r>
    <x v="63"/>
    <x v="5"/>
    <s v="Q2"/>
    <x v="0"/>
    <s v="KEPL/00624/82-83"/>
    <s v="MEGA MART PVT.LTD"/>
    <s v="Sprinkler"/>
    <x v="25"/>
    <n v="1"/>
    <n v="48"/>
    <n v="293.10000000000002"/>
    <n v="14068.8"/>
    <n v="0"/>
    <n v="0"/>
    <n v="1828.9425209999999"/>
    <n v="15897.742521"/>
  </r>
  <r>
    <x v="63"/>
    <x v="5"/>
    <s v="Q2"/>
    <x v="0"/>
    <s v="KEPL/00624/82-83"/>
    <s v="MEGA MART PVT.LTD"/>
    <s v="Sprinkler"/>
    <x v="31"/>
    <n v="2"/>
    <n v="144"/>
    <n v="140.18"/>
    <n v="20185.919999999998"/>
    <n v="0"/>
    <n v="0"/>
    <n v="2624.1674790000002"/>
    <n v="22810.087479000002"/>
  </r>
  <r>
    <x v="63"/>
    <x v="5"/>
    <s v="Q2"/>
    <x v="0"/>
    <s v="KEPL/00626/82-83"/>
    <s v="BEERA BARJEE INTERNATIONAL PVT.LTD"/>
    <s v="Blends"/>
    <x v="20"/>
    <n v="1"/>
    <n v="120"/>
    <n v="121.69"/>
    <n v="14602.800000000001"/>
    <n v="-1327.39"/>
    <n v="0"/>
    <n v="1725.8033830000002"/>
    <n v="15001.213383"/>
  </r>
  <r>
    <x v="63"/>
    <x v="5"/>
    <s v="Q2"/>
    <x v="0"/>
    <s v="KEPL/00626/82-83"/>
    <s v="BEERA BARJEE INTERNATIONAL PVT.LTD"/>
    <s v="Blends"/>
    <x v="14"/>
    <n v="1"/>
    <n v="180"/>
    <n v="135.21"/>
    <n v="24337.8"/>
    <n v="-2212.31"/>
    <n v="0"/>
    <n v="2876.3138389999999"/>
    <n v="25001.803839"/>
  </r>
  <r>
    <x v="63"/>
    <x v="5"/>
    <s v="Q2"/>
    <x v="0"/>
    <s v="KEPL/00626/82-83"/>
    <s v="BEERA BARJEE INTERNATIONAL PVT.LTD"/>
    <s v="Straight Premium"/>
    <x v="8"/>
    <n v="1"/>
    <n v="120"/>
    <n v="50.7"/>
    <n v="6084"/>
    <n v="-553.04"/>
    <n v="0"/>
    <n v="719.02483500000005"/>
    <n v="6249.9848350000002"/>
  </r>
  <r>
    <x v="63"/>
    <x v="5"/>
    <s v="Q2"/>
    <x v="0"/>
    <s v="KEPL/00626/82-83"/>
    <s v="BEERA BARJEE INTERNATIONAL PVT.LTD"/>
    <s v="Cooking Paste"/>
    <x v="29"/>
    <n v="3"/>
    <n v="360"/>
    <n v="57.46"/>
    <n v="20685.599999999999"/>
    <n v="-1880.32"/>
    <n v="0"/>
    <n v="2444.686518"/>
    <n v="21249.966518000001"/>
  </r>
  <r>
    <x v="63"/>
    <x v="5"/>
    <s v="Q2"/>
    <x v="0"/>
    <s v="KEPL/00626/82-83"/>
    <s v="BEERA BARJEE INTERNATIONAL PVT.LTD"/>
    <s v="Sprinkler"/>
    <x v="25"/>
    <n v="2"/>
    <n v="96"/>
    <n v="310.99"/>
    <n v="29855.039999999997"/>
    <n v="-2713.82"/>
    <n v="0"/>
    <n v="3528.3587699999998"/>
    <n v="30669.57877"/>
  </r>
  <r>
    <x v="63"/>
    <x v="5"/>
    <s v="Q2"/>
    <x v="0"/>
    <s v="KEPL/00626/82-83"/>
    <s v="BEERA BARJEE INTERNATIONAL PVT.LTD"/>
    <s v="Cooking Paste"/>
    <x v="30"/>
    <n v="4"/>
    <n v="240"/>
    <n v="98.03"/>
    <n v="23527.200000000001"/>
    <n v="-2138.6200000000003"/>
    <n v="0"/>
    <n v="2780.5155339999997"/>
    <n v="24169.095534"/>
  </r>
  <r>
    <x v="63"/>
    <x v="5"/>
    <s v="Q2"/>
    <x v="0"/>
    <s v="KEPL/00626/82-83"/>
    <s v="BEERA BARJEE INTERNATIONAL PVT.LTD"/>
    <s v="Straight Premium"/>
    <x v="5"/>
    <n v="1"/>
    <n v="180"/>
    <n v="94.65"/>
    <n v="17037"/>
    <n v="-1548.6599999999999"/>
    <n v="0"/>
    <n v="2013.484297"/>
    <n v="17501.824296999999"/>
  </r>
  <r>
    <x v="63"/>
    <x v="5"/>
    <s v="Q2"/>
    <x v="0"/>
    <s v="KEPL/00626/82-83"/>
    <s v="BEERA BARJEE INTERNATIONAL PVT.LTD"/>
    <s v="Blends"/>
    <x v="18"/>
    <n v="2"/>
    <n v="240"/>
    <n v="141.97"/>
    <n v="34072.800000000003"/>
    <n v="-3097.22"/>
    <n v="0"/>
    <n v="4026.8255939999999"/>
    <n v="35002.405594000003"/>
  </r>
  <r>
    <x v="63"/>
    <x v="5"/>
    <s v="Q2"/>
    <x v="0"/>
    <s v="KEPL/00626/82-83"/>
    <s v="BEERA BARJEE INTERNATIONAL PVT.LTD"/>
    <s v="Combo"/>
    <x v="43"/>
    <n v="1"/>
    <n v="60"/>
    <n v="148.74"/>
    <n v="8924.4"/>
    <n v="-811.23"/>
    <n v="0"/>
    <n v="1054.7121509999999"/>
    <n v="9167.8821509999998"/>
  </r>
  <r>
    <x v="63"/>
    <x v="5"/>
    <s v="Q2"/>
    <x v="0"/>
    <s v="KEPL/00626/82-83"/>
    <s v="BEERA BARJEE INTERNATIONAL PVT.LTD"/>
    <s v="Blends"/>
    <x v="44"/>
    <n v="1"/>
    <n v="180"/>
    <n v="128.44999999999999"/>
    <n v="23121.000000000004"/>
    <n v="-2101.6999999999998"/>
    <n v="0"/>
    <n v="2732.5091320000001"/>
    <n v="23751.809131999998"/>
  </r>
  <r>
    <x v="63"/>
    <x v="5"/>
    <s v="Q2"/>
    <x v="0"/>
    <s v="KEPL/00626/82-83"/>
    <s v="BEERA BARJEE INTERNATIONAL PVT.LTD"/>
    <s v="Blends"/>
    <x v="11"/>
    <n v="1"/>
    <n v="180"/>
    <n v="64.23"/>
    <n v="11561.4"/>
    <n v="-1050.9299999999998"/>
    <n v="0"/>
    <n v="1366.3611660000001"/>
    <n v="11876.831166"/>
  </r>
  <r>
    <x v="63"/>
    <x v="5"/>
    <s v="Q2"/>
    <x v="0"/>
    <s v="KEPL/00626/82-83"/>
    <s v="BEERA BARJEE INTERNATIONAL PVT.LTD"/>
    <s v="Sprinkler"/>
    <x v="31"/>
    <n v="3"/>
    <n v="216"/>
    <n v="148.74"/>
    <n v="32127.84"/>
    <n v="-2920.42"/>
    <n v="0"/>
    <n v="3796.9647830000004"/>
    <n v="33004.384783000001"/>
  </r>
  <r>
    <x v="64"/>
    <x v="5"/>
    <s v="Q2"/>
    <x v="0"/>
    <s v="KESR/0014/82-83"/>
    <s v="BEERA BARJEE INTERNATIONAL PVT.LTD"/>
    <s v="Blends"/>
    <x v="21"/>
    <n v="-1"/>
    <n v="-80"/>
    <n v="185.92"/>
    <n v="-14873.6"/>
    <n v="1352.01"/>
    <n v="0"/>
    <n v="-1757.81"/>
    <n v="-15279.4"/>
  </r>
  <r>
    <x v="65"/>
    <x v="5"/>
    <s v="Q2"/>
    <x v="0"/>
    <s v="KEPL/00682/82-83"/>
    <s v="BHAT BHATENI SUPERMARKET &amp; DEPARTMENTAL STORE PVT. LTD."/>
    <s v="Sprinkler"/>
    <x v="26"/>
    <n v="1"/>
    <n v="72"/>
    <n v="120.8"/>
    <n v="8697.6"/>
    <n v="0"/>
    <n v="-434.88023300000003"/>
    <n v="1074.1541420000001"/>
    <n v="9336.8739089999999"/>
  </r>
  <r>
    <x v="65"/>
    <x v="5"/>
    <s v="Q2"/>
    <x v="0"/>
    <s v="KEPL/00682/82-83"/>
    <s v="BHAT BHATENI SUPERMARKET &amp; DEPARTMENTAL STORE PVT. LTD."/>
    <s v="Blends"/>
    <x v="37"/>
    <n v="1"/>
    <n v="180"/>
    <n v="89.82"/>
    <n v="16167.6"/>
    <n v="0"/>
    <n v="-808.38043400000004"/>
    <n v="1996.699607"/>
    <n v="17355.919172999998"/>
  </r>
  <r>
    <x v="65"/>
    <x v="5"/>
    <s v="Q2"/>
    <x v="0"/>
    <s v="KEPL/00682/82-83"/>
    <s v="BHAT BHATENI SUPERMARKET &amp; DEPARTMENTAL STORE PVT. LTD."/>
    <s v="Blends"/>
    <x v="21"/>
    <n v="1"/>
    <n v="80"/>
    <n v="170.35"/>
    <n v="13628.000000000002"/>
    <n v="0"/>
    <n v="-681.40036599999996"/>
    <n v="1683.058849"/>
    <n v="14629.658482999999"/>
  </r>
  <r>
    <x v="65"/>
    <x v="5"/>
    <s v="Q2"/>
    <x v="0"/>
    <s v="KEPL/00682/82-83"/>
    <s v="BHAT BHATENI SUPERMARKET &amp; DEPARTMENTAL STORE PVT. LTD."/>
    <s v="Straight Premium"/>
    <x v="23"/>
    <n v="1"/>
    <n v="180"/>
    <n v="145.58000000000001"/>
    <n v="26204.399999999998"/>
    <n v="0"/>
    <n v="-1310.220703"/>
    <n v="3236.2450319999998"/>
    <n v="28130.424329000001"/>
  </r>
  <r>
    <x v="65"/>
    <x v="5"/>
    <s v="Q2"/>
    <x v="0"/>
    <s v="KEPL/00682/82-83"/>
    <s v="BHAT BHATENI SUPERMARKET &amp; DEPARTMENTAL STORE PVT. LTD."/>
    <s v="Sprinkler"/>
    <x v="31"/>
    <n v="1"/>
    <n v="72"/>
    <n v="136.28"/>
    <n v="9812.16"/>
    <n v="0"/>
    <n v="-490.60826299999997"/>
    <n v="1211.802371"/>
    <n v="10533.354108"/>
  </r>
  <r>
    <x v="65"/>
    <x v="5"/>
    <s v="Q2"/>
    <x v="0"/>
    <s v="KEPL/00683/82-83"/>
    <s v="BHAT BHATENI SUPERMARKET &amp; DEPARTMENTAL STORE PVT. LTD."/>
    <s v="Straight Pouch"/>
    <x v="13"/>
    <n v="1"/>
    <n v="100"/>
    <n v="126"/>
    <n v="12600"/>
    <n v="0"/>
    <n v="-630"/>
    <n v="0"/>
    <n v="11970"/>
  </r>
  <r>
    <x v="65"/>
    <x v="5"/>
    <s v="Q2"/>
    <x v="0"/>
    <s v="KEPL/00683/82-83"/>
    <s v="BHAT BHATENI SUPERMARKET &amp; DEPARTMENTAL STORE PVT. LTD."/>
    <s v="Straight Pouch"/>
    <x v="12"/>
    <n v="1"/>
    <n v="40"/>
    <n v="308"/>
    <n v="12320"/>
    <n v="0"/>
    <n v="-616"/>
    <n v="0"/>
    <n v="11704"/>
  </r>
  <r>
    <x v="65"/>
    <x v="5"/>
    <s v="Q2"/>
    <x v="0"/>
    <s v="KEPL/00684/82-83"/>
    <s v="BHAT BHATENI SUPERMARKET &amp; DEPARTMENTAL STORE PVT. LTD."/>
    <s v="Blends"/>
    <x v="18"/>
    <n v="0.5"/>
    <n v="60"/>
    <n v="130.09"/>
    <n v="7805.4000000000005"/>
    <n v="0"/>
    <n v="-390.27004600000004"/>
    <n v="963.96683899999994"/>
    <n v="8379.0967930000006"/>
  </r>
  <r>
    <x v="65"/>
    <x v="5"/>
    <s v="Q2"/>
    <x v="0"/>
    <s v="KEPL/00684/82-83"/>
    <s v="BHAT BHATENI SUPERMARKET &amp; DEPARTMENTAL STORE PVT. LTD."/>
    <s v="Straight Premium"/>
    <x v="22"/>
    <n v="1"/>
    <n v="40"/>
    <n v="260.18"/>
    <n v="10407.199999999999"/>
    <n v="0"/>
    <n v="-520.36006099999997"/>
    <n v="1285.289119"/>
    <n v="11172.129058"/>
  </r>
  <r>
    <x v="65"/>
    <x v="5"/>
    <s v="Q2"/>
    <x v="0"/>
    <s v="KEPL/00684/82-83"/>
    <s v="BHAT BHATENI SUPERMARKET &amp; DEPARTMENTAL STORE PVT. LTD."/>
    <s v="Blends"/>
    <x v="48"/>
    <n v="0.5"/>
    <n v="90"/>
    <n v="74.34"/>
    <n v="6690.5999999999995"/>
    <n v="0"/>
    <n v="-334.53003899999999"/>
    <n v="826.28904799999998"/>
    <n v="7182.3590089999998"/>
  </r>
  <r>
    <x v="65"/>
    <x v="5"/>
    <s v="Q2"/>
    <x v="0"/>
    <s v="KEPL/00684/82-83"/>
    <s v="BHAT BHATENI SUPERMARKET &amp; DEPARTMENTAL STORE PVT. LTD."/>
    <s v="Sprinkler"/>
    <x v="47"/>
    <n v="0.5"/>
    <n v="50"/>
    <n v="65.040000000000006"/>
    <n v="3252"/>
    <n v="0"/>
    <n v="-162.60001899999997"/>
    <n v="401.62197499999996"/>
    <n v="3491.021956"/>
  </r>
  <r>
    <x v="65"/>
    <x v="5"/>
    <s v="Q2"/>
    <x v="0"/>
    <s v="KEPL/00684/82-83"/>
    <s v="BHAT BHATENI SUPERMARKET &amp; DEPARTMENTAL STORE PVT. LTD."/>
    <s v="Blends"/>
    <x v="16"/>
    <n v="0.5"/>
    <n v="60"/>
    <n v="108.41"/>
    <n v="6504.6"/>
    <n v="0"/>
    <n v="-325.23003799999998"/>
    <n v="803.31804900000009"/>
    <n v="6982.6880110000002"/>
  </r>
  <r>
    <x v="65"/>
    <x v="5"/>
    <s v="Q2"/>
    <x v="0"/>
    <s v="KEPL/00684/82-83"/>
    <s v="BHAT BHATENI SUPERMARKET &amp; DEPARTMENTAL STORE PVT. LTD."/>
    <s v="Sprinkler"/>
    <x v="26"/>
    <n v="1"/>
    <n v="72"/>
    <n v="120.8"/>
    <n v="8697.6"/>
    <n v="0"/>
    <n v="-434.88005099999998"/>
    <n v="1074.153532"/>
    <n v="9336.8734810000005"/>
  </r>
  <r>
    <x v="65"/>
    <x v="5"/>
    <s v="Q2"/>
    <x v="0"/>
    <s v="KEPL/00684/82-83"/>
    <s v="BHAT BHATENI SUPERMARKET &amp; DEPARTMENTAL STORE PVT. LTD."/>
    <s v="Blends"/>
    <x v="41"/>
    <n v="0.5"/>
    <n v="60"/>
    <n v="145.58000000000001"/>
    <n v="8734.7999999999993"/>
    <n v="0"/>
    <n v="-436.74005099999999"/>
    <n v="1078.747732"/>
    <n v="9376.8076810000002"/>
  </r>
  <r>
    <x v="65"/>
    <x v="5"/>
    <s v="Q2"/>
    <x v="0"/>
    <s v="KEPL/00684/82-83"/>
    <s v="BHAT BHATENI SUPERMARKET &amp; DEPARTMENTAL STORE PVT. LTD."/>
    <s v="Blends"/>
    <x v="39"/>
    <n v="0.5"/>
    <n v="90"/>
    <n v="76.81"/>
    <n v="6912.9000000000005"/>
    <n v="0"/>
    <n v="-345.64504099999999"/>
    <n v="853.74309600000004"/>
    <n v="7420.998055"/>
  </r>
  <r>
    <x v="65"/>
    <x v="5"/>
    <s v="Q2"/>
    <x v="0"/>
    <s v="KEPL/00684/82-83"/>
    <s v="BHAT BHATENI SUPERMARKET &amp; DEPARTMENTAL STORE PVT. LTD."/>
    <s v="Straight Premium"/>
    <x v="28"/>
    <n v="0.5"/>
    <n v="40"/>
    <n v="154.87"/>
    <n v="6194.8"/>
    <n v="0"/>
    <n v="-309.74003599999998"/>
    <n v="765.05775200000005"/>
    <n v="6650.1177159999997"/>
  </r>
  <r>
    <x v="65"/>
    <x v="5"/>
    <s v="Q2"/>
    <x v="0"/>
    <s v="KEPL/00684/82-83"/>
    <s v="BHAT BHATENI SUPERMARKET &amp; DEPARTMENTAL STORE PVT. LTD."/>
    <s v="Straight Pouch"/>
    <x v="4"/>
    <n v="1"/>
    <n v="40"/>
    <n v="238.5"/>
    <n v="9539.9999999999982"/>
    <n v="0"/>
    <n v="-477.00005600000003"/>
    <n v="1178.1899250000001"/>
    <n v="10241.189869"/>
  </r>
  <r>
    <x v="65"/>
    <x v="5"/>
    <s v="Q2"/>
    <x v="0"/>
    <s v="KEPL/00684/82-83"/>
    <s v="BHAT BHATENI SUPERMARKET &amp; DEPARTMENTAL STORE PVT. LTD."/>
    <s v="Blends"/>
    <x v="17"/>
    <n v="0.5"/>
    <n v="90"/>
    <n v="108.41"/>
    <n v="9756.9"/>
    <n v="0"/>
    <n v="-487.845057"/>
    <n v="1204.9770739999999"/>
    <n v="10474.032017"/>
  </r>
  <r>
    <x v="65"/>
    <x v="5"/>
    <s v="Q2"/>
    <x v="0"/>
    <s v="KEPL/00684/82-83"/>
    <s v="BHAT BHATENI SUPERMARKET &amp; DEPARTMENTAL STORE PVT. LTD."/>
    <s v="Straight Pouch"/>
    <x v="1"/>
    <n v="1"/>
    <n v="100"/>
    <n v="99.12"/>
    <n v="9912"/>
    <n v="0"/>
    <n v="-495.60005800000005"/>
    <n v="1224.1319229999999"/>
    <n v="10640.531865000001"/>
  </r>
  <r>
    <x v="65"/>
    <x v="5"/>
    <s v="Q2"/>
    <x v="0"/>
    <s v="KEPL/00684/82-83"/>
    <s v="BHAT BHATENI SUPERMARKET &amp; DEPARTMENTAL STORE PVT. LTD."/>
    <s v="Blends"/>
    <x v="42"/>
    <n v="0.5"/>
    <n v="60"/>
    <n v="86.73"/>
    <n v="5203.8"/>
    <n v="0"/>
    <n v="-260.19003099999998"/>
    <n v="642.66925900000001"/>
    <n v="5586.2792280000003"/>
  </r>
  <r>
    <x v="65"/>
    <x v="5"/>
    <s v="Q2"/>
    <x v="0"/>
    <s v="KEPL/00684/82-83"/>
    <s v="BHAT BHATENI SUPERMARKET &amp; DEPARTMENTAL STORE PVT. LTD."/>
    <s v="Cooking Paste"/>
    <x v="30"/>
    <n v="1"/>
    <n v="60"/>
    <n v="89.82"/>
    <n v="5389.2"/>
    <n v="0"/>
    <n v="-269.46003200000001"/>
    <n v="665.56615799999997"/>
    <n v="5785.3061260000004"/>
  </r>
  <r>
    <x v="65"/>
    <x v="5"/>
    <s v="Q2"/>
    <x v="0"/>
    <s v="KEPL/00684/82-83"/>
    <s v="BHAT BHATENI SUPERMARKET &amp; DEPARTMENTAL STORE PVT. LTD."/>
    <s v="Blends"/>
    <x v="44"/>
    <n v="0.5"/>
    <n v="90"/>
    <n v="111.5"/>
    <n v="10035"/>
    <n v="0"/>
    <n v="-501.75005900000002"/>
    <n v="1239.322422"/>
    <n v="10772.572362999999"/>
  </r>
  <r>
    <x v="65"/>
    <x v="5"/>
    <s v="Q2"/>
    <x v="0"/>
    <s v="KEPL/00684/82-83"/>
    <s v="BHAT BHATENI SUPERMARKET &amp; DEPARTMENTAL STORE PVT. LTD."/>
    <s v="Straight Premium"/>
    <x v="33"/>
    <n v="0.5"/>
    <n v="90"/>
    <n v="83.63"/>
    <n v="7526.7"/>
    <n v="0"/>
    <n v="-376.33504399999998"/>
    <n v="929.54739099999995"/>
    <n v="8079.9123470000004"/>
  </r>
  <r>
    <x v="65"/>
    <x v="5"/>
    <s v="Q2"/>
    <x v="0"/>
    <s v="KEPL/00684/82-83"/>
    <s v="BHAT BHATENI SUPERMARKET &amp; DEPARTMENTAL STORE PVT. LTD."/>
    <s v="Combo"/>
    <x v="43"/>
    <n v="1"/>
    <n v="60"/>
    <n v="136.28"/>
    <n v="8176.8"/>
    <n v="0"/>
    <n v="-408.84004800000002"/>
    <n v="1009.834736"/>
    <n v="8777.794688"/>
  </r>
  <r>
    <x v="65"/>
    <x v="5"/>
    <s v="Q2"/>
    <x v="0"/>
    <s v="KEPL/00684/82-83"/>
    <s v="BHAT BHATENI SUPERMARKET &amp; DEPARTMENTAL STORE PVT. LTD."/>
    <s v="Blends"/>
    <x v="19"/>
    <n v="0.5"/>
    <n v="90"/>
    <n v="142.47999999999999"/>
    <n v="12823.199999999999"/>
    <n v="0"/>
    <n v="-641.16007500000001"/>
    <n v="1583.6650999999999"/>
    <n v="13765.705024999999"/>
  </r>
  <r>
    <x v="65"/>
    <x v="5"/>
    <s v="Q2"/>
    <x v="0"/>
    <s v="KEPL/00684/82-83"/>
    <s v="BHAT BHATENI SUPERMARKET &amp; DEPARTMENTAL STORE PVT. LTD."/>
    <s v="Sprinkler"/>
    <x v="25"/>
    <n v="1"/>
    <n v="48"/>
    <n v="284.95999999999998"/>
    <n v="13678.08"/>
    <n v="0"/>
    <n v="-683.90407999999991"/>
    <n v="1689.2427730000002"/>
    <n v="14683.418693"/>
  </r>
  <r>
    <x v="65"/>
    <x v="5"/>
    <s v="Q2"/>
    <x v="0"/>
    <s v="KEPL/00684/82-83"/>
    <s v="BHAT BHATENI SUPERMARKET &amp; DEPARTMENTAL STORE PVT. LTD."/>
    <s v="Blends"/>
    <x v="20"/>
    <n v="1"/>
    <n v="120"/>
    <n v="108.41"/>
    <n v="13009.2"/>
    <n v="0"/>
    <n v="-650.46007599999996"/>
    <n v="1606.6360980000002"/>
    <n v="13965.376022"/>
  </r>
  <r>
    <x v="65"/>
    <x v="5"/>
    <s v="Q2"/>
    <x v="0"/>
    <s v="KEPL/00685/82-83"/>
    <s v="BHAT BHATENI SUPERMARKET &amp; DEPARTMENTAL STORE PVT. LTD."/>
    <s v="Blends"/>
    <x v="37"/>
    <n v="0.5"/>
    <n v="90"/>
    <n v="89.82"/>
    <n v="8083.8"/>
    <n v="0"/>
    <n v="-404.18980999999997"/>
    <n v="998.3492040000001"/>
    <n v="8677.9593939999995"/>
  </r>
  <r>
    <x v="65"/>
    <x v="5"/>
    <s v="Q2"/>
    <x v="0"/>
    <s v="KEPL/00685/82-83"/>
    <s v="BHAT BHATENI SUPERMARKET &amp; DEPARTMENTAL STORE PVT. LTD."/>
    <s v="Blends"/>
    <x v="15"/>
    <n v="0.5"/>
    <n v="90"/>
    <n v="105.31"/>
    <n v="9477.9"/>
    <n v="0"/>
    <n v="-473.89477700000003"/>
    <n v="1170.520538"/>
    <n v="10174.525761000001"/>
  </r>
  <r>
    <x v="65"/>
    <x v="5"/>
    <s v="Q2"/>
    <x v="0"/>
    <s v="KEPL/00685/82-83"/>
    <s v="BHAT BHATENI SUPERMARKET &amp; DEPARTMENTAL STORE PVT. LTD."/>
    <s v="Blends"/>
    <x v="38"/>
    <n v="0.5"/>
    <n v="60"/>
    <n v="77.430000000000007"/>
    <n v="4645.8"/>
    <n v="0"/>
    <n v="-232.28989099999998"/>
    <n v="573.75624500000004"/>
    <n v="4987.2663540000003"/>
  </r>
  <r>
    <x v="65"/>
    <x v="5"/>
    <s v="Q2"/>
    <x v="0"/>
    <s v="KEPL/00685/82-83"/>
    <s v="BHAT BHATENI SUPERMARKET &amp; DEPARTMENTAL STORE PVT. LTD."/>
    <s v="Sprinkler"/>
    <x v="31"/>
    <n v="1"/>
    <n v="72"/>
    <n v="136.28"/>
    <n v="9812.16"/>
    <n v="0"/>
    <n v="-490.60776900000002"/>
    <n v="1211.8016440000001"/>
    <n v="10533.353875000001"/>
  </r>
  <r>
    <x v="65"/>
    <x v="5"/>
    <s v="Q2"/>
    <x v="0"/>
    <s v="KEPL/00685/82-83"/>
    <s v="BHAT BHATENI SUPERMARKET &amp; DEPARTMENTAL STORE PVT. LTD."/>
    <s v="Blends"/>
    <x v="35"/>
    <n v="0.5"/>
    <n v="40"/>
    <n v="154.87"/>
    <n v="6194.8"/>
    <n v="0"/>
    <n v="-309.73985399999998"/>
    <n v="765.05772699999989"/>
    <n v="6650.1178730000001"/>
  </r>
  <r>
    <x v="65"/>
    <x v="5"/>
    <s v="Q2"/>
    <x v="0"/>
    <s v="KEPL/00685/82-83"/>
    <s v="BHAT BHATENI SUPERMARKET &amp; DEPARTMENTAL STORE PVT. LTD."/>
    <s v="Blends"/>
    <x v="36"/>
    <n v="0.5"/>
    <n v="40"/>
    <n v="142.28"/>
    <n v="5691.2"/>
    <n v="0"/>
    <n v="-284.559866"/>
    <n v="702.86313299999995"/>
    <n v="6109.5032670000001"/>
  </r>
  <r>
    <x v="65"/>
    <x v="5"/>
    <s v="Q2"/>
    <x v="0"/>
    <s v="KEPL/00685/82-83"/>
    <s v="BHAT BHATENI SUPERMARKET &amp; DEPARTMENTAL STORE PVT. LTD."/>
    <s v="Blends"/>
    <x v="32"/>
    <n v="0.5"/>
    <n v="60"/>
    <n v="58.85"/>
    <n v="3531.0000000000005"/>
    <n v="0"/>
    <n v="-176.54991700000002"/>
    <n v="436.07845800000001"/>
    <n v="3790.5285410000001"/>
  </r>
  <r>
    <x v="65"/>
    <x v="5"/>
    <s v="Q2"/>
    <x v="0"/>
    <s v="KEPL/00685/82-83"/>
    <s v="BHAT BHATENI SUPERMARKET &amp; DEPARTMENTAL STORE PVT. LTD."/>
    <s v="Straight Pouch"/>
    <x v="3"/>
    <n v="1"/>
    <n v="40"/>
    <n v="360.53"/>
    <n v="14421.199999999999"/>
    <n v="0"/>
    <n v="-721.05966100000001"/>
    <n v="1781.0180290000001"/>
    <n v="15481.158368"/>
  </r>
  <r>
    <x v="65"/>
    <x v="5"/>
    <s v="Q2"/>
    <x v="0"/>
    <s v="KEPL/00685/82-83"/>
    <s v="BHAT BHATENI SUPERMARKET &amp; DEPARTMENTAL STORE PVT. LTD."/>
    <s v="Blends"/>
    <x v="45"/>
    <n v="0.5"/>
    <n v="40"/>
    <n v="130.09"/>
    <n v="5203.5999999999995"/>
    <n v="0"/>
    <n v="-260.17987800000003"/>
    <n v="642.64453800000001"/>
    <n v="5586.06466"/>
  </r>
  <r>
    <x v="65"/>
    <x v="5"/>
    <s v="Q2"/>
    <x v="0"/>
    <s v="KEPL/00685/82-83"/>
    <s v="BHAT BHATENI SUPERMARKET &amp; DEPARTMENTAL STORE PVT. LTD."/>
    <s v="Straight Pouch"/>
    <x v="6"/>
    <n v="1"/>
    <n v="100"/>
    <n v="148.66999999999999"/>
    <n v="14867"/>
    <n v="0"/>
    <n v="-743.34965000000011"/>
    <n v="1836.0743239999999"/>
    <n v="15959.724673999999"/>
  </r>
  <r>
    <x v="65"/>
    <x v="5"/>
    <s v="Q2"/>
    <x v="0"/>
    <s v="KEPL/00685/82-83"/>
    <s v="BHAT BHATENI SUPERMARKET &amp; DEPARTMENTAL STORE PVT. LTD."/>
    <s v="Blends"/>
    <x v="40"/>
    <n v="0.5"/>
    <n v="60"/>
    <n v="71.239999999999995"/>
    <n v="4274.3999999999996"/>
    <n v="0"/>
    <n v="-213.719899"/>
    <n v="527.88834900000006"/>
    <n v="4588.5684499999998"/>
  </r>
  <r>
    <x v="65"/>
    <x v="5"/>
    <s v="Q2"/>
    <x v="0"/>
    <s v="KEPL/00685/82-83"/>
    <s v="BHAT BHATENI SUPERMARKET &amp; DEPARTMENTAL STORE PVT. LTD."/>
    <s v="Cooking Paste"/>
    <x v="29"/>
    <n v="0.5"/>
    <n v="60"/>
    <n v="52.65"/>
    <n v="3159.0000000000005"/>
    <n v="0"/>
    <n v="-157.949926"/>
    <n v="390.13646299999999"/>
    <n v="3391.186537"/>
  </r>
  <r>
    <x v="65"/>
    <x v="5"/>
    <s v="Q2"/>
    <x v="0"/>
    <s v="KEPL/00685/82-83"/>
    <s v="BHAT BHATENI SUPERMARKET &amp; DEPARTMENTAL STORE PVT. LTD."/>
    <s v="Blends"/>
    <x v="21"/>
    <n v="1"/>
    <n v="80"/>
    <n v="170.35"/>
    <n v="13628.000000000002"/>
    <n v="0"/>
    <n v="-681.39967899999999"/>
    <n v="1683.0578389999998"/>
    <n v="14629.658160000001"/>
  </r>
  <r>
    <x v="65"/>
    <x v="5"/>
    <s v="Q2"/>
    <x v="0"/>
    <s v="KEPL/00685/82-83"/>
    <s v="BHAT BHATENI SUPERMARKET &amp; DEPARTMENTAL STORE PVT. LTD."/>
    <s v="Straight Premium"/>
    <x v="34"/>
    <n v="0.5"/>
    <n v="40"/>
    <n v="210.62"/>
    <n v="8424.7999999999993"/>
    <n v="0"/>
    <n v="-421.239802"/>
    <n v="1040.4627"/>
    <n v="9044.0228979999993"/>
  </r>
  <r>
    <x v="65"/>
    <x v="5"/>
    <s v="Q2"/>
    <x v="0"/>
    <s v="KEPL/00685/82-83"/>
    <s v="BHAT BHATENI SUPERMARKET &amp; DEPARTMENTAL STORE PVT. LTD."/>
    <s v="Straight Premium"/>
    <x v="24"/>
    <n v="1"/>
    <n v="40"/>
    <n v="402.65"/>
    <n v="16106"/>
    <n v="0"/>
    <n v="-805.299621"/>
    <n v="1989.090809"/>
    <n v="17289.791187999999"/>
  </r>
  <r>
    <x v="65"/>
    <x v="5"/>
    <s v="Q2"/>
    <x v="0"/>
    <s v="KEPL/00686/82-83"/>
    <s v="BHAT BHATENI SUPERMARKET &amp; DEPARTMENTAL STORE PVT. LTD."/>
    <s v="Straight Pouch"/>
    <x v="13"/>
    <n v="1"/>
    <n v="100"/>
    <n v="126"/>
    <n v="12600"/>
    <n v="0"/>
    <n v="-630"/>
    <n v="0"/>
    <n v="11970"/>
  </r>
  <r>
    <x v="65"/>
    <x v="5"/>
    <s v="Q2"/>
    <x v="0"/>
    <s v="KEPL/00686/82-83"/>
    <s v="BHAT BHATENI SUPERMARKET &amp; DEPARTMENTAL STORE PVT. LTD."/>
    <s v="Straight Pouch"/>
    <x v="12"/>
    <n v="2"/>
    <n v="80"/>
    <n v="308"/>
    <n v="24640"/>
    <n v="0"/>
    <n v="-1232"/>
    <n v="0"/>
    <n v="23408"/>
  </r>
  <r>
    <x v="65"/>
    <x v="5"/>
    <s v="Q2"/>
    <x v="0"/>
    <s v="KEPL/00687/82-83"/>
    <s v="GORIN TRADING "/>
    <s v="Cooking Paste"/>
    <x v="29"/>
    <n v="2"/>
    <n v="240"/>
    <n v="57.46"/>
    <n v="13790.4"/>
    <n v="-1253.55"/>
    <n v="0"/>
    <n v="1629.79"/>
    <n v="14166.64"/>
  </r>
  <r>
    <x v="66"/>
    <x v="5"/>
    <s v="Q2"/>
    <x v="0"/>
    <s v="KEPL/00697/82-83"/>
    <s v="BHAT BHATENI SUPERMARKET &amp; DEPARTMENTAL STORE PVT. LTD."/>
    <s v="Straight Pouch"/>
    <x v="13"/>
    <n v="0.4"/>
    <n v="40"/>
    <n v="126"/>
    <n v="5040"/>
    <n v="0"/>
    <n v="-252"/>
    <n v="0"/>
    <n v="4788"/>
  </r>
  <r>
    <x v="66"/>
    <x v="5"/>
    <s v="Q2"/>
    <x v="0"/>
    <s v="KEPL/00697/82-83"/>
    <s v="BHAT BHATENI SUPERMARKET &amp; DEPARTMENTAL STORE PVT. LTD."/>
    <s v="Straight Pouch"/>
    <x v="12"/>
    <n v="1"/>
    <n v="40"/>
    <n v="308"/>
    <n v="12320"/>
    <n v="0"/>
    <n v="-616"/>
    <n v="0"/>
    <n v="11704"/>
  </r>
  <r>
    <x v="66"/>
    <x v="5"/>
    <s v="Q2"/>
    <x v="0"/>
    <s v="KEPL/00698/82-83"/>
    <s v="BHAT BHATENI SUPERMARKET &amp; DEPARTMENTAL STORE PVT. LTD."/>
    <s v="Straight Pouch"/>
    <x v="13"/>
    <n v="2"/>
    <n v="200"/>
    <n v="126"/>
    <n v="25200"/>
    <n v="0"/>
    <n v="-1260"/>
    <n v="0"/>
    <n v="23940"/>
  </r>
  <r>
    <x v="66"/>
    <x v="5"/>
    <s v="Q2"/>
    <x v="0"/>
    <s v="KEPL/00698/82-83"/>
    <s v="BHAT BHATENI SUPERMARKET &amp; DEPARTMENTAL STORE PVT. LTD."/>
    <s v="Straight Pouch"/>
    <x v="12"/>
    <n v="2"/>
    <n v="80"/>
    <n v="308"/>
    <n v="24640"/>
    <n v="0"/>
    <n v="-1232"/>
    <n v="0"/>
    <n v="23408"/>
  </r>
  <r>
    <x v="66"/>
    <x v="5"/>
    <s v="Q2"/>
    <x v="0"/>
    <s v="KEPL/00699/82-83"/>
    <s v="BHAT BHATENI SUPERMARKET &amp; DEPARTMENTAL STORE PVT. LTD."/>
    <s v="Cooking Paste"/>
    <x v="30"/>
    <n v="1"/>
    <n v="60"/>
    <n v="89.82"/>
    <n v="5389.2"/>
    <n v="0"/>
    <n v="-269.45999999999998"/>
    <n v="665.56607200000008"/>
    <n v="5785.3060720000003"/>
  </r>
  <r>
    <x v="66"/>
    <x v="5"/>
    <s v="Q2"/>
    <x v="0"/>
    <s v="KEPL/00699/82-83"/>
    <s v="BHAT BHATENI SUPERMARKET &amp; DEPARTMENTAL STORE PVT. LTD."/>
    <s v="Combo"/>
    <x v="43"/>
    <n v="1"/>
    <n v="60"/>
    <n v="136.28"/>
    <n v="8176.8"/>
    <n v="0"/>
    <n v="-408.84"/>
    <n v="1009.834607"/>
    <n v="8777.7946069999998"/>
  </r>
  <r>
    <x v="66"/>
    <x v="5"/>
    <s v="Q2"/>
    <x v="0"/>
    <s v="KEPL/00699/82-83"/>
    <s v="BHAT BHATENI SUPERMARKET &amp; DEPARTMENTAL STORE PVT. LTD."/>
    <s v="Blends"/>
    <x v="42"/>
    <n v="0.5"/>
    <n v="60"/>
    <n v="86.73"/>
    <n v="5203.8"/>
    <n v="0"/>
    <n v="-260.19"/>
    <n v="642.66917699999999"/>
    <n v="5586.2791770000003"/>
  </r>
  <r>
    <x v="66"/>
    <x v="5"/>
    <s v="Q2"/>
    <x v="0"/>
    <s v="KEPL/00699/82-83"/>
    <s v="BHAT BHATENI SUPERMARKET &amp; DEPARTMENTAL STORE PVT. LTD."/>
    <s v="Blends"/>
    <x v="44"/>
    <n v="0.5"/>
    <n v="90"/>
    <n v="111.5"/>
    <n v="10035"/>
    <n v="0"/>
    <n v="-501.75"/>
    <n v="1239.322263"/>
    <n v="10772.572263"/>
  </r>
  <r>
    <x v="66"/>
    <x v="5"/>
    <s v="Q2"/>
    <x v="0"/>
    <s v="KEPL/00699/82-83"/>
    <s v="BHAT BHATENI SUPERMARKET &amp; DEPARTMENTAL STORE PVT. LTD."/>
    <s v="Blends"/>
    <x v="41"/>
    <n v="0.5"/>
    <n v="60"/>
    <n v="145.58000000000001"/>
    <n v="8734.7999999999993"/>
    <n v="0"/>
    <n v="-436.74"/>
    <n v="1078.7475930000001"/>
    <n v="9376.8075929999995"/>
  </r>
  <r>
    <x v="66"/>
    <x v="5"/>
    <s v="Q2"/>
    <x v="0"/>
    <s v="KEPL/00699/82-83"/>
    <s v="BHAT BHATENI SUPERMARKET &amp; DEPARTMENTAL STORE PVT. LTD."/>
    <s v="Blends"/>
    <x v="32"/>
    <n v="0.5"/>
    <n v="60"/>
    <n v="58.85"/>
    <n v="3531.0000000000005"/>
    <n v="0"/>
    <n v="-176.55"/>
    <n v="436.078416"/>
    <n v="3790.5284160000001"/>
  </r>
  <r>
    <x v="66"/>
    <x v="5"/>
    <s v="Q2"/>
    <x v="0"/>
    <s v="KEPL/00699/82-83"/>
    <s v="BHAT BHATENI SUPERMARKET &amp; DEPARTMENTAL STORE PVT. LTD."/>
    <s v="Straight Premium"/>
    <x v="34"/>
    <n v="0.5"/>
    <n v="40"/>
    <n v="210.62"/>
    <n v="8424.7999999999993"/>
    <n v="0"/>
    <n v="-421.24"/>
    <n v="1040.4626009999999"/>
    <n v="9044.0226010000006"/>
  </r>
  <r>
    <x v="66"/>
    <x v="5"/>
    <s v="Q2"/>
    <x v="0"/>
    <s v="KEPL/00699/82-83"/>
    <s v="BHAT BHATENI SUPERMARKET &amp; DEPARTMENTAL STORE PVT. LTD."/>
    <s v="Sprinkler"/>
    <x v="26"/>
    <n v="1"/>
    <n v="72"/>
    <n v="120.8"/>
    <n v="8697.6"/>
    <n v="0"/>
    <n v="-434.88"/>
    <n v="1074.1533940000002"/>
    <n v="9336.8733940000002"/>
  </r>
  <r>
    <x v="66"/>
    <x v="5"/>
    <s v="Q2"/>
    <x v="0"/>
    <s v="KEPL/00699/82-83"/>
    <s v="BHAT BHATENI SUPERMARKET &amp; DEPARTMENTAL STORE PVT. LTD."/>
    <s v="Blends"/>
    <x v="39"/>
    <n v="0.5"/>
    <n v="90"/>
    <n v="76.81"/>
    <n v="6912.9000000000005"/>
    <n v="0"/>
    <n v="-345.64499999999998"/>
    <n v="853.74298599999997"/>
    <n v="7420.9979860000003"/>
  </r>
  <r>
    <x v="66"/>
    <x v="5"/>
    <s v="Q2"/>
    <x v="0"/>
    <s v="KEPL/00699/82-83"/>
    <s v="BHAT BHATENI SUPERMARKET &amp; DEPARTMENTAL STORE PVT. LTD."/>
    <s v="Cooking Paste"/>
    <x v="29"/>
    <n v="0.5"/>
    <n v="60"/>
    <n v="52.65"/>
    <n v="3159.0000000000005"/>
    <n v="0"/>
    <n v="-157.94999999999999"/>
    <n v="390.13642500000003"/>
    <n v="3391.1864249999999"/>
  </r>
  <r>
    <x v="66"/>
    <x v="5"/>
    <s v="Q2"/>
    <x v="0"/>
    <s v="KEPL/00699/82-83"/>
    <s v="BHAT BHATENI SUPERMARKET &amp; DEPARTMENTAL STORE PVT. LTD."/>
    <s v="Straight Premium"/>
    <x v="24"/>
    <n v="1"/>
    <n v="40"/>
    <n v="402.65"/>
    <n v="16106"/>
    <n v="0"/>
    <n v="-805.3"/>
    <n v="1989.0906190000001"/>
    <n v="17289.790618999999"/>
  </r>
  <r>
    <x v="66"/>
    <x v="5"/>
    <s v="Q2"/>
    <x v="0"/>
    <s v="KEPL/00699/82-83"/>
    <s v="BHAT BHATENI SUPERMARKET &amp; DEPARTMENTAL STORE PVT. LTD."/>
    <s v="Blends"/>
    <x v="48"/>
    <n v="0.5"/>
    <n v="90"/>
    <n v="74.34"/>
    <n v="6690.5999999999995"/>
    <n v="0"/>
    <n v="-334.53"/>
    <n v="826.28894199999991"/>
    <n v="7182.3589419999998"/>
  </r>
  <r>
    <x v="66"/>
    <x v="5"/>
    <s v="Q2"/>
    <x v="0"/>
    <s v="KEPL/00699/82-83"/>
    <s v="BHAT BHATENI SUPERMARKET &amp; DEPARTMENTAL STORE PVT. LTD."/>
    <s v="Blends"/>
    <x v="37"/>
    <n v="0.5"/>
    <n v="90"/>
    <n v="89.82"/>
    <n v="8083.8"/>
    <n v="0"/>
    <n v="-404.19"/>
    <n v="998.349109"/>
    <n v="8677.9591089999994"/>
  </r>
  <r>
    <x v="66"/>
    <x v="5"/>
    <s v="Q2"/>
    <x v="0"/>
    <s v="KEPL/00699/82-83"/>
    <s v="BHAT BHATENI SUPERMARKET &amp; DEPARTMENTAL STORE PVT. LTD."/>
    <s v="Straight Premium"/>
    <x v="28"/>
    <n v="0.5"/>
    <n v="40"/>
    <n v="154.87"/>
    <n v="6194.8"/>
    <n v="0"/>
    <n v="-309.74"/>
    <n v="765.05765299999996"/>
    <n v="6650.1176530000002"/>
  </r>
  <r>
    <x v="66"/>
    <x v="5"/>
    <s v="Q2"/>
    <x v="0"/>
    <s v="KEPL/00699/82-83"/>
    <s v="BHAT BHATENI SUPERMARKET &amp; DEPARTMENTAL STORE PVT. LTD."/>
    <s v="Blends"/>
    <x v="35"/>
    <n v="0.5"/>
    <n v="40"/>
    <n v="154.87"/>
    <n v="6194.8"/>
    <n v="0"/>
    <n v="-309.74"/>
    <n v="765.05765299999996"/>
    <n v="6650.1176530000002"/>
  </r>
  <r>
    <x v="66"/>
    <x v="5"/>
    <s v="Q2"/>
    <x v="0"/>
    <s v="KEPL/00699/82-83"/>
    <s v="BHAT BHATENI SUPERMARKET &amp; DEPARTMENTAL STORE PVT. LTD."/>
    <s v="Blends"/>
    <x v="36"/>
    <n v="0.5"/>
    <n v="40"/>
    <n v="142.47999999999999"/>
    <n v="5699.2"/>
    <n v="0"/>
    <n v="-284.95999999999998"/>
    <n v="703.85106499999995"/>
    <n v="6118.0910649999996"/>
  </r>
  <r>
    <x v="66"/>
    <x v="5"/>
    <s v="Q2"/>
    <x v="0"/>
    <s v="KEPL/00699/82-83"/>
    <s v="BHAT BHATENI SUPERMARKET &amp; DEPARTMENTAL STORE PVT. LTD."/>
    <s v="Straight Pouch"/>
    <x v="3"/>
    <n v="2"/>
    <n v="80"/>
    <n v="360.53"/>
    <n v="28842.399999999998"/>
    <n v="0"/>
    <n v="-1442.12"/>
    <n v="3562.0357180000001"/>
    <n v="30962.315718000002"/>
  </r>
  <r>
    <x v="66"/>
    <x v="5"/>
    <s v="Q2"/>
    <x v="0"/>
    <s v="KEPL/00699/82-83"/>
    <s v="BHAT BHATENI SUPERMARKET &amp; DEPARTMENTAL STORE PVT. LTD."/>
    <s v="Straight Premium"/>
    <x v="33"/>
    <n v="0.5"/>
    <n v="90"/>
    <n v="83.63"/>
    <n v="7526.7"/>
    <n v="0"/>
    <n v="-376.33500000000004"/>
    <n v="929.54727200000002"/>
    <n v="8079.9122719999996"/>
  </r>
  <r>
    <x v="66"/>
    <x v="5"/>
    <s v="Q2"/>
    <x v="0"/>
    <s v="KEPL/00699/82-83"/>
    <s v="BHAT BHATENI SUPERMARKET &amp; DEPARTMENTAL STORE PVT. LTD."/>
    <s v="Sprinkler"/>
    <x v="46"/>
    <n v="0.5"/>
    <n v="50"/>
    <n v="89.82"/>
    <n v="4491"/>
    <n v="0"/>
    <n v="-224.55"/>
    <n v="554.63839400000006"/>
    <n v="4821.0883940000003"/>
  </r>
  <r>
    <x v="66"/>
    <x v="5"/>
    <s v="Q2"/>
    <x v="0"/>
    <s v="KEPL/00699/82-83"/>
    <s v="BHAT BHATENI SUPERMARKET &amp; DEPARTMENTAL STORE PVT. LTD."/>
    <s v="Straight Pouch"/>
    <x v="6"/>
    <n v="2"/>
    <n v="200"/>
    <n v="148.66999999999999"/>
    <n v="29734"/>
    <n v="0"/>
    <n v="-1486.7"/>
    <n v="3672.1482960000003"/>
    <n v="31919.448295999999"/>
  </r>
  <r>
    <x v="66"/>
    <x v="5"/>
    <s v="Q2"/>
    <x v="0"/>
    <s v="KEPL/00699/82-83"/>
    <s v="BHAT BHATENI SUPERMARKET &amp; DEPARTMENTAL STORE PVT. LTD."/>
    <s v="Blends"/>
    <x v="18"/>
    <n v="0.5"/>
    <n v="60"/>
    <n v="130.09"/>
    <n v="7805.4000000000005"/>
    <n v="0"/>
    <n v="-390.27"/>
    <n v="963.96671499999991"/>
    <n v="8379.0967149999997"/>
  </r>
  <r>
    <x v="66"/>
    <x v="5"/>
    <s v="Q2"/>
    <x v="0"/>
    <s v="KEPL/00699/82-83"/>
    <s v="BHAT BHATENI SUPERMARKET &amp; DEPARTMENTAL STORE PVT. LTD."/>
    <s v="Blends"/>
    <x v="38"/>
    <n v="0.5"/>
    <n v="60"/>
    <n v="77.430000000000007"/>
    <n v="4645.8"/>
    <n v="0"/>
    <n v="-232.29"/>
    <n v="573.75619000000006"/>
    <n v="4987.2661900000003"/>
  </r>
  <r>
    <x v="66"/>
    <x v="5"/>
    <s v="Q2"/>
    <x v="0"/>
    <s v="KEPL/00699/82-83"/>
    <s v="BHAT BHATENI SUPERMARKET &amp; DEPARTMENTAL STORE PVT. LTD."/>
    <s v="Blends"/>
    <x v="21"/>
    <n v="0.5"/>
    <n v="40"/>
    <n v="170.35"/>
    <n v="6814.0000000000009"/>
    <n v="0"/>
    <n v="-340.7"/>
    <n v="841.52883900000006"/>
    <n v="7314.8288389999998"/>
  </r>
  <r>
    <x v="66"/>
    <x v="5"/>
    <s v="Q2"/>
    <x v="0"/>
    <s v="KEPL/00700/82-83"/>
    <s v="BHAT BHATENI SUPERMARKET &amp; DEPARTMENTAL STORE PVT. LTD."/>
    <s v="Straight Premium"/>
    <x v="22"/>
    <n v="1"/>
    <n v="40"/>
    <n v="260.18"/>
    <n v="10407.199999999999"/>
    <n v="0"/>
    <n v="-520.36030000000005"/>
    <n v="1285.28847"/>
    <n v="11172.12817"/>
  </r>
  <r>
    <x v="66"/>
    <x v="5"/>
    <s v="Q2"/>
    <x v="0"/>
    <s v="KEPL/00700/82-83"/>
    <s v="BHAT BHATENI SUPERMARKET &amp; DEPARTMENTAL STORE PVT. LTD."/>
    <s v="Blends"/>
    <x v="16"/>
    <n v="0.25"/>
    <n v="30"/>
    <n v="108.41"/>
    <n v="3252.3"/>
    <n v="0"/>
    <n v="-162.615094"/>
    <n v="401.65882199999999"/>
    <n v="3491.3437279999998"/>
  </r>
  <r>
    <x v="66"/>
    <x v="5"/>
    <s v="Q2"/>
    <x v="0"/>
    <s v="KEPL/00700/82-83"/>
    <s v="BHAT BHATENI SUPERMARKET &amp; DEPARTMENTAL STORE PVT. LTD."/>
    <s v="Blends"/>
    <x v="18"/>
    <n v="0.25"/>
    <n v="30"/>
    <n v="130.09"/>
    <n v="3902.7000000000003"/>
    <n v="0"/>
    <n v="-195.13511299999999"/>
    <n v="481.98317599999996"/>
    <n v="4189.5480630000002"/>
  </r>
  <r>
    <x v="66"/>
    <x v="5"/>
    <s v="Q2"/>
    <x v="0"/>
    <s v="KEPL/00700/82-83"/>
    <s v="BHAT BHATENI SUPERMARKET &amp; DEPARTMENTAL STORE PVT. LTD."/>
    <s v="Sprinkler"/>
    <x v="25"/>
    <n v="0.75"/>
    <n v="36"/>
    <n v="284.95999999999998"/>
    <n v="10258.56"/>
    <n v="0"/>
    <n v="-512.92829599999993"/>
    <n v="1266.9314409999999"/>
    <n v="11012.563145"/>
  </r>
  <r>
    <x v="66"/>
    <x v="5"/>
    <s v="Q2"/>
    <x v="0"/>
    <s v="KEPL/00700/82-83"/>
    <s v="BHAT BHATENI SUPERMARKET &amp; DEPARTMENTAL STORE PVT. LTD."/>
    <s v="Blends"/>
    <x v="19"/>
    <n v="0.22"/>
    <n v="40"/>
    <n v="142.47999999999999"/>
    <n v="5699.2"/>
    <n v="0"/>
    <n v="-284.96016399999996"/>
    <n v="703.85080000000005"/>
    <n v="6118.0906359999999"/>
  </r>
  <r>
    <x v="66"/>
    <x v="5"/>
    <s v="Q2"/>
    <x v="0"/>
    <s v="KEPL/00700/82-83"/>
    <s v="BHAT BHATENI SUPERMARKET &amp; DEPARTMENTAL STORE PVT. LTD."/>
    <s v="Straight Premium"/>
    <x v="23"/>
    <n v="0.22"/>
    <n v="40"/>
    <n v="145.58000000000001"/>
    <n v="5823.2"/>
    <n v="0"/>
    <n v="-291.160168"/>
    <n v="719.16479200000003"/>
    <n v="6251.204624"/>
  </r>
  <r>
    <x v="66"/>
    <x v="5"/>
    <s v="Q2"/>
    <x v="0"/>
    <s v="KEPL/00700/82-83"/>
    <s v="BHAT BHATENI SUPERMARKET &amp; DEPARTMENTAL STORE PVT. LTD."/>
    <s v="Straight Pouch"/>
    <x v="1"/>
    <n v="0.4"/>
    <n v="40"/>
    <n v="99.12"/>
    <n v="3964.8"/>
    <n v="0"/>
    <n v="-198.24011400000001"/>
    <n v="489.65252200000003"/>
    <n v="4256.2124080000003"/>
  </r>
  <r>
    <x v="66"/>
    <x v="5"/>
    <s v="Q2"/>
    <x v="0"/>
    <s v="KEPL/00700/82-83"/>
    <s v="BHAT BHATENI SUPERMARKET &amp; DEPARTMENTAL STORE PVT. LTD."/>
    <s v="Blends"/>
    <x v="42"/>
    <n v="0.17"/>
    <n v="20"/>
    <n v="86.73"/>
    <n v="1734.6"/>
    <n v="0"/>
    <n v="-86.730049999999991"/>
    <n v="214.22297799999998"/>
    <n v="1862.092928"/>
  </r>
  <r>
    <x v="66"/>
    <x v="5"/>
    <s v="Q2"/>
    <x v="0"/>
    <s v="KEPL/00700/82-83"/>
    <s v="BHAT BHATENI SUPERMARKET &amp; DEPARTMENTAL STORE PVT. LTD."/>
    <s v="Straight Pouch"/>
    <x v="4"/>
    <n v="1"/>
    <n v="40"/>
    <n v="238.5"/>
    <n v="9539.9999999999982"/>
    <n v="0"/>
    <n v="-477.00027499999999"/>
    <n v="1178.189331"/>
    <n v="10241.189055999999"/>
  </r>
  <r>
    <x v="66"/>
    <x v="5"/>
    <s v="Q2"/>
    <x v="0"/>
    <s v="KEPL/00700/82-83"/>
    <s v="BHAT BHATENI SUPERMARKET &amp; DEPARTMENTAL STORE PVT. LTD."/>
    <s v="Straight Premium"/>
    <x v="8"/>
    <n v="0.25"/>
    <n v="30"/>
    <n v="46.46"/>
    <n v="1393.8"/>
    <n v="0"/>
    <n v="-69.690039999999996"/>
    <n v="172.13420199999999"/>
    <n v="1496.244162"/>
  </r>
  <r>
    <x v="66"/>
    <x v="5"/>
    <s v="Q2"/>
    <x v="0"/>
    <s v="KEPL/00700/82-83"/>
    <s v="BHAT BHATENI SUPERMARKET &amp; DEPARTMENTAL STORE PVT. LTD."/>
    <s v="Blends"/>
    <x v="14"/>
    <n v="0.17"/>
    <n v="30"/>
    <n v="123.89"/>
    <n v="3716.7000000000003"/>
    <n v="0"/>
    <n v="-185.83510699999999"/>
    <n v="459.01218900000003"/>
    <n v="3989.877082"/>
  </r>
  <r>
    <x v="66"/>
    <x v="5"/>
    <s v="Q2"/>
    <x v="0"/>
    <s v="KEPL/00700/82-83"/>
    <s v="BHAT BHATENI SUPERMARKET &amp; DEPARTMENTAL STORE PVT. LTD."/>
    <s v="Combo"/>
    <x v="43"/>
    <n v="0.17"/>
    <n v="10"/>
    <n v="136.28"/>
    <n v="1362.8"/>
    <n v="0"/>
    <n v="-68.140039000000002"/>
    <n v="168.30570399999999"/>
    <n v="1462.9656649999999"/>
  </r>
  <r>
    <x v="66"/>
    <x v="5"/>
    <s v="Q2"/>
    <x v="0"/>
    <s v="KEPL/00700/82-83"/>
    <s v="BHAT BHATENI SUPERMARKET &amp; DEPARTMENTAL STORE PVT. LTD."/>
    <s v="Blends"/>
    <x v="9"/>
    <n v="0.22"/>
    <n v="40"/>
    <n v="65.040000000000006"/>
    <n v="2601.6"/>
    <n v="0"/>
    <n v="-130.08007499999999"/>
    <n v="321.29741800000005"/>
    <n v="2792.8173430000002"/>
  </r>
  <r>
    <x v="66"/>
    <x v="5"/>
    <s v="Q2"/>
    <x v="0"/>
    <s v="KEPL/00700/82-83"/>
    <s v="BHAT BHATENI SUPERMARKET &amp; DEPARTMENTAL STORE PVT. LTD."/>
    <s v="Blends"/>
    <x v="44"/>
    <n v="0.17"/>
    <n v="30"/>
    <n v="111.5"/>
    <n v="3344.9999999999995"/>
    <n v="0"/>
    <n v="-167.25009699999998"/>
    <n v="413.10726499999998"/>
    <n v="3590.857168"/>
  </r>
  <r>
    <x v="66"/>
    <x v="5"/>
    <s v="Q2"/>
    <x v="0"/>
    <s v="KEPL/00700/82-83"/>
    <s v="BHAT BHATENI SUPERMARKET &amp; DEPARTMENTAL STORE PVT. LTD."/>
    <s v="Blends"/>
    <x v="39"/>
    <n v="0.17"/>
    <n v="30"/>
    <n v="76.81"/>
    <n v="2304.3000000000002"/>
    <n v="0"/>
    <n v="-115.21506599999999"/>
    <n v="284.58088800000002"/>
    <n v="2473.6658219999999"/>
  </r>
  <r>
    <x v="66"/>
    <x v="5"/>
    <s v="Q2"/>
    <x v="0"/>
    <s v="KEPL/00701/82-83"/>
    <s v="BHAT BHATENI SUPERMARKET &amp; DEPARTMENTAL STORE PVT. LTD."/>
    <s v="Blends"/>
    <x v="21"/>
    <n v="0.38"/>
    <n v="30"/>
    <n v="170.35"/>
    <n v="5110.5"/>
    <n v="0"/>
    <n v="-255.52507499999999"/>
    <n v="631.14656100000002"/>
    <n v="5486.121486"/>
  </r>
  <r>
    <x v="66"/>
    <x v="5"/>
    <s v="Q2"/>
    <x v="0"/>
    <s v="KEPL/00701/82-83"/>
    <s v="BHAT BHATENI SUPERMARKET &amp; DEPARTMENTAL STORE PVT. LTD."/>
    <s v="Straight Premium"/>
    <x v="34"/>
    <n v="0.5"/>
    <n v="40"/>
    <n v="210.62"/>
    <n v="8424.7999999999993"/>
    <n v="0"/>
    <n v="-421.24012300000004"/>
    <n v="1040.462489"/>
    <n v="9044.0223659999992"/>
  </r>
  <r>
    <x v="66"/>
    <x v="5"/>
    <s v="Q2"/>
    <x v="0"/>
    <s v="KEPL/00701/82-83"/>
    <s v="BHAT BHATENI SUPERMARKET &amp; DEPARTMENTAL STORE PVT. LTD."/>
    <s v="Cooking Paste"/>
    <x v="29"/>
    <n v="0.3"/>
    <n v="36"/>
    <n v="52.65"/>
    <n v="1895.4"/>
    <n v="0"/>
    <n v="-94.770027999999996"/>
    <n v="234.08183"/>
    <n v="2034.711802"/>
  </r>
  <r>
    <x v="66"/>
    <x v="5"/>
    <s v="Q2"/>
    <x v="0"/>
    <s v="KEPL/00701/82-83"/>
    <s v="BHAT BHATENI SUPERMARKET &amp; DEPARTMENTAL STORE PVT. LTD."/>
    <s v="Straight Premium"/>
    <x v="24"/>
    <n v="0.5"/>
    <n v="20"/>
    <n v="402.65"/>
    <n v="8053"/>
    <n v="0"/>
    <n v="-402.65011699999997"/>
    <n v="994.54520300000001"/>
    <n v="8644.8950860000004"/>
  </r>
  <r>
    <x v="66"/>
    <x v="5"/>
    <s v="Q2"/>
    <x v="0"/>
    <s v="KEPL/00701/82-83"/>
    <s v="BHAT BHATENI SUPERMARKET &amp; DEPARTMENTAL STORE PVT. LTD."/>
    <s v="Straight Pouch"/>
    <x v="3"/>
    <n v="1"/>
    <n v="40"/>
    <n v="360.53"/>
    <n v="14421.199999999999"/>
    <n v="0"/>
    <n v="-721.0602100000001"/>
    <n v="1781.017668"/>
    <n v="15481.157458"/>
  </r>
  <r>
    <x v="66"/>
    <x v="5"/>
    <s v="Q2"/>
    <x v="0"/>
    <s v="KEPL/00701/82-83"/>
    <s v="BHAT BHATENI SUPERMARKET &amp; DEPARTMENTAL STORE PVT. LTD."/>
    <s v="Blends"/>
    <x v="45"/>
    <n v="0.38"/>
    <n v="30"/>
    <n v="130.09"/>
    <n v="3902.7000000000003"/>
    <n v="0"/>
    <n v="-195.13505699999999"/>
    <n v="481.98330600000003"/>
    <n v="4189.5482490000004"/>
  </r>
  <r>
    <x v="66"/>
    <x v="5"/>
    <s v="Q2"/>
    <x v="0"/>
    <s v="KEPL/00701/82-83"/>
    <s v="BHAT BHATENI SUPERMARKET &amp; DEPARTMENTAL STORE PVT. LTD."/>
    <s v="Blends"/>
    <x v="40"/>
    <n v="0.25"/>
    <n v="30"/>
    <n v="71.239999999999995"/>
    <n v="2137.1999999999998"/>
    <n v="0"/>
    <n v="-106.86003100000001"/>
    <n v="263.944121"/>
    <n v="2294.2840900000001"/>
  </r>
  <r>
    <x v="66"/>
    <x v="5"/>
    <s v="Q2"/>
    <x v="0"/>
    <s v="KEPL/00701/82-83"/>
    <s v="BHAT BHATENI SUPERMARKET &amp; DEPARTMENTAL STORE PVT. LTD."/>
    <s v="Sprinkler"/>
    <x v="31"/>
    <n v="0.5"/>
    <n v="36"/>
    <n v="136.28"/>
    <n v="4906.08"/>
    <n v="0"/>
    <n v="-245.30407199999999"/>
    <n v="605.90069899999992"/>
    <n v="5266.6766269999998"/>
  </r>
  <r>
    <x v="66"/>
    <x v="5"/>
    <s v="Q2"/>
    <x v="0"/>
    <s v="KEPL/00701/82-83"/>
    <s v="BHAT BHATENI SUPERMARKET &amp; DEPARTMENTAL STORE PVT. LTD."/>
    <s v="Sprinkler"/>
    <x v="46"/>
    <n v="0.3"/>
    <n v="30"/>
    <n v="89.82"/>
    <n v="2694.6"/>
    <n v="0"/>
    <n v="-134.730039"/>
    <n v="332.78300100000001"/>
    <n v="2892.6529620000001"/>
  </r>
  <r>
    <x v="66"/>
    <x v="5"/>
    <s v="Q2"/>
    <x v="0"/>
    <s v="KEPL/00701/82-83"/>
    <s v="BHAT BHATENI SUPERMARKET &amp; DEPARTMENTAL STORE PVT. LTD."/>
    <s v="Blends"/>
    <x v="27"/>
    <n v="0.25"/>
    <n v="30"/>
    <n v="105.31"/>
    <n v="3159.2999999999997"/>
    <n v="0"/>
    <n v="-157.965046"/>
    <n v="390.17343300000005"/>
    <n v="3391.5083869999999"/>
  </r>
  <r>
    <x v="66"/>
    <x v="5"/>
    <s v="Q2"/>
    <x v="0"/>
    <s v="KEPL/00701/82-83"/>
    <s v="BHAT BHATENI SUPERMARKET &amp; DEPARTMENTAL STORE PVT. LTD."/>
    <s v="Blends"/>
    <x v="32"/>
    <n v="0.25"/>
    <n v="30"/>
    <n v="58.85"/>
    <n v="1765.5000000000002"/>
    <n v="0"/>
    <n v="-88.275025999999997"/>
    <n v="218.039185"/>
    <n v="1895.2641590000001"/>
  </r>
  <r>
    <x v="66"/>
    <x v="5"/>
    <s v="Q2"/>
    <x v="0"/>
    <s v="KEPL/00701/82-83"/>
    <s v="BHAT BHATENI SUPERMARKET &amp; DEPARTMENTAL STORE PVT. LTD."/>
    <s v="Straight Pouch"/>
    <x v="6"/>
    <n v="0.4"/>
    <n v="40"/>
    <n v="148.66999999999999"/>
    <n v="5946.8"/>
    <n v="0"/>
    <n v="-297.34008699999998"/>
    <n v="734.42958099999998"/>
    <n v="6383.889494"/>
  </r>
  <r>
    <x v="66"/>
    <x v="5"/>
    <s v="Q2"/>
    <x v="0"/>
    <s v="KEPL/00701/82-83"/>
    <s v="BHAT BHATENI SUPERMARKET &amp; DEPARTMENTAL STORE PVT. LTD."/>
    <s v="Straight Premium"/>
    <x v="5"/>
    <n v="0.22"/>
    <n v="40"/>
    <n v="74.34"/>
    <n v="2973.6"/>
    <n v="0"/>
    <n v="-148.68004299999998"/>
    <n v="367.23948999999999"/>
    <n v="3192.159447"/>
  </r>
  <r>
    <x v="66"/>
    <x v="5"/>
    <s v="Q2"/>
    <x v="0"/>
    <s v="KEPL/00701/82-83"/>
    <s v="BHAT BHATENI SUPERMARKET &amp; DEPARTMENTAL STORE PVT. LTD."/>
    <s v="Blends"/>
    <x v="15"/>
    <n v="0.17"/>
    <n v="30"/>
    <n v="105.31"/>
    <n v="3159.2999999999997"/>
    <n v="0"/>
    <n v="-157.965046"/>
    <n v="390.17343300000005"/>
    <n v="3391.5083869999999"/>
  </r>
  <r>
    <x v="66"/>
    <x v="5"/>
    <s v="Q2"/>
    <x v="0"/>
    <s v="KEPL/00702/82-83"/>
    <s v="NEPAL SENA SUPATH MULYA CANTEEN"/>
    <s v="Sprinkler"/>
    <x v="25"/>
    <n v="1"/>
    <n v="48"/>
    <n v="313.14"/>
    <n v="15030.72"/>
    <n v="0"/>
    <n v="0"/>
    <n v="1953.99207"/>
    <n v="16984.712070000001"/>
  </r>
  <r>
    <x v="66"/>
    <x v="5"/>
    <s v="Q2"/>
    <x v="0"/>
    <s v="KEPL/00702/82-83"/>
    <s v="NEPAL SENA SUPATH MULYA CANTEEN"/>
    <s v="Sprinkler"/>
    <x v="31"/>
    <n v="1"/>
    <n v="72"/>
    <n v="149.76"/>
    <n v="10782.72"/>
    <n v="0"/>
    <n v="0"/>
    <n v="1401.7525030000002"/>
    <n v="12184.472503000001"/>
  </r>
  <r>
    <x v="66"/>
    <x v="5"/>
    <s v="Q2"/>
    <x v="0"/>
    <s v="KEPL/00702/82-83"/>
    <s v="NEPAL SENA SUPATH MULYA CANTEEN"/>
    <s v="Sprinkler"/>
    <x v="26"/>
    <n v="1"/>
    <n v="72"/>
    <n v="132.74"/>
    <n v="9557.2799999999988"/>
    <n v="0"/>
    <n v="0"/>
    <n v="1242.4454270000001"/>
    <n v="10799.725426999999"/>
  </r>
  <r>
    <x v="67"/>
    <x v="5"/>
    <s v="Q2"/>
    <x v="0"/>
    <s v="KEPL/00731/82-83"/>
    <s v="SHIVA SHAKTI CONCERN"/>
    <s v="Straight Premium"/>
    <x v="5"/>
    <n v="3"/>
    <n v="540"/>
    <n v="94.65"/>
    <n v="51110.999999999993"/>
    <n v="-4645.99"/>
    <n v="0"/>
    <n v="6040.45"/>
    <n v="52505.46"/>
  </r>
  <r>
    <x v="67"/>
    <x v="5"/>
    <s v="Q2"/>
    <x v="0"/>
    <s v="KEPL/00732/82-83"/>
    <s v="SIMPEX SOLUTION PVT. LTD"/>
    <s v="Blends"/>
    <x v="16"/>
    <n v="0.04"/>
    <n v="5"/>
    <n v="127.43"/>
    <n v="637.15000000000009"/>
    <n v="0"/>
    <n v="0"/>
    <n v="82.829031999999998"/>
    <n v="719.97903199999996"/>
  </r>
  <r>
    <x v="67"/>
    <x v="5"/>
    <s v="Q2"/>
    <x v="0"/>
    <s v="KEPL/00732/82-83"/>
    <s v="SIMPEX SOLUTION PVT. LTD"/>
    <s v="Blends"/>
    <x v="9"/>
    <n v="0.03"/>
    <n v="5"/>
    <n v="74.34"/>
    <n v="371.7"/>
    <n v="0"/>
    <n v="0"/>
    <n v="48.320727000000005"/>
    <n v="420.02072700000002"/>
  </r>
  <r>
    <x v="67"/>
    <x v="5"/>
    <s v="Q2"/>
    <x v="0"/>
    <s v="KEPL/00732/82-83"/>
    <s v="SIMPEX SOLUTION PVT. LTD"/>
    <s v="Blends"/>
    <x v="11"/>
    <n v="0.04"/>
    <n v="7"/>
    <n v="67.260000000000005"/>
    <n v="470.82"/>
    <n v="0"/>
    <n v="0"/>
    <n v="61.206254000000001"/>
    <n v="532.02625399999999"/>
  </r>
  <r>
    <x v="67"/>
    <x v="5"/>
    <s v="Q2"/>
    <x v="0"/>
    <s v="KEPL/00732/82-83"/>
    <s v="SIMPEX SOLUTION PVT. LTD"/>
    <s v="Blends"/>
    <x v="17"/>
    <n v="0.03"/>
    <n v="5"/>
    <n v="127.43"/>
    <n v="637.15000000000009"/>
    <n v="0"/>
    <n v="0"/>
    <n v="82.829031999999998"/>
    <n v="719.97903199999996"/>
  </r>
  <r>
    <x v="67"/>
    <x v="5"/>
    <s v="Q2"/>
    <x v="0"/>
    <s v="KEPL/00732/82-83"/>
    <s v="SIMPEX SOLUTION PVT. LTD"/>
    <s v="Blends"/>
    <x v="18"/>
    <n v="0.04"/>
    <n v="5"/>
    <n v="148.66999999999999"/>
    <n v="743.35"/>
    <n v="0"/>
    <n v="0"/>
    <n v="96.634953999999993"/>
    <n v="839.98495400000002"/>
  </r>
  <r>
    <x v="67"/>
    <x v="5"/>
    <s v="Q2"/>
    <x v="0"/>
    <s v="KEPL/00733/82-83"/>
    <s v="GORIN TRADING "/>
    <s v="Cooking Paste"/>
    <x v="30"/>
    <n v="2"/>
    <n v="120"/>
    <n v="98.03"/>
    <n v="11763.6"/>
    <n v="-1069.3100000000002"/>
    <n v="0"/>
    <n v="1390.2599999999998"/>
    <n v="12084.55"/>
  </r>
  <r>
    <x v="68"/>
    <x v="6"/>
    <s v="Q3"/>
    <x v="0"/>
    <s v="KEPL/00832/82-83"/>
    <s v="BHAT BHATENI SUPERMARKET &amp; DEPARTMENTAL STORE PVT. LTD."/>
    <s v="Hing"/>
    <x v="49"/>
    <n v="3"/>
    <n v="360"/>
    <n v="229.2"/>
    <n v="82512"/>
    <n v="0"/>
    <n v="-4125.6000000000004"/>
    <n v="10190.232639"/>
    <n v="88576.632639000003"/>
  </r>
  <r>
    <x v="68"/>
    <x v="6"/>
    <s v="Q3"/>
    <x v="0"/>
    <s v="KEPL/00832/82-83"/>
    <s v="BHAT BHATENI SUPERMARKET &amp; DEPARTMENTAL STORE PVT. LTD."/>
    <s v="Hing"/>
    <x v="50"/>
    <n v="3"/>
    <n v="600"/>
    <n v="117.7"/>
    <n v="70620"/>
    <n v="0"/>
    <n v="-3531.0000000000005"/>
    <n v="8721.5705469999994"/>
    <n v="75810.570546999996"/>
  </r>
  <r>
    <x v="68"/>
    <x v="6"/>
    <s v="Q3"/>
    <x v="0"/>
    <s v="KEPL/00832/82-83"/>
    <s v="BHAT BHATENI SUPERMARKET &amp; DEPARTMENTAL STORE PVT. LTD."/>
    <s v="Hing"/>
    <x v="51"/>
    <n v="2"/>
    <n v="120"/>
    <n v="446.02"/>
    <n v="53522.399999999994"/>
    <n v="0"/>
    <n v="-2676.1200000000003"/>
    <n v="6610.0168140000005"/>
    <n v="57456.296814000001"/>
  </r>
  <r>
    <x v="69"/>
    <x v="6"/>
    <s v="Q3"/>
    <x v="0"/>
    <s v="KEPL/00845/82-83"/>
    <s v="SIMPEX SOLUTION PVT. LTD"/>
    <s v="Sprinkler"/>
    <x v="26"/>
    <n v="0.15"/>
    <n v="11"/>
    <n v="138.05000000000001"/>
    <n v="1518.55"/>
    <n v="0"/>
    <n v="0"/>
    <n v="197.41181300000002"/>
    <n v="1715.9618129999999"/>
  </r>
  <r>
    <x v="69"/>
    <x v="6"/>
    <s v="Q3"/>
    <x v="0"/>
    <s v="KEPL/00845/82-83"/>
    <s v="SIMPEX SOLUTION PVT. LTD"/>
    <s v="Blends"/>
    <x v="16"/>
    <n v="0.04"/>
    <n v="5"/>
    <n v="127.43"/>
    <n v="637.15000000000009"/>
    <n v="0"/>
    <n v="0"/>
    <n v="82.829631000000006"/>
    <n v="719.97963100000004"/>
  </r>
  <r>
    <x v="69"/>
    <x v="6"/>
    <s v="Q3"/>
    <x v="0"/>
    <s v="KEPL/00845/82-83"/>
    <s v="SIMPEX SOLUTION PVT. LTD"/>
    <s v="Blends"/>
    <x v="10"/>
    <n v="0.09"/>
    <n v="16"/>
    <n v="63.72"/>
    <n v="1019.52"/>
    <n v="0"/>
    <n v="0"/>
    <n v="132.53780999999998"/>
    <n v="1152.05781"/>
  </r>
  <r>
    <x v="69"/>
    <x v="6"/>
    <s v="Q3"/>
    <x v="0"/>
    <s v="KEPL/00845/82-83"/>
    <s v="SIMPEX SOLUTION PVT. LTD"/>
    <s v="Blends"/>
    <x v="18"/>
    <n v="0.09"/>
    <n v="11"/>
    <n v="148.66999999999999"/>
    <n v="1635.37"/>
    <n v="0"/>
    <n v="0"/>
    <n v="212.59843700000002"/>
    <n v="1847.968437"/>
  </r>
  <r>
    <x v="69"/>
    <x v="6"/>
    <s v="Q3"/>
    <x v="0"/>
    <s v="KEPL/00845/82-83"/>
    <s v="SIMPEX SOLUTION PVT. LTD"/>
    <s v="Straight Premium"/>
    <x v="5"/>
    <n v="0.12"/>
    <n v="22"/>
    <n v="99.12"/>
    <n v="2180.64"/>
    <n v="0"/>
    <n v="0"/>
    <n v="283.48364900000001"/>
    <n v="2464.1236490000001"/>
  </r>
  <r>
    <x v="69"/>
    <x v="6"/>
    <s v="Q3"/>
    <x v="0"/>
    <s v="KEPL/00845/82-83"/>
    <s v="SIMPEX SOLUTION PVT. LTD"/>
    <s v="Straight Premium"/>
    <x v="8"/>
    <n v="0.38"/>
    <n v="46"/>
    <n v="53.1"/>
    <n v="2442.6"/>
    <n v="0"/>
    <n v="0"/>
    <n v="317.53850299999999"/>
    <n v="2760.1385030000001"/>
  </r>
  <r>
    <x v="69"/>
    <x v="6"/>
    <s v="Q3"/>
    <x v="0"/>
    <s v="KEPL/00845/82-83"/>
    <s v="SIMPEX SOLUTION PVT. LTD"/>
    <s v="Cooking Paste"/>
    <x v="30"/>
    <n v="0.17"/>
    <n v="10"/>
    <n v="102.65"/>
    <n v="1026.5"/>
    <n v="0"/>
    <n v="0"/>
    <n v="133.445211"/>
    <n v="1159.945211"/>
  </r>
  <r>
    <x v="69"/>
    <x v="6"/>
    <s v="Q3"/>
    <x v="0"/>
    <s v="KEPL/00845/82-83"/>
    <s v="SIMPEX SOLUTION PVT. LTD"/>
    <s v="Blends"/>
    <x v="17"/>
    <n v="0.06"/>
    <n v="10"/>
    <n v="127.43"/>
    <n v="1274.3000000000002"/>
    <n v="0"/>
    <n v="0"/>
    <n v="165.65926300000001"/>
    <n v="1439.959263"/>
  </r>
  <r>
    <x v="69"/>
    <x v="6"/>
    <s v="Q3"/>
    <x v="0"/>
    <s v="KEPL/00845/82-83"/>
    <s v="SIMPEX SOLUTION PVT. LTD"/>
    <s v="Blends"/>
    <x v="0"/>
    <n v="0.03"/>
    <n v="6"/>
    <n v="67.260000000000005"/>
    <n v="403.56"/>
    <n v="0"/>
    <n v="0"/>
    <n v="52.462883000000005"/>
    <n v="456.02288299999998"/>
  </r>
  <r>
    <x v="69"/>
    <x v="6"/>
    <s v="Q3"/>
    <x v="0"/>
    <s v="KEPL/00845/82-83"/>
    <s v="SIMPEX SOLUTION PVT. LTD"/>
    <s v="Blends"/>
    <x v="9"/>
    <n v="0.08"/>
    <n v="15"/>
    <n v="74.34"/>
    <n v="1115.0999999999999"/>
    <n v="0"/>
    <n v="0"/>
    <n v="144.96323000000001"/>
    <n v="1260.06323"/>
  </r>
  <r>
    <x v="69"/>
    <x v="6"/>
    <s v="Q3"/>
    <x v="0"/>
    <s v="KEPL/00845/82-83"/>
    <s v="SIMPEX SOLUTION PVT. LTD"/>
    <s v="Blends"/>
    <x v="2"/>
    <n v="0.09"/>
    <n v="16"/>
    <n v="67.260000000000005"/>
    <n v="1076.1600000000001"/>
    <n v="0"/>
    <n v="0"/>
    <n v="139.90102200000001"/>
    <n v="1216.0610220000001"/>
  </r>
  <r>
    <x v="69"/>
    <x v="6"/>
    <s v="Q3"/>
    <x v="0"/>
    <s v="KEPL/00845/82-83"/>
    <s v="SIMPEX SOLUTION PVT. LTD"/>
    <s v="Sprinkler"/>
    <x v="31"/>
    <n v="0.25"/>
    <n v="18"/>
    <n v="155.75"/>
    <n v="2803.5"/>
    <n v="0"/>
    <n v="0"/>
    <n v="364.455578"/>
    <n v="3167.9555780000001"/>
  </r>
  <r>
    <x v="69"/>
    <x v="6"/>
    <s v="Q3"/>
    <x v="0"/>
    <s v="KEPL/00845/82-83"/>
    <s v="SIMPEX SOLUTION PVT. LTD"/>
    <s v="Blends"/>
    <x v="11"/>
    <n v="0.14000000000000001"/>
    <n v="25"/>
    <n v="67.260000000000005"/>
    <n v="1681.5000000000002"/>
    <n v="0"/>
    <n v="0"/>
    <n v="218.59534599999998"/>
    <n v="1900.0953460000001"/>
  </r>
  <r>
    <x v="69"/>
    <x v="6"/>
    <s v="Q3"/>
    <x v="0"/>
    <s v="KEPL/00845/82-83"/>
    <s v="SIMPEX SOLUTION PVT. LTD"/>
    <s v="Blends"/>
    <x v="27"/>
    <n v="0.04"/>
    <n v="5"/>
    <n v="120.35"/>
    <n v="601.75000000000011"/>
    <n v="0"/>
    <n v="0"/>
    <n v="78.227624000000006"/>
    <n v="679.97762399999999"/>
  </r>
  <r>
    <x v="70"/>
    <x v="6"/>
    <s v="Q3"/>
    <x v="0"/>
    <s v="KEPL/00848/82-83"/>
    <s v="BHAT BHATENI SUPERMARKET &amp; DEPARTMENTAL STORE PVT. LTD."/>
    <s v="Hing"/>
    <x v="51"/>
    <n v="0.5"/>
    <n v="30"/>
    <n v="446.02"/>
    <n v="13380.599999999999"/>
    <n v="0"/>
    <n v="-669.03000000000009"/>
    <n v="1652.5037219999999"/>
    <n v="14364.073721999999"/>
  </r>
  <r>
    <x v="70"/>
    <x v="6"/>
    <s v="Q3"/>
    <x v="0"/>
    <s v="KEPL/00848/82-83"/>
    <s v="BHAT BHATENI SUPERMARKET &amp; DEPARTMENTAL STORE PVT. LTD."/>
    <s v="Hing"/>
    <x v="49"/>
    <n v="0.5"/>
    <n v="60"/>
    <n v="229.2"/>
    <n v="13752"/>
    <n v="0"/>
    <n v="-687.6"/>
    <n v="1698.371611"/>
    <n v="14762.771611"/>
  </r>
  <r>
    <x v="70"/>
    <x v="6"/>
    <s v="Q3"/>
    <x v="0"/>
    <s v="KEPL/00848/82-83"/>
    <s v="BHAT BHATENI SUPERMARKET &amp; DEPARTMENTAL STORE PVT. LTD."/>
    <s v="Hing"/>
    <x v="50"/>
    <n v="0.5"/>
    <n v="100"/>
    <n v="117.7"/>
    <n v="11770"/>
    <n v="0"/>
    <n v="-588.5"/>
    <n v="1453.5946669999998"/>
    <n v="12635.094666999999"/>
  </r>
  <r>
    <x v="70"/>
    <x v="6"/>
    <s v="Q3"/>
    <x v="0"/>
    <s v="KEPL/00849/82-83"/>
    <s v="BHAT BHATENI SUPERMARKET &amp; DEPARTMENTAL STORE PVT. LTD."/>
    <s v="Hing"/>
    <x v="50"/>
    <n v="0.5"/>
    <n v="100"/>
    <n v="117.7"/>
    <n v="11770"/>
    <n v="0"/>
    <n v="-588.5"/>
    <n v="1453.5963840000002"/>
    <n v="12635.096384"/>
  </r>
  <r>
    <x v="70"/>
    <x v="6"/>
    <s v="Q3"/>
    <x v="0"/>
    <s v="KEPL/00849/82-83"/>
    <s v="BHAT BHATENI SUPERMARKET &amp; DEPARTMENTAL STORE PVT. LTD."/>
    <s v="Hing"/>
    <x v="49"/>
    <n v="0.5"/>
    <n v="60"/>
    <n v="229.2"/>
    <n v="13752"/>
    <n v="0"/>
    <n v="-687.6"/>
    <n v="1698.3736160000001"/>
    <n v="14762.773616"/>
  </r>
  <r>
    <x v="70"/>
    <x v="6"/>
    <s v="Q3"/>
    <x v="0"/>
    <s v="KEPL/00867/82-83"/>
    <s v="BHAT BHATENI SUPERMARKET &amp; DEPARTMENTAL STORE PVT. LTD."/>
    <s v="Straight Pouch"/>
    <x v="4"/>
    <n v="0.5"/>
    <n v="20"/>
    <n v="238.5"/>
    <n v="4769.9999999999991"/>
    <n v="0"/>
    <n v="-238.50021099999998"/>
    <n v="589.09488799999997"/>
    <n v="5120.594677"/>
  </r>
  <r>
    <x v="70"/>
    <x v="6"/>
    <s v="Q3"/>
    <x v="0"/>
    <s v="KEPL/00867/82-83"/>
    <s v="BHAT BHATENI SUPERMARKET &amp; DEPARTMENTAL STORE PVT. LTD."/>
    <s v="Blends"/>
    <x v="42"/>
    <n v="0.25"/>
    <n v="30"/>
    <n v="86.73"/>
    <n v="2601.9"/>
    <n v="0"/>
    <n v="-130.09511499999999"/>
    <n v="321.33458899999999"/>
    <n v="2793.1394740000001"/>
  </r>
  <r>
    <x v="70"/>
    <x v="6"/>
    <s v="Q3"/>
    <x v="0"/>
    <s v="KEPL/00867/82-83"/>
    <s v="BHAT BHATENI SUPERMARKET &amp; DEPARTMENTAL STORE PVT. LTD."/>
    <s v="Blends"/>
    <x v="41"/>
    <n v="0.25"/>
    <n v="30"/>
    <n v="145.58000000000001"/>
    <n v="4367.3999999999996"/>
    <n v="0"/>
    <n v="-218.370193"/>
    <n v="539.37379699999997"/>
    <n v="4688.4036040000001"/>
  </r>
  <r>
    <x v="70"/>
    <x v="6"/>
    <s v="Q3"/>
    <x v="0"/>
    <s v="KEPL/00867/82-83"/>
    <s v="BHAT BHATENI SUPERMARKET &amp; DEPARTMENTAL STORE PVT. LTD."/>
    <s v="Straight Pouch"/>
    <x v="1"/>
    <n v="0.5"/>
    <n v="50"/>
    <n v="99.12"/>
    <n v="4956"/>
    <n v="0"/>
    <n v="-247.80022000000002"/>
    <n v="612.06588399999998"/>
    <n v="5320.2656639999996"/>
  </r>
  <r>
    <x v="70"/>
    <x v="6"/>
    <s v="Q3"/>
    <x v="0"/>
    <s v="KEPL/00867/82-83"/>
    <s v="BHAT BHATENI SUPERMARKET &amp; DEPARTMENTAL STORE PVT. LTD."/>
    <s v="Blends"/>
    <x v="18"/>
    <n v="0.5"/>
    <n v="60"/>
    <n v="130.09"/>
    <n v="7805.4000000000005"/>
    <n v="0"/>
    <n v="-390.27034600000002"/>
    <n v="963.9667169999999"/>
    <n v="8379.0963709999996"/>
  </r>
  <r>
    <x v="70"/>
    <x v="6"/>
    <s v="Q3"/>
    <x v="0"/>
    <s v="KEPL/00867/82-83"/>
    <s v="BHAT BHATENI SUPERMARKET &amp; DEPARTMENTAL STORE PVT. LTD."/>
    <s v="Straight Premium"/>
    <x v="22"/>
    <n v="1"/>
    <n v="40"/>
    <n v="260.18"/>
    <n v="10407.199999999999"/>
    <n v="0"/>
    <n v="-520.36046099999999"/>
    <n v="1285.2889560000001"/>
    <n v="11172.128495000001"/>
  </r>
  <r>
    <x v="70"/>
    <x v="6"/>
    <s v="Q3"/>
    <x v="0"/>
    <s v="KEPL/00867/82-83"/>
    <s v="BHAT BHATENI SUPERMARKET &amp; DEPARTMENTAL STORE PVT. LTD."/>
    <s v="Blends"/>
    <x v="44"/>
    <n v="0.17"/>
    <n v="30"/>
    <n v="111.5"/>
    <n v="3344.9999999999995"/>
    <n v="0"/>
    <n v="-167.250148"/>
    <n v="413.10742099999999"/>
    <n v="3590.8572730000001"/>
  </r>
  <r>
    <x v="70"/>
    <x v="6"/>
    <s v="Q3"/>
    <x v="0"/>
    <s v="KEPL/00867/82-83"/>
    <s v="BHAT BHATENI SUPERMARKET &amp; DEPARTMENTAL STORE PVT. LTD."/>
    <s v="Straight Premium"/>
    <x v="5"/>
    <n v="0.17"/>
    <n v="30"/>
    <n v="74.34"/>
    <n v="2230.1999999999998"/>
    <n v="0"/>
    <n v="-111.51009900000001"/>
    <n v="275.42964799999999"/>
    <n v="2394.119549"/>
  </r>
  <r>
    <x v="70"/>
    <x v="6"/>
    <s v="Q3"/>
    <x v="0"/>
    <s v="KEPL/00867/82-83"/>
    <s v="BHAT BHATENI SUPERMARKET &amp; DEPARTMENTAL STORE PVT. LTD."/>
    <s v="Straight Premium"/>
    <x v="28"/>
    <n v="0.5"/>
    <n v="40"/>
    <n v="154.87"/>
    <n v="6194.8"/>
    <n v="0"/>
    <n v="-309.740274"/>
    <n v="765.05765499999995"/>
    <n v="6650.117381"/>
  </r>
  <r>
    <x v="70"/>
    <x v="6"/>
    <s v="Q3"/>
    <x v="0"/>
    <s v="KEPL/00867/82-83"/>
    <s v="BHAT BHATENI SUPERMARKET &amp; DEPARTMENTAL STORE PVT. LTD."/>
    <s v="Straight Premium"/>
    <x v="8"/>
    <n v="0.25"/>
    <n v="30"/>
    <n v="46.46"/>
    <n v="1393.8"/>
    <n v="0"/>
    <n v="-69.690061999999998"/>
    <n v="172.13426699999999"/>
    <n v="1496.244205"/>
  </r>
  <r>
    <x v="70"/>
    <x v="6"/>
    <s v="Q3"/>
    <x v="0"/>
    <s v="KEPL/00867/82-83"/>
    <s v="BHAT BHATENI SUPERMARKET &amp; DEPARTMENTAL STORE PVT. LTD."/>
    <s v="Blends"/>
    <x v="16"/>
    <n v="0.25"/>
    <n v="30"/>
    <n v="108.41"/>
    <n v="3252.3"/>
    <n v="0"/>
    <n v="-162.61514399999999"/>
    <n v="401.658974"/>
    <n v="3491.3438299999998"/>
  </r>
  <r>
    <x v="70"/>
    <x v="6"/>
    <s v="Q3"/>
    <x v="0"/>
    <s v="KEPL/00867/82-83"/>
    <s v="BHAT BHATENI SUPERMARKET &amp; DEPARTMENTAL STORE PVT. LTD."/>
    <s v="Straight Premium"/>
    <x v="23"/>
    <n v="0.17"/>
    <n v="30"/>
    <n v="145.58000000000001"/>
    <n v="4367.3999999999996"/>
    <n v="0"/>
    <n v="-218.370193"/>
    <n v="539.37379699999997"/>
    <n v="4688.4036040000001"/>
  </r>
  <r>
    <x v="70"/>
    <x v="6"/>
    <s v="Q3"/>
    <x v="0"/>
    <s v="KEPL/00867/82-83"/>
    <s v="BHAT BHATENI SUPERMARKET &amp; DEPARTMENTAL STORE PVT. LTD."/>
    <s v="Sprinkler"/>
    <x v="25"/>
    <n v="0.5"/>
    <n v="24"/>
    <n v="284.95999999999998"/>
    <n v="6839.04"/>
    <n v="0"/>
    <n v="-341.95230300000003"/>
    <n v="844.62127899999996"/>
    <n v="7341.7089759999999"/>
  </r>
  <r>
    <x v="70"/>
    <x v="6"/>
    <s v="Q3"/>
    <x v="0"/>
    <s v="KEPL/00867/82-83"/>
    <s v="BHAT BHATENI SUPERMARKET &amp; DEPARTMENTAL STORE PVT. LTD."/>
    <s v="Cooking Paste"/>
    <x v="30"/>
    <n v="0.5"/>
    <n v="30"/>
    <n v="89.82"/>
    <n v="2694.6"/>
    <n v="0"/>
    <n v="-134.730119"/>
    <n v="332.78303700000004"/>
    <n v="2892.6529180000002"/>
  </r>
  <r>
    <x v="70"/>
    <x v="6"/>
    <s v="Q3"/>
    <x v="0"/>
    <s v="KEPL/00867/82-83"/>
    <s v="BHAT BHATENI SUPERMARKET &amp; DEPARTMENTAL STORE PVT. LTD."/>
    <s v="Straight Premium"/>
    <x v="33"/>
    <n v="0.17"/>
    <n v="30"/>
    <n v="83.63"/>
    <n v="2508.9"/>
    <n v="0"/>
    <n v="-125.445111"/>
    <n v="309.84909099999999"/>
    <n v="2693.3039800000001"/>
  </r>
  <r>
    <x v="70"/>
    <x v="6"/>
    <s v="Q3"/>
    <x v="0"/>
    <s v="KEPL/00868/82-83"/>
    <s v="BHAT BHATENI SUPERMARKET &amp; DEPARTMENTAL STORE PVT. LTD."/>
    <s v="Blends"/>
    <x v="21"/>
    <n v="0.5"/>
    <n v="40"/>
    <n v="170.35"/>
    <n v="6814.0000000000009"/>
    <n v="0"/>
    <n v="-340.70041900000001"/>
    <n v="841.52860199999998"/>
    <n v="7314.8281829999996"/>
  </r>
  <r>
    <x v="70"/>
    <x v="6"/>
    <s v="Q3"/>
    <x v="0"/>
    <s v="KEPL/00868/82-83"/>
    <s v="BHAT BHATENI SUPERMARKET &amp; DEPARTMENTAL STORE PVT. LTD."/>
    <s v="Hing"/>
    <x v="50"/>
    <n v="0.3"/>
    <n v="60"/>
    <n v="117.7"/>
    <n v="7062.0000000000009"/>
    <n v="0"/>
    <n v="-353.10043400000001"/>
    <n v="872.15658700000006"/>
    <n v="7581.0561530000004"/>
  </r>
  <r>
    <x v="70"/>
    <x v="6"/>
    <s v="Q3"/>
    <x v="0"/>
    <s v="KEPL/00868/82-83"/>
    <s v="BHAT BHATENI SUPERMARKET &amp; DEPARTMENTAL STORE PVT. LTD."/>
    <s v="Blends"/>
    <x v="36"/>
    <n v="0.5"/>
    <n v="40"/>
    <n v="142.47999999999999"/>
    <n v="5699.2"/>
    <n v="0"/>
    <n v="-284.960351"/>
    <n v="703.85086699999999"/>
    <n v="6118.0905160000002"/>
  </r>
  <r>
    <x v="70"/>
    <x v="6"/>
    <s v="Q3"/>
    <x v="0"/>
    <s v="KEPL/00868/82-83"/>
    <s v="BHAT BHATENI SUPERMARKET &amp; DEPARTMENTAL STORE PVT. LTD."/>
    <s v="Straight Pouch"/>
    <x v="3"/>
    <n v="0.5"/>
    <n v="20"/>
    <n v="360.53"/>
    <n v="7210.5999999999995"/>
    <n v="0"/>
    <n v="-360.53044300000005"/>
    <n v="890.50867900000003"/>
    <n v="7740.5782360000003"/>
  </r>
  <r>
    <x v="70"/>
    <x v="6"/>
    <s v="Q3"/>
    <x v="0"/>
    <s v="KEPL/00868/82-83"/>
    <s v="BHAT BHATENI SUPERMARKET &amp; DEPARTMENTAL STORE PVT. LTD."/>
    <s v="Hing"/>
    <x v="49"/>
    <n v="0.25"/>
    <n v="30"/>
    <n v="229.2"/>
    <n v="6876"/>
    <n v="0"/>
    <n v="-343.80042299999997"/>
    <n v="849.18559800000003"/>
    <n v="7381.3851750000003"/>
  </r>
  <r>
    <x v="70"/>
    <x v="6"/>
    <s v="Q3"/>
    <x v="0"/>
    <s v="KEPL/00868/82-83"/>
    <s v="BHAT BHATENI SUPERMARKET &amp; DEPARTMENTAL STORE PVT. LTD."/>
    <s v="Cooking Paste"/>
    <x v="29"/>
    <n v="0.5"/>
    <n v="60"/>
    <n v="52.65"/>
    <n v="3159.0000000000005"/>
    <n v="0"/>
    <n v="-157.95019399999998"/>
    <n v="390.13631500000002"/>
    <n v="3391.1861210000002"/>
  </r>
  <r>
    <x v="70"/>
    <x v="6"/>
    <s v="Q3"/>
    <x v="0"/>
    <s v="KEPL/00868/82-83"/>
    <s v="BHAT BHATENI SUPERMARKET &amp; DEPARTMENTAL STORE PVT. LTD."/>
    <s v="Straight Premium"/>
    <x v="24"/>
    <n v="1"/>
    <n v="40"/>
    <n v="402.65"/>
    <n v="16106"/>
    <n v="0"/>
    <n v="-805.30099099999995"/>
    <n v="1989.0900590000001"/>
    <n v="17289.789067999998"/>
  </r>
  <r>
    <x v="70"/>
    <x v="6"/>
    <s v="Q3"/>
    <x v="0"/>
    <s v="KEPL/00868/82-83"/>
    <s v="BHAT BHATENI SUPERMARKET &amp; DEPARTMENTAL STORE PVT. LTD."/>
    <s v="Straight Premium"/>
    <x v="34"/>
    <n v="0.5"/>
    <n v="40"/>
    <n v="210.62"/>
    <n v="8424.7999999999993"/>
    <n v="0"/>
    <n v="-421.24051799999995"/>
    <n v="1040.4623079999999"/>
    <n v="9044.0217900000007"/>
  </r>
  <r>
    <x v="70"/>
    <x v="6"/>
    <s v="Q3"/>
    <x v="0"/>
    <s v="KEPL/00868/82-83"/>
    <s v="BHAT BHATENI SUPERMARKET &amp; DEPARTMENTAL STORE PVT. LTD."/>
    <s v="Blends"/>
    <x v="32"/>
    <n v="0.5"/>
    <n v="60"/>
    <n v="58.85"/>
    <n v="3531.0000000000005"/>
    <n v="0"/>
    <n v="-176.550217"/>
    <n v="436.07829399999997"/>
    <n v="3790.5280769999999"/>
  </r>
  <r>
    <x v="70"/>
    <x v="6"/>
    <s v="Q3"/>
    <x v="0"/>
    <s v="KEPL/00868/82-83"/>
    <s v="BHAT BHATENI SUPERMARKET &amp; DEPARTMENTAL STORE PVT. LTD."/>
    <s v="Blends"/>
    <x v="45"/>
    <n v="0.5"/>
    <n v="40"/>
    <n v="130.09"/>
    <n v="5203.5999999999995"/>
    <n v="0"/>
    <n v="-260.18031999999999"/>
    <n v="642.64429599999994"/>
    <n v="5586.0639760000004"/>
  </r>
  <r>
    <x v="70"/>
    <x v="6"/>
    <s v="Q3"/>
    <x v="0"/>
    <s v="KEPL/00868/82-83"/>
    <s v="BHAT BHATENI SUPERMARKET &amp; DEPARTMENTAL STORE PVT. LTD."/>
    <s v="Blends"/>
    <x v="48"/>
    <n v="0.17"/>
    <n v="30"/>
    <n v="74.34"/>
    <n v="2230.1999999999998"/>
    <n v="0"/>
    <n v="-111.510137"/>
    <n v="275.42957000000001"/>
    <n v="2394.1194329999998"/>
  </r>
  <r>
    <x v="70"/>
    <x v="6"/>
    <s v="Q3"/>
    <x v="0"/>
    <s v="KEPL/00868/82-83"/>
    <s v="BHAT BHATENI SUPERMARKET &amp; DEPARTMENTAL STORE PVT. LTD."/>
    <s v="Blends"/>
    <x v="38"/>
    <n v="0.17"/>
    <n v="20"/>
    <n v="77.430000000000007"/>
    <n v="1548.6"/>
    <n v="0"/>
    <n v="-77.430095000000009"/>
    <n v="191.25200999999998"/>
    <n v="1662.4219149999999"/>
  </r>
  <r>
    <x v="70"/>
    <x v="6"/>
    <s v="Q3"/>
    <x v="0"/>
    <s v="KEPL/00868/82-83"/>
    <s v="BHAT BHATENI SUPERMARKET &amp; DEPARTMENTAL STORE PVT. LTD."/>
    <s v="Straight Pouch"/>
    <x v="6"/>
    <n v="0.5"/>
    <n v="50"/>
    <n v="148.66999999999999"/>
    <n v="7433.5"/>
    <n v="0"/>
    <n v="-371.67545699999999"/>
    <n v="918.03681599999993"/>
    <n v="7979.8613590000004"/>
  </r>
  <r>
    <x v="70"/>
    <x v="6"/>
    <s v="Q3"/>
    <x v="0"/>
    <s v="KEPL/00871/82-83"/>
    <s v="BHAT BHATENI SUPERMARKET &amp; DEPARTMENTAL STORE PVT. LTD."/>
    <s v="Sprinkler"/>
    <x v="31"/>
    <n v="0.33"/>
    <n v="24"/>
    <n v="136.28"/>
    <n v="3270.72"/>
    <n v="0"/>
    <n v="-163.53658300000001"/>
    <n v="403.93329"/>
    <n v="3511.1167070000001"/>
  </r>
  <r>
    <x v="70"/>
    <x v="6"/>
    <s v="Q3"/>
    <x v="0"/>
    <s v="KEPL/00871/82-83"/>
    <s v="BHAT BHATENI SUPERMARKET &amp; DEPARTMENTAL STORE PVT. LTD."/>
    <s v="Blends"/>
    <x v="27"/>
    <n v="0.25"/>
    <n v="30"/>
    <n v="105.31"/>
    <n v="3159.2999999999997"/>
    <n v="0"/>
    <n v="-157.96556299999997"/>
    <n v="390.17294200000003"/>
    <n v="3391.5073790000001"/>
  </r>
  <r>
    <x v="70"/>
    <x v="6"/>
    <s v="Q3"/>
    <x v="0"/>
    <s v="KEPL/00871/82-83"/>
    <s v="BHAT BHATENI SUPERMARKET &amp; DEPARTMENTAL STORE PVT. LTD."/>
    <s v="Straight Pouch"/>
    <x v="3"/>
    <n v="0.5"/>
    <n v="20"/>
    <n v="360.53"/>
    <n v="7210.5999999999995"/>
    <n v="0"/>
    <n v="-360.53128499999997"/>
    <n v="890.50771199999997"/>
    <n v="7740.576427"/>
  </r>
  <r>
    <x v="70"/>
    <x v="6"/>
    <s v="Q3"/>
    <x v="0"/>
    <s v="KEPL/00871/82-83"/>
    <s v="BHAT BHATENI SUPERMARKET &amp; DEPARTMENTAL STORE PVT. LTD."/>
    <s v="Blends"/>
    <x v="32"/>
    <n v="0.17"/>
    <n v="20"/>
    <n v="58.85"/>
    <n v="1177"/>
    <n v="0"/>
    <n v="-58.850209999999997"/>
    <n v="145.359273"/>
    <n v="1263.509063"/>
  </r>
  <r>
    <x v="70"/>
    <x v="6"/>
    <s v="Q3"/>
    <x v="0"/>
    <s v="KEPL/00871/82-83"/>
    <s v="BHAT BHATENI SUPERMARKET &amp; DEPARTMENTAL STORE PVT. LTD."/>
    <s v="Blends"/>
    <x v="35"/>
    <n v="0.38"/>
    <n v="30"/>
    <n v="154.87"/>
    <n v="4646.0999999999995"/>
    <n v="0"/>
    <n v="-232.30582799999999"/>
    <n v="573.79245500000002"/>
    <n v="4987.5866269999997"/>
  </r>
  <r>
    <x v="70"/>
    <x v="6"/>
    <s v="Q3"/>
    <x v="0"/>
    <s v="KEPL/00871/82-83"/>
    <s v="BHAT BHATENI SUPERMARKET &amp; DEPARTMENTAL STORE PVT. LTD."/>
    <s v="Straight Pouch"/>
    <x v="6"/>
    <n v="0.2"/>
    <n v="20"/>
    <n v="148.66999999999999"/>
    <n v="2973.4"/>
    <n v="0"/>
    <n v="-148.67052999999999"/>
    <n v="367.21432800000002"/>
    <n v="3191.9437979999998"/>
  </r>
  <r>
    <x v="70"/>
    <x v="6"/>
    <s v="Q3"/>
    <x v="0"/>
    <s v="KEPL/00872/82-83"/>
    <s v="BHAT BHATENI SUPERMARKET &amp; DEPARTMENTAL STORE PVT. LTD."/>
    <s v="Straight Premium"/>
    <x v="7"/>
    <n v="0.17"/>
    <n v="20"/>
    <n v="136.28"/>
    <n v="2725.6"/>
    <n v="0"/>
    <n v="-136.28021200000001"/>
    <n v="336.61147099999999"/>
    <n v="2925.931259"/>
  </r>
  <r>
    <x v="70"/>
    <x v="6"/>
    <s v="Q3"/>
    <x v="0"/>
    <s v="KEPL/00872/82-83"/>
    <s v="BHAT BHATENI SUPERMARKET &amp; DEPARTMENTAL STORE PVT. LTD."/>
    <s v="Blends"/>
    <x v="42"/>
    <n v="0.25"/>
    <n v="30"/>
    <n v="86.73"/>
    <n v="2601.9"/>
    <n v="0"/>
    <n v="-130.095203"/>
    <n v="321.33452599999998"/>
    <n v="2793.1393229999999"/>
  </r>
  <r>
    <x v="70"/>
    <x v="6"/>
    <s v="Q3"/>
    <x v="0"/>
    <s v="KEPL/00872/82-83"/>
    <s v="BHAT BHATENI SUPERMARKET &amp; DEPARTMENTAL STORE PVT. LTD."/>
    <s v="Sprinkler"/>
    <x v="25"/>
    <n v="0.63"/>
    <n v="30"/>
    <n v="284.95999999999998"/>
    <n v="8548.7999999999993"/>
    <n v="0"/>
    <n v="-427.44066600000002"/>
    <n v="1055.776394"/>
    <n v="9177.1357279999993"/>
  </r>
  <r>
    <x v="70"/>
    <x v="6"/>
    <s v="Q3"/>
    <x v="0"/>
    <s v="KEPL/00872/82-83"/>
    <s v="BHAT BHATENI SUPERMARKET &amp; DEPARTMENTAL STORE PVT. LTD."/>
    <s v="Straight Pouch"/>
    <x v="1"/>
    <n v="0.3"/>
    <n v="30"/>
    <n v="99.12"/>
    <n v="2973.6"/>
    <n v="0"/>
    <n v="-148.68023199999999"/>
    <n v="367.23945900000001"/>
    <n v="3192.1592270000001"/>
  </r>
  <r>
    <x v="70"/>
    <x v="6"/>
    <s v="Q3"/>
    <x v="0"/>
    <s v="KEPL/00872/82-83"/>
    <s v="BHAT BHATENI SUPERMARKET &amp; DEPARTMENTAL STORE PVT. LTD."/>
    <s v="Sprinkler"/>
    <x v="26"/>
    <n v="0.42"/>
    <n v="30"/>
    <n v="120.8"/>
    <n v="3624"/>
    <n v="0"/>
    <n v="-181.20028199999999"/>
    <n v="447.563828"/>
    <n v="3890.363546"/>
  </r>
  <r>
    <x v="70"/>
    <x v="6"/>
    <s v="Q3"/>
    <x v="0"/>
    <s v="KEPL/00872/82-83"/>
    <s v="BHAT BHATENI SUPERMARKET &amp; DEPARTMENTAL STORE PVT. LTD."/>
    <s v="Blends"/>
    <x v="41"/>
    <n v="0.25"/>
    <n v="30"/>
    <n v="145.58000000000001"/>
    <n v="4367.3999999999996"/>
    <n v="0"/>
    <n v="-218.37033999999997"/>
    <n v="539.373693"/>
    <n v="4688.4033529999997"/>
  </r>
  <r>
    <x v="70"/>
    <x v="6"/>
    <s v="Q3"/>
    <x v="0"/>
    <s v="KEPL/00872/82-83"/>
    <s v="BHAT BHATENI SUPERMARKET &amp; DEPARTMENTAL STORE PVT. LTD."/>
    <s v="Straight Premium"/>
    <x v="28"/>
    <n v="0.38"/>
    <n v="30"/>
    <n v="154.87"/>
    <n v="4646.0999999999995"/>
    <n v="0"/>
    <n v="-232.305362"/>
    <n v="573.79312900000002"/>
    <n v="4987.587767"/>
  </r>
  <r>
    <x v="70"/>
    <x v="6"/>
    <s v="Q3"/>
    <x v="0"/>
    <s v="KEPL/00872/82-83"/>
    <s v="BHAT BHATENI SUPERMARKET &amp; DEPARTMENTAL STORE PVT. LTD."/>
    <s v="Straight Premium"/>
    <x v="23"/>
    <n v="0.17"/>
    <n v="30"/>
    <n v="145.58000000000001"/>
    <n v="4367.3999999999996"/>
    <n v="0"/>
    <n v="-218.37033999999997"/>
    <n v="539.373693"/>
    <n v="4688.4033529999997"/>
  </r>
  <r>
    <x v="70"/>
    <x v="6"/>
    <s v="Q3"/>
    <x v="0"/>
    <s v="KEPL/00872/82-83"/>
    <s v="BHAT BHATENI SUPERMARKET &amp; DEPARTMENTAL STORE PVT. LTD."/>
    <s v="Straight Premium"/>
    <x v="8"/>
    <n v="0.25"/>
    <n v="30"/>
    <n v="46.46"/>
    <n v="1393.8"/>
    <n v="0"/>
    <n v="-69.690108999999993"/>
    <n v="172.13423399999999"/>
    <n v="1496.2441249999999"/>
  </r>
  <r>
    <x v="70"/>
    <x v="6"/>
    <s v="Q3"/>
    <x v="0"/>
    <s v="KEPL/00872/82-83"/>
    <s v="BHAT BHATENI SUPERMARKET &amp; DEPARTMENTAL STORE PVT. LTD."/>
    <s v="Straight Premium"/>
    <x v="33"/>
    <n v="0.11"/>
    <n v="20"/>
    <n v="83.63"/>
    <n v="1672.6"/>
    <n v="0"/>
    <n v="-83.630129999999994"/>
    <n v="206.56602100000001"/>
    <n v="1795.535891"/>
  </r>
  <r>
    <x v="70"/>
    <x v="6"/>
    <s v="Q3"/>
    <x v="0"/>
    <s v="KEPL/00872/82-83"/>
    <s v="BHAT BHATENI SUPERMARKET &amp; DEPARTMENTAL STORE PVT. LTD."/>
    <s v="Blends"/>
    <x v="44"/>
    <n v="0.11"/>
    <n v="20"/>
    <n v="111.5"/>
    <n v="2230"/>
    <n v="0"/>
    <n v="-111.500174"/>
    <n v="275.40489400000001"/>
    <n v="2393.90472"/>
  </r>
  <r>
    <x v="70"/>
    <x v="6"/>
    <s v="Q3"/>
    <x v="0"/>
    <s v="KEPL/00872/82-83"/>
    <s v="BHAT BHATENI SUPERMARKET &amp; DEPARTMENTAL STORE PVT. LTD."/>
    <s v="Straight Pouch"/>
    <x v="4"/>
    <n v="0.75"/>
    <n v="30"/>
    <n v="238.5"/>
    <n v="7155"/>
    <n v="0"/>
    <n v="-357.75055700000001"/>
    <n v="883.6421600000001"/>
    <n v="7680.891603"/>
  </r>
  <r>
    <x v="70"/>
    <x v="6"/>
    <s v="Q3"/>
    <x v="0"/>
    <s v="KEPL/00872/82-83"/>
    <s v="BHAT BHATENI SUPERMARKET &amp; DEPARTMENTAL STORE PVT. LTD."/>
    <s v="Cooking Paste"/>
    <x v="30"/>
    <n v="0.5"/>
    <n v="30"/>
    <n v="89.82"/>
    <n v="2694.6"/>
    <n v="0"/>
    <n v="-134.73021"/>
    <n v="332.78297200000003"/>
    <n v="2892.6527620000002"/>
  </r>
  <r>
    <x v="70"/>
    <x v="6"/>
    <s v="Q3"/>
    <x v="0"/>
    <s v="KEPL/00872/82-83"/>
    <s v="BHAT BHATENI SUPERMARKET &amp; DEPARTMENTAL STORE PVT. LTD."/>
    <s v="Blends"/>
    <x v="18"/>
    <n v="0.25"/>
    <n v="30"/>
    <n v="130.09"/>
    <n v="3902.7000000000003"/>
    <n v="0"/>
    <n v="-195.13530399999999"/>
    <n v="481.98326500000002"/>
    <n v="4189.5479610000002"/>
  </r>
  <r>
    <x v="70"/>
    <x v="6"/>
    <s v="Q3"/>
    <x v="0"/>
    <s v="KEPL/00872/82-83"/>
    <s v="BHAT BHATENI SUPERMARKET &amp; DEPARTMENTAL STORE PVT. LTD."/>
    <s v="Straight Premium"/>
    <x v="22"/>
    <n v="0.75"/>
    <n v="30"/>
    <n v="260.18"/>
    <n v="7805.4000000000005"/>
    <n v="0"/>
    <n v="-390.27060799999998"/>
    <n v="963.96652900000004"/>
    <n v="8379.0959210000001"/>
  </r>
  <r>
    <x v="70"/>
    <x v="6"/>
    <s v="Q3"/>
    <x v="0"/>
    <s v="KEPL/00872/82-83"/>
    <s v="BHAT BHATENI SUPERMARKET &amp; DEPARTMENTAL STORE PVT. LTD."/>
    <s v="Sprinkler"/>
    <x v="47"/>
    <n v="0.3"/>
    <n v="30"/>
    <n v="65.040000000000006"/>
    <n v="1951.2"/>
    <n v="0"/>
    <n v="-97.560152000000002"/>
    <n v="240.973107"/>
    <n v="2094.6129550000001"/>
  </r>
  <r>
    <x v="70"/>
    <x v="6"/>
    <s v="Q3"/>
    <x v="0"/>
    <s v="KEPL/00872/82-83"/>
    <s v="BHAT BHATENI SUPERMARKET &amp; DEPARTMENTAL STORE PVT. LTD."/>
    <s v="Blends"/>
    <x v="39"/>
    <n v="0.11"/>
    <n v="20"/>
    <n v="76.81"/>
    <n v="1536.2"/>
    <n v="0"/>
    <n v="-76.810119999999998"/>
    <n v="189.72062699999998"/>
    <n v="1649.1105070000001"/>
  </r>
  <r>
    <x v="70"/>
    <x v="6"/>
    <s v="Q3"/>
    <x v="0"/>
    <s v="KEPL/00873/82-83"/>
    <s v="BHAT BHATENI SUPERMARKET &amp; DEPARTMENTAL STORE PVT. LTD."/>
    <s v="Straight Pouch"/>
    <x v="6"/>
    <n v="0.3"/>
    <n v="30"/>
    <n v="148.66999999999999"/>
    <n v="4460.0999999999995"/>
    <n v="0"/>
    <n v="-223.00550200000001"/>
    <n v="550.82260600000006"/>
    <n v="4787.9171040000001"/>
  </r>
  <r>
    <x v="70"/>
    <x v="6"/>
    <s v="Q3"/>
    <x v="0"/>
    <s v="KEPL/00873/82-83"/>
    <s v="BHAT BHATENI SUPERMARKET &amp; DEPARTMENTAL STORE PVT. LTD."/>
    <s v="Cooking Paste"/>
    <x v="29"/>
    <n v="0.25"/>
    <n v="30"/>
    <n v="52.65"/>
    <n v="1579.5000000000002"/>
    <n v="0"/>
    <n v="-78.975177999999985"/>
    <n v="195.068341"/>
    <n v="1695.593163"/>
  </r>
  <r>
    <x v="70"/>
    <x v="6"/>
    <s v="Q3"/>
    <x v="0"/>
    <s v="KEPL/00873/82-83"/>
    <s v="BHAT BHATENI SUPERMARKET &amp; DEPARTMENTAL STORE PVT. LTD."/>
    <s v="Blends"/>
    <x v="19"/>
    <n v="0.17"/>
    <n v="30"/>
    <n v="142.47999999999999"/>
    <n v="4274.3999999999996"/>
    <n v="0"/>
    <n v="-213.72048100000001"/>
    <n v="527.888645"/>
    <n v="4588.5681640000003"/>
  </r>
  <r>
    <x v="70"/>
    <x v="6"/>
    <s v="Q3"/>
    <x v="0"/>
    <s v="KEPL/00873/82-83"/>
    <s v="BHAT BHATENI SUPERMARKET &amp; DEPARTMENTAL STORE PVT. LTD."/>
    <s v="Blends"/>
    <x v="48"/>
    <n v="0.17"/>
    <n v="30"/>
    <n v="74.34"/>
    <n v="2230.1999999999998"/>
    <n v="0"/>
    <n v="-111.51025100000001"/>
    <n v="275.42982799999999"/>
    <n v="2394.1195769999999"/>
  </r>
  <r>
    <x v="70"/>
    <x v="6"/>
    <s v="Q3"/>
    <x v="0"/>
    <s v="KEPL/00873/82-83"/>
    <s v="BHAT BHATENI SUPERMARKET &amp; DEPARTMENTAL STORE PVT. LTD."/>
    <s v="Blends"/>
    <x v="37"/>
    <n v="0.17"/>
    <n v="30"/>
    <n v="89.82"/>
    <n v="2694.6"/>
    <n v="0"/>
    <n v="-134.73030299999999"/>
    <n v="332.783255"/>
    <n v="2892.6529519999999"/>
  </r>
  <r>
    <x v="70"/>
    <x v="6"/>
    <s v="Q3"/>
    <x v="0"/>
    <s v="KEPL/00873/82-83"/>
    <s v="BHAT BHATENI SUPERMARKET &amp; DEPARTMENTAL STORE PVT. LTD."/>
    <s v="Blends"/>
    <x v="35"/>
    <n v="0.25"/>
    <n v="20"/>
    <n v="154.87"/>
    <n v="3097.4"/>
    <n v="0"/>
    <n v="-154.87034800000001"/>
    <n v="382.52907799999997"/>
    <n v="3325.0587300000002"/>
  </r>
  <r>
    <x v="70"/>
    <x v="6"/>
    <s v="Q3"/>
    <x v="0"/>
    <s v="KEPL/00873/82-83"/>
    <s v="BHAT BHATENI SUPERMARKET &amp; DEPARTMENTAL STORE PVT. LTD."/>
    <s v="Straight Premium"/>
    <x v="24"/>
    <n v="0.75"/>
    <n v="30"/>
    <n v="402.65"/>
    <n v="12079.499999999998"/>
    <n v="0"/>
    <n v="-603.976359"/>
    <n v="1491.818943"/>
    <n v="12967.342584"/>
  </r>
  <r>
    <x v="70"/>
    <x v="6"/>
    <s v="Q3"/>
    <x v="0"/>
    <s v="KEPL/00873/82-83"/>
    <s v="BHAT BHATENI SUPERMARKET &amp; DEPARTMENTAL STORE PVT. LTD."/>
    <s v="Blends"/>
    <x v="32"/>
    <n v="0.25"/>
    <n v="30"/>
    <n v="58.85"/>
    <n v="1765.5000000000002"/>
    <n v="0"/>
    <n v="-88.275199000000001"/>
    <n v="218.03935100000001"/>
    <n v="1895.264152"/>
  </r>
  <r>
    <x v="70"/>
    <x v="6"/>
    <s v="Q3"/>
    <x v="0"/>
    <s v="KEPL/00873/82-83"/>
    <s v="BHAT BHATENI SUPERMARKET &amp; DEPARTMENTAL STORE PVT. LTD."/>
    <s v="Blends"/>
    <x v="36"/>
    <n v="0.38"/>
    <n v="30"/>
    <n v="142.47999999999999"/>
    <n v="4274.3999999999996"/>
    <n v="0"/>
    <n v="-213.72048100000001"/>
    <n v="527.888645"/>
    <n v="4588.5681640000003"/>
  </r>
  <r>
    <x v="70"/>
    <x v="6"/>
    <s v="Q3"/>
    <x v="0"/>
    <s v="KEPL/00873/82-83"/>
    <s v="BHAT BHATENI SUPERMARKET &amp; DEPARTMENTAL STORE PVT. LTD."/>
    <s v="Blends"/>
    <x v="45"/>
    <n v="0.38"/>
    <n v="30"/>
    <n v="130.09"/>
    <n v="3902.7000000000003"/>
    <n v="0"/>
    <n v="-195.13543899999999"/>
    <n v="481.98367400000001"/>
    <n v="4189.5482350000002"/>
  </r>
  <r>
    <x v="70"/>
    <x v="6"/>
    <s v="Q3"/>
    <x v="0"/>
    <s v="KEPL/00873/82-83"/>
    <s v="BHAT BHATENI SUPERMARKET &amp; DEPARTMENTAL STORE PVT. LTD."/>
    <s v="Sprinkler"/>
    <x v="31"/>
    <n v="0.42"/>
    <n v="30"/>
    <n v="136.28"/>
    <n v="4088.4"/>
    <n v="0"/>
    <n v="-204.42046000000002"/>
    <n v="504.91763499999996"/>
    <n v="4388.8971750000001"/>
  </r>
  <r>
    <x v="70"/>
    <x v="6"/>
    <s v="Q3"/>
    <x v="0"/>
    <s v="KEPL/00875/82-83"/>
    <s v="BHAT BHATENI SUPERMARKET &amp; DEPARTMENTAL STORE PVT. LTD."/>
    <s v="Sprinkler"/>
    <x v="31"/>
    <n v="2"/>
    <n v="144"/>
    <n v="136.28"/>
    <n v="19624.32"/>
    <n v="0"/>
    <n v="-981.21580400000005"/>
    <n v="2423.6032519999999"/>
    <n v="21066.707448000001"/>
  </r>
  <r>
    <x v="70"/>
    <x v="6"/>
    <s v="Q3"/>
    <x v="0"/>
    <s v="KEPL/00875/82-83"/>
    <s v="BHAT BHATENI SUPERMARKET &amp; DEPARTMENTAL STORE PVT. LTD."/>
    <s v="Blends"/>
    <x v="35"/>
    <n v="1"/>
    <n v="80"/>
    <n v="154.87"/>
    <n v="12389.6"/>
    <n v="0"/>
    <n v="-619.47987599999999"/>
    <n v="1530.1154309999999"/>
    <n v="13300.235554999999"/>
  </r>
  <r>
    <x v="70"/>
    <x v="6"/>
    <s v="Q3"/>
    <x v="0"/>
    <s v="KEPL/00875/82-83"/>
    <s v="BHAT BHATENI SUPERMARKET &amp; DEPARTMENTAL STORE PVT. LTD."/>
    <s v="Blends"/>
    <x v="36"/>
    <n v="1"/>
    <n v="80"/>
    <n v="142.47999999999999"/>
    <n v="11398.4"/>
    <n v="0"/>
    <n v="-569.91988600000002"/>
    <n v="1407.7022440000001"/>
    <n v="12236.182358"/>
  </r>
  <r>
    <x v="70"/>
    <x v="6"/>
    <s v="Q3"/>
    <x v="0"/>
    <s v="KEPL/00875/82-83"/>
    <s v="BHAT BHATENI SUPERMARKET &amp; DEPARTMENTAL STORE PVT. LTD."/>
    <s v="Blends"/>
    <x v="45"/>
    <n v="0.88"/>
    <n v="70"/>
    <n v="130.09"/>
    <n v="9106.2999999999993"/>
    <n v="0"/>
    <n v="-455.314909"/>
    <n v="1124.6279260000001"/>
    <n v="9775.6130169999997"/>
  </r>
  <r>
    <x v="70"/>
    <x v="6"/>
    <s v="Q3"/>
    <x v="0"/>
    <s v="KEPL/00875/82-83"/>
    <s v="BHAT BHATENI SUPERMARKET &amp; DEPARTMENTAL STORE PVT. LTD."/>
    <s v="Blends"/>
    <x v="21"/>
    <n v="1"/>
    <n v="80"/>
    <n v="170.35"/>
    <n v="13628.000000000002"/>
    <n v="0"/>
    <n v="-681.39986399999998"/>
    <n v="1683.057814"/>
    <n v="14629.657950000001"/>
  </r>
  <r>
    <x v="70"/>
    <x v="6"/>
    <s v="Q3"/>
    <x v="0"/>
    <s v="KEPL/00875/82-83"/>
    <s v="BHAT BHATENI SUPERMARKET &amp; DEPARTMENTAL STORE PVT. LTD."/>
    <s v="Hing"/>
    <x v="49"/>
    <n v="0.5"/>
    <n v="60"/>
    <n v="229.2"/>
    <n v="13752"/>
    <n v="0"/>
    <n v="-687.59986300000003"/>
    <n v="1698.3718120000001"/>
    <n v="14762.771949"/>
  </r>
  <r>
    <x v="70"/>
    <x v="6"/>
    <s v="Q3"/>
    <x v="0"/>
    <s v="KEPL/00875/82-83"/>
    <s v="BHAT BHATENI SUPERMARKET &amp; DEPARTMENTAL STORE PVT. LTD."/>
    <s v="Hing"/>
    <x v="50"/>
    <n v="0.5"/>
    <n v="100"/>
    <n v="117.7"/>
    <n v="11770"/>
    <n v="0"/>
    <n v="-588.49988300000007"/>
    <n v="1453.5948389999999"/>
    <n v="12635.094956000001"/>
  </r>
  <r>
    <x v="70"/>
    <x v="6"/>
    <s v="Q3"/>
    <x v="0"/>
    <s v="KEPL/00875/82-83"/>
    <s v="BHAT BHATENI SUPERMARKET &amp; DEPARTMENTAL STORE PVT. LTD."/>
    <s v="Blends"/>
    <x v="40"/>
    <n v="1"/>
    <n v="120"/>
    <n v="71.239999999999995"/>
    <n v="8548.7999999999993"/>
    <n v="0"/>
    <n v="-427.43991500000004"/>
    <n v="1055.776683"/>
    <n v="9177.1367680000003"/>
  </r>
  <r>
    <x v="70"/>
    <x v="6"/>
    <s v="Q3"/>
    <x v="0"/>
    <s v="KEPL/00876/82-83"/>
    <s v="BHAT BHATENI SUPERMARKET &amp; DEPARTMENTAL STORE PVT. LTD."/>
    <s v="Straight Premium"/>
    <x v="28"/>
    <n v="1.1299999999999999"/>
    <n v="90"/>
    <n v="154.87"/>
    <n v="13938.3"/>
    <n v="0"/>
    <n v="-696.91473600000006"/>
    <n v="1721.3804150000001"/>
    <n v="14962.765679"/>
  </r>
  <r>
    <x v="70"/>
    <x v="6"/>
    <s v="Q3"/>
    <x v="0"/>
    <s v="KEPL/00876/82-83"/>
    <s v="BHAT BHATENI SUPERMARKET &amp; DEPARTMENTAL STORE PVT. LTD."/>
    <s v="Sprinkler"/>
    <x v="25"/>
    <n v="1"/>
    <n v="48"/>
    <n v="284.95999999999998"/>
    <n v="13678.08"/>
    <n v="0"/>
    <n v="-683.90374099999997"/>
    <n v="1689.243238"/>
    <n v="14683.419497000001"/>
  </r>
  <r>
    <x v="70"/>
    <x v="6"/>
    <s v="Q3"/>
    <x v="0"/>
    <s v="KEPL/00876/82-83"/>
    <s v="BHAT BHATENI SUPERMARKET &amp; DEPARTMENTAL STORE PVT. LTD."/>
    <s v="Blends"/>
    <x v="39"/>
    <n v="1"/>
    <n v="180"/>
    <n v="76.81"/>
    <n v="13825.800000000001"/>
    <n v="0"/>
    <n v="-691.28973799999994"/>
    <n v="1707.486662"/>
    <n v="14841.996923999999"/>
  </r>
  <r>
    <x v="70"/>
    <x v="6"/>
    <s v="Q3"/>
    <x v="0"/>
    <s v="KEPL/00876/82-83"/>
    <s v="BHAT BHATENI SUPERMARKET &amp; DEPARTMENTAL STORE PVT. LTD."/>
    <s v="Blends"/>
    <x v="2"/>
    <n v="1"/>
    <n v="180"/>
    <n v="56.99"/>
    <n v="10258.200000000001"/>
    <n v="0"/>
    <n v="-512.909806"/>
    <n v="1266.8879679999998"/>
    <n v="11012.178162"/>
  </r>
  <r>
    <x v="70"/>
    <x v="6"/>
    <s v="Q3"/>
    <x v="0"/>
    <s v="KEPL/00876/82-83"/>
    <s v="BHAT BHATENI SUPERMARKET &amp; DEPARTMENTAL STORE PVT. LTD."/>
    <s v="Sprinkler"/>
    <x v="47"/>
    <n v="2"/>
    <n v="200"/>
    <n v="65.040000000000006"/>
    <n v="13008"/>
    <n v="0"/>
    <n v="-650.39975300000003"/>
    <n v="1606.4883399999999"/>
    <n v="13964.088587"/>
  </r>
  <r>
    <x v="70"/>
    <x v="6"/>
    <s v="Q3"/>
    <x v="0"/>
    <s v="KEPL/00876/82-83"/>
    <s v="BHAT BHATENI SUPERMARKET &amp; DEPARTMENTAL STORE PVT. LTD."/>
    <s v="Blends"/>
    <x v="41"/>
    <n v="1"/>
    <n v="120"/>
    <n v="145.58000000000001"/>
    <n v="17469.599999999999"/>
    <n v="0"/>
    <n v="-873.47966899999994"/>
    <n v="2157.4960569999998"/>
    <n v="18753.616387999999"/>
  </r>
  <r>
    <x v="70"/>
    <x v="6"/>
    <s v="Q3"/>
    <x v="0"/>
    <s v="KEPL/00876/82-83"/>
    <s v="BHAT BHATENI SUPERMARKET &amp; DEPARTMENTAL STORE PVT. LTD."/>
    <s v="Blends"/>
    <x v="11"/>
    <n v="1"/>
    <n v="180"/>
    <n v="56.99"/>
    <n v="10258.200000000001"/>
    <n v="0"/>
    <n v="-512.909806"/>
    <n v="1266.8879679999998"/>
    <n v="11012.178162"/>
  </r>
  <r>
    <x v="70"/>
    <x v="6"/>
    <s v="Q3"/>
    <x v="0"/>
    <s v="KEPL/00876/82-83"/>
    <s v="BHAT BHATENI SUPERMARKET &amp; DEPARTMENTAL STORE PVT. LTD."/>
    <s v="Blends"/>
    <x v="17"/>
    <n v="1"/>
    <n v="180"/>
    <n v="108.41"/>
    <n v="19513.8"/>
    <n v="0"/>
    <n v="-975.68962999999997"/>
    <n v="2409.9548099999997"/>
    <n v="20948.065180000001"/>
  </r>
  <r>
    <x v="70"/>
    <x v="6"/>
    <s v="Q3"/>
    <x v="0"/>
    <s v="KEPL/00876/82-83"/>
    <s v="BHAT BHATENI SUPERMARKET &amp; DEPARTMENTAL STORE PVT. LTD."/>
    <s v="Blends"/>
    <x v="37"/>
    <n v="1"/>
    <n v="180"/>
    <n v="89.82"/>
    <n v="16167.6"/>
    <n v="0"/>
    <n v="-808.37969399999997"/>
    <n v="1996.6990229999999"/>
    <n v="17355.919329"/>
  </r>
  <r>
    <x v="70"/>
    <x v="6"/>
    <s v="Q3"/>
    <x v="0"/>
    <s v="KEPL/00876/82-83"/>
    <s v="BHAT BHATENI SUPERMARKET &amp; DEPARTMENTAL STORE PVT. LTD."/>
    <s v="Straight Premium"/>
    <x v="5"/>
    <n v="1"/>
    <n v="180"/>
    <n v="74.34"/>
    <n v="13381.199999999999"/>
    <n v="0"/>
    <n v="-669.05974600000002"/>
    <n v="1652.57855"/>
    <n v="14364.718804"/>
  </r>
  <r>
    <x v="70"/>
    <x v="6"/>
    <s v="Q3"/>
    <x v="0"/>
    <s v="KEPL/00876/82-83"/>
    <s v="BHAT BHATENI SUPERMARKET &amp; DEPARTMENTAL STORE PVT. LTD."/>
    <s v="Blends"/>
    <x v="42"/>
    <n v="1"/>
    <n v="120"/>
    <n v="86.73"/>
    <n v="10407.6"/>
    <n v="0"/>
    <n v="-520.37980300000004"/>
    <n v="1285.338872"/>
    <n v="11172.559069000001"/>
  </r>
  <r>
    <x v="70"/>
    <x v="6"/>
    <s v="Q3"/>
    <x v="0"/>
    <s v="KEPL/00876/82-83"/>
    <s v="BHAT BHATENI SUPERMARKET &amp; DEPARTMENTAL STORE PVT. LTD."/>
    <s v="Cooking Paste"/>
    <x v="30"/>
    <n v="1"/>
    <n v="60"/>
    <n v="89.82"/>
    <n v="5389.2"/>
    <n v="0"/>
    <n v="-269.45989800000001"/>
    <n v="665.56634100000008"/>
    <n v="5785.3064430000004"/>
  </r>
  <r>
    <x v="70"/>
    <x v="6"/>
    <s v="Q3"/>
    <x v="0"/>
    <s v="KEPL/00876/82-83"/>
    <s v="BHAT BHATENI SUPERMARKET &amp; DEPARTMENTAL STORE PVT. LTD."/>
    <s v="Straight Premium"/>
    <x v="23"/>
    <n v="1"/>
    <n v="180"/>
    <n v="145.58000000000001"/>
    <n v="26204.399999999998"/>
    <n v="0"/>
    <n v="-1310.2195029999998"/>
    <n v="3236.2440849999998"/>
    <n v="28130.424582"/>
  </r>
  <r>
    <x v="70"/>
    <x v="6"/>
    <s v="Q3"/>
    <x v="0"/>
    <s v="KEPL/00876/82-83"/>
    <s v="BHAT BHATENI SUPERMARKET &amp; DEPARTMENTAL STORE PVT. LTD."/>
    <s v="Straight Premium"/>
    <x v="33"/>
    <n v="0.5"/>
    <n v="90"/>
    <n v="83.63"/>
    <n v="7526.7"/>
    <n v="0"/>
    <n v="-376.33485700000006"/>
    <n v="929.54764699999998"/>
    <n v="8079.9127900000003"/>
  </r>
  <r>
    <x v="70"/>
    <x v="6"/>
    <s v="Q3"/>
    <x v="0"/>
    <s v="KEPL/00876/82-83"/>
    <s v="BHAT BHATENI SUPERMARKET &amp; DEPARTMENTAL STORE PVT. LTD."/>
    <s v="Blends"/>
    <x v="18"/>
    <n v="0.17"/>
    <n v="20"/>
    <n v="130.09"/>
    <n v="2601.7999999999997"/>
    <n v="0"/>
    <n v="-130.08995100000001"/>
    <n v="321.32236799999998"/>
    <n v="2793.0324169999999"/>
  </r>
  <r>
    <x v="70"/>
    <x v="6"/>
    <s v="Q3"/>
    <x v="0"/>
    <s v="KEPL/00876/82-83"/>
    <s v="BHAT BHATENI SUPERMARKET &amp; DEPARTMENTAL STORE PVT. LTD."/>
    <s v="Sprinkler"/>
    <x v="26"/>
    <n v="2"/>
    <n v="144"/>
    <n v="120.8"/>
    <n v="17395.2"/>
    <n v="0"/>
    <n v="-869.75967000000003"/>
    <n v="2148.3076550000001"/>
    <n v="18673.747985000002"/>
  </r>
  <r>
    <x v="71"/>
    <x v="6"/>
    <s v="Q3"/>
    <x v="0"/>
    <s v="KEPL/00900/82-83"/>
    <s v="BHAT BHATENI SUPERMARKET &amp; DEPARTMENTAL STORE PVT. LTD."/>
    <s v="Sprinkler"/>
    <x v="25"/>
    <n v="0.25"/>
    <n v="12"/>
    <n v="284.95999999999998"/>
    <n v="3419.52"/>
    <n v="0"/>
    <n v="-170.975942"/>
    <n v="422.31072799999998"/>
    <n v="3670.8547859999999"/>
  </r>
  <r>
    <x v="71"/>
    <x v="6"/>
    <s v="Q3"/>
    <x v="0"/>
    <s v="KEPL/00900/82-83"/>
    <s v="BHAT BHATENI SUPERMARKET &amp; DEPARTMENTAL STORE PVT. LTD."/>
    <s v="Sprinkler"/>
    <x v="26"/>
    <n v="0.17"/>
    <n v="12"/>
    <n v="120.8"/>
    <n v="1449.6"/>
    <n v="0"/>
    <n v="-72.479975999999994"/>
    <n v="179.02560299999999"/>
    <n v="1556.1456270000001"/>
  </r>
  <r>
    <x v="71"/>
    <x v="6"/>
    <s v="Q3"/>
    <x v="0"/>
    <s v="KEPL/00900/82-83"/>
    <s v="BHAT BHATENI SUPERMARKET &amp; DEPARTMENTAL STORE PVT. LTD."/>
    <s v="Blends"/>
    <x v="2"/>
    <n v="0.17"/>
    <n v="30"/>
    <n v="56.99"/>
    <n v="1709.6999999999998"/>
    <n v="0"/>
    <n v="-85.484971000000002"/>
    <n v="211.147954"/>
    <n v="1835.362983"/>
  </r>
  <r>
    <x v="71"/>
    <x v="6"/>
    <s v="Q3"/>
    <x v="0"/>
    <s v="KEPL/00900/82-83"/>
    <s v="BHAT BHATENI SUPERMARKET &amp; DEPARTMENTAL STORE PVT. LTD."/>
    <s v="Blends"/>
    <x v="18"/>
    <n v="0.25"/>
    <n v="30"/>
    <n v="130.09"/>
    <n v="3902.7000000000003"/>
    <n v="0"/>
    <n v="-195.13493400000002"/>
    <n v="481.98345899999998"/>
    <n v="4189.5485250000002"/>
  </r>
  <r>
    <x v="71"/>
    <x v="6"/>
    <s v="Q3"/>
    <x v="0"/>
    <s v="KEPL/00900/82-83"/>
    <s v="BHAT BHATENI SUPERMARKET &amp; DEPARTMENTAL STORE PVT. LTD."/>
    <s v="Straight Pouch"/>
    <x v="4"/>
    <n v="0.5"/>
    <n v="20"/>
    <n v="238.5"/>
    <n v="4769.9999999999991"/>
    <n v="0"/>
    <n v="-238.49991900000001"/>
    <n v="589.09501"/>
    <n v="5120.5950910000001"/>
  </r>
  <r>
    <x v="71"/>
    <x v="6"/>
    <s v="Q3"/>
    <x v="0"/>
    <s v="KEPL/00900/82-83"/>
    <s v="BHAT BHATENI SUPERMARKET &amp; DEPARTMENTAL STORE PVT. LTD."/>
    <s v="Blends"/>
    <x v="42"/>
    <n v="0.25"/>
    <n v="30"/>
    <n v="86.73"/>
    <n v="2601.9"/>
    <n v="0"/>
    <n v="-130.094956"/>
    <n v="321.334656"/>
    <n v="2793.1397000000002"/>
  </r>
  <r>
    <x v="71"/>
    <x v="6"/>
    <s v="Q3"/>
    <x v="0"/>
    <s v="KEPL/00900/82-83"/>
    <s v="BHAT BHATENI SUPERMARKET &amp; DEPARTMENTAL STORE PVT. LTD."/>
    <s v="Blends"/>
    <x v="41"/>
    <n v="0.17"/>
    <n v="20"/>
    <n v="145.58000000000001"/>
    <n v="2911.6"/>
    <n v="0"/>
    <n v="-145.57995099999999"/>
    <n v="359.582606"/>
    <n v="3125.6026550000001"/>
  </r>
  <r>
    <x v="71"/>
    <x v="6"/>
    <s v="Q3"/>
    <x v="0"/>
    <s v="KEPL/00900/82-83"/>
    <s v="BHAT BHATENI SUPERMARKET &amp; DEPARTMENTAL STORE PVT. LTD."/>
    <s v="Blends"/>
    <x v="11"/>
    <n v="0.11"/>
    <n v="20"/>
    <n v="56.99"/>
    <n v="1139.8"/>
    <n v="0"/>
    <n v="-56.989980999999993"/>
    <n v="140.76530300000002"/>
    <n v="1223.5753219999999"/>
  </r>
  <r>
    <x v="71"/>
    <x v="6"/>
    <s v="Q3"/>
    <x v="0"/>
    <s v="KEPL/00900/82-83"/>
    <s v="BHAT BHATENI SUPERMARKET &amp; DEPARTMENTAL STORE PVT. LTD."/>
    <s v="Straight Premium"/>
    <x v="5"/>
    <n v="0.17"/>
    <n v="30"/>
    <n v="74.34"/>
    <n v="2230.1999999999998"/>
    <n v="0"/>
    <n v="-111.50996199999999"/>
    <n v="275.42970500000001"/>
    <n v="2394.1197430000002"/>
  </r>
  <r>
    <x v="71"/>
    <x v="6"/>
    <s v="Q3"/>
    <x v="0"/>
    <s v="KEPL/00900/82-83"/>
    <s v="BHAT BHATENI SUPERMARKET &amp; DEPARTMENTAL STORE PVT. LTD."/>
    <s v="Blends"/>
    <x v="19"/>
    <n v="0.17"/>
    <n v="30"/>
    <n v="142.47999999999999"/>
    <n v="4274.3999999999996"/>
    <n v="0"/>
    <n v="-213.71992800000001"/>
    <n v="527.88840900000002"/>
    <n v="4588.5684810000002"/>
  </r>
  <r>
    <x v="71"/>
    <x v="6"/>
    <s v="Q3"/>
    <x v="0"/>
    <s v="KEPL/00900/82-83"/>
    <s v="BHAT BHATENI SUPERMARKET &amp; DEPARTMENTAL STORE PVT. LTD."/>
    <s v="Blends"/>
    <x v="9"/>
    <n v="0.17"/>
    <n v="30"/>
    <n v="65.040000000000006"/>
    <n v="1951.2"/>
    <n v="0"/>
    <n v="-97.559967"/>
    <n v="240.97320399999998"/>
    <n v="2094.613237"/>
  </r>
  <r>
    <x v="71"/>
    <x v="6"/>
    <s v="Q3"/>
    <x v="0"/>
    <s v="KEPL/00900/82-83"/>
    <s v="BHAT BHATENI SUPERMARKET &amp; DEPARTMENTAL STORE PVT. LTD."/>
    <s v="Cooking Paste"/>
    <x v="30"/>
    <n v="0.5"/>
    <n v="30"/>
    <n v="89.82"/>
    <n v="2694.6"/>
    <n v="0"/>
    <n v="-134.72995500000002"/>
    <n v="332.78310599999998"/>
    <n v="2892.653151"/>
  </r>
  <r>
    <x v="71"/>
    <x v="6"/>
    <s v="Q3"/>
    <x v="0"/>
    <s v="KEPL/00900/82-83"/>
    <s v="BHAT BHATENI SUPERMARKET &amp; DEPARTMENTAL STORE PVT. LTD."/>
    <s v="Straight Premium"/>
    <x v="22"/>
    <n v="0.75"/>
    <n v="30"/>
    <n v="260.18"/>
    <n v="7805.4000000000005"/>
    <n v="0"/>
    <n v="-390.26986800000003"/>
    <n v="963.96691700000008"/>
    <n v="8379.097049"/>
  </r>
  <r>
    <x v="71"/>
    <x v="6"/>
    <s v="Q3"/>
    <x v="0"/>
    <s v="KEPL/00900/82-83"/>
    <s v="BHAT BHATENI SUPERMARKET &amp; DEPARTMENTAL STORE PVT. LTD."/>
    <s v="Blends"/>
    <x v="16"/>
    <n v="0.25"/>
    <n v="30"/>
    <n v="108.41"/>
    <n v="3252.3"/>
    <n v="0"/>
    <n v="-162.61494500000001"/>
    <n v="401.65905700000002"/>
    <n v="3491.3441120000002"/>
  </r>
  <r>
    <x v="71"/>
    <x v="6"/>
    <s v="Q3"/>
    <x v="0"/>
    <s v="KEPL/00900/82-83"/>
    <s v="BHAT BHATENI SUPERMARKET &amp; DEPARTMENTAL STORE PVT. LTD."/>
    <s v="Blends"/>
    <x v="48"/>
    <n v="0.11"/>
    <n v="20"/>
    <n v="74.34"/>
    <n v="1486.8"/>
    <n v="0"/>
    <n v="-74.33997500000001"/>
    <n v="183.61980299999999"/>
    <n v="1596.0798279999999"/>
  </r>
  <r>
    <x v="71"/>
    <x v="6"/>
    <s v="Q3"/>
    <x v="0"/>
    <s v="KEPL/00900/82-83"/>
    <s v="BHAT BHATENI SUPERMARKET &amp; DEPARTMENTAL STORE PVT. LTD."/>
    <s v="Straight Pouch"/>
    <x v="1"/>
    <n v="0.2"/>
    <n v="20"/>
    <n v="99.12"/>
    <n v="1982.4"/>
    <n v="0"/>
    <n v="-99.119967000000003"/>
    <n v="244.826404"/>
    <n v="2128.1064369999999"/>
  </r>
  <r>
    <x v="71"/>
    <x v="6"/>
    <s v="Q3"/>
    <x v="0"/>
    <s v="KEPL/00900/82-83"/>
    <s v="BHAT BHATENI SUPERMARKET &amp; DEPARTMENTAL STORE PVT. LTD."/>
    <s v="Straight Premium"/>
    <x v="8"/>
    <n v="0.17"/>
    <n v="20"/>
    <n v="46.46"/>
    <n v="929.2"/>
    <n v="0"/>
    <n v="-46.459983999999999"/>
    <n v="114.75620199999999"/>
    <n v="997.496218"/>
  </r>
  <r>
    <x v="71"/>
    <x v="6"/>
    <s v="Q3"/>
    <x v="0"/>
    <s v="KEPL/00900/82-83"/>
    <s v="BHAT BHATENI SUPERMARKET &amp; DEPARTMENTAL STORE PVT. LTD."/>
    <s v="Straight Premium"/>
    <x v="28"/>
    <n v="0.25"/>
    <n v="20"/>
    <n v="154.87"/>
    <n v="3097.4"/>
    <n v="0"/>
    <n v="-154.86994800000002"/>
    <n v="382.528907"/>
    <n v="3325.058959"/>
  </r>
  <r>
    <x v="71"/>
    <x v="6"/>
    <s v="Q3"/>
    <x v="0"/>
    <s v="KEPL/00900/82-83"/>
    <s v="BHAT BHATENI SUPERMARKET &amp; DEPARTMENTAL STORE PVT. LTD."/>
    <s v="Blends"/>
    <x v="20"/>
    <n v="0.25"/>
    <n v="30"/>
    <n v="108.41"/>
    <n v="3252.3"/>
    <n v="0"/>
    <n v="-162.61494500000001"/>
    <n v="401.65905700000002"/>
    <n v="3491.3441120000002"/>
  </r>
  <r>
    <x v="71"/>
    <x v="6"/>
    <s v="Q3"/>
    <x v="0"/>
    <s v="KEPL/00900/82-83"/>
    <s v="BHAT BHATENI SUPERMARKET &amp; DEPARTMENTAL STORE PVT. LTD."/>
    <s v="Straight Premium"/>
    <x v="23"/>
    <n v="0.17"/>
    <n v="30"/>
    <n v="145.58000000000001"/>
    <n v="4367.3999999999996"/>
    <n v="0"/>
    <n v="-218.36992600000002"/>
    <n v="539.37391000000002"/>
    <n v="4688.4039839999996"/>
  </r>
  <r>
    <x v="72"/>
    <x v="6"/>
    <s v="Q3"/>
    <x v="0"/>
    <s v="KEPL/00922/82-83"/>
    <s v="BHAT BHATENI SUPERMARKET &amp; DEPARTMENTAL STORE PVT. LTD."/>
    <s v="Hing"/>
    <x v="50"/>
    <n v="0.3"/>
    <n v="60"/>
    <n v="117.7"/>
    <n v="7062.0000000000009"/>
    <n v="0"/>
    <n v="-353.1"/>
    <n v="872.15548000000001"/>
    <n v="7581.05548"/>
  </r>
  <r>
    <x v="72"/>
    <x v="6"/>
    <s v="Q3"/>
    <x v="0"/>
    <s v="KEPL/00922/82-83"/>
    <s v="BHAT BHATENI SUPERMARKET &amp; DEPARTMENTAL STORE PVT. LTD."/>
    <s v="Hing"/>
    <x v="49"/>
    <n v="0.25"/>
    <n v="30"/>
    <n v="229.2"/>
    <n v="6876"/>
    <n v="0"/>
    <n v="-343.8"/>
    <n v="849.18452000000002"/>
    <n v="7381.3845199999996"/>
  </r>
  <r>
    <x v="72"/>
    <x v="6"/>
    <s v="Q3"/>
    <x v="0"/>
    <s v="KEPL/00923/82-83"/>
    <s v="BHAT BHATENI SUPERMARKET &amp; DEPARTMENTAL STORE PVT. LTD."/>
    <s v="Hing"/>
    <x v="49"/>
    <n v="0.25"/>
    <n v="30"/>
    <n v="229.2"/>
    <n v="6876"/>
    <n v="0"/>
    <n v="-343.8"/>
    <n v="849.18452000000002"/>
    <n v="7381.3845199999996"/>
  </r>
  <r>
    <x v="72"/>
    <x v="6"/>
    <s v="Q3"/>
    <x v="0"/>
    <s v="KEPL/00923/82-83"/>
    <s v="BHAT BHATENI SUPERMARKET &amp; DEPARTMENTAL STORE PVT. LTD."/>
    <s v="Hing"/>
    <x v="50"/>
    <n v="0.3"/>
    <n v="60"/>
    <n v="117.7"/>
    <n v="7062.0000000000009"/>
    <n v="0"/>
    <n v="-353.1"/>
    <n v="872.15548000000001"/>
    <n v="7581.05548"/>
  </r>
  <r>
    <x v="73"/>
    <x v="6"/>
    <s v="Q3"/>
    <x v="0"/>
    <s v="KEPL/00926/82-83"/>
    <s v="BHAT BHATENI SUPERMARKET &amp; DEPARTMENTAL STORE PVT. LTD."/>
    <s v="Sprinkler"/>
    <x v="31"/>
    <n v="1"/>
    <n v="72"/>
    <n v="136.28"/>
    <n v="9812.16"/>
    <n v="0"/>
    <n v="-490.60776699999997"/>
    <n v="1211.80179"/>
    <n v="10533.354023"/>
  </r>
  <r>
    <x v="73"/>
    <x v="6"/>
    <s v="Q3"/>
    <x v="0"/>
    <s v="KEPL/00926/82-83"/>
    <s v="BHAT BHATENI SUPERMARKET &amp; DEPARTMENTAL STORE PVT. LTD."/>
    <s v="Blends"/>
    <x v="36"/>
    <n v="0.5"/>
    <n v="40"/>
    <n v="142.47999999999999"/>
    <n v="5699.2"/>
    <n v="0"/>
    <n v="-284.95986499999998"/>
    <n v="703.85121800000002"/>
    <n v="6118.0913529999998"/>
  </r>
  <r>
    <x v="73"/>
    <x v="6"/>
    <s v="Q3"/>
    <x v="0"/>
    <s v="KEPL/00926/82-83"/>
    <s v="BHAT BHATENI SUPERMARKET &amp; DEPARTMENTAL STORE PVT. LTD."/>
    <s v="Blends"/>
    <x v="21"/>
    <n v="0.5"/>
    <n v="40"/>
    <n v="170.35"/>
    <n v="6814.0000000000009"/>
    <n v="0"/>
    <n v="-340.699838"/>
    <n v="841.52902099999994"/>
    <n v="7314.8291829999998"/>
  </r>
  <r>
    <x v="73"/>
    <x v="6"/>
    <s v="Q3"/>
    <x v="0"/>
    <s v="KEPL/00926/82-83"/>
    <s v="BHAT BHATENI SUPERMARKET &amp; DEPARTMENTAL STORE PVT. LTD."/>
    <s v="Straight Premium"/>
    <x v="24"/>
    <n v="1"/>
    <n v="40"/>
    <n v="402.65"/>
    <n v="16106"/>
    <n v="0"/>
    <n v="-805.29961800000001"/>
    <n v="1989.09105"/>
    <n v="17289.791432000002"/>
  </r>
  <r>
    <x v="73"/>
    <x v="6"/>
    <s v="Q3"/>
    <x v="0"/>
    <s v="KEPL/00926/82-83"/>
    <s v="BHAT BHATENI SUPERMARKET &amp; DEPARTMENTAL STORE PVT. LTD."/>
    <s v="Straight Pouch"/>
    <x v="3"/>
    <n v="1"/>
    <n v="40"/>
    <n v="360.53"/>
    <n v="14421.199999999999"/>
    <n v="0"/>
    <n v="-721.05965800000001"/>
    <n v="1781.0182440000001"/>
    <n v="15481.158586"/>
  </r>
  <r>
    <x v="73"/>
    <x v="6"/>
    <s v="Q3"/>
    <x v="0"/>
    <s v="KEPL/00926/82-83"/>
    <s v="BHAT BHATENI SUPERMARKET &amp; DEPARTMENTAL STORE PVT. LTD."/>
    <s v="Blends"/>
    <x v="40"/>
    <n v="0.5"/>
    <n v="60"/>
    <n v="71.239999999999995"/>
    <n v="4274.3999999999996"/>
    <n v="0"/>
    <n v="-213.719899"/>
    <n v="527.88841300000001"/>
    <n v="4588.5685139999996"/>
  </r>
  <r>
    <x v="73"/>
    <x v="6"/>
    <s v="Q3"/>
    <x v="0"/>
    <s v="KEPL/00926/82-83"/>
    <s v="BHAT BHATENI SUPERMARKET &amp; DEPARTMENTAL STORE PVT. LTD."/>
    <s v="Hing"/>
    <x v="49"/>
    <n v="0.5"/>
    <n v="60"/>
    <n v="229.2"/>
    <n v="13752"/>
    <n v="0"/>
    <n v="-687.59967400000005"/>
    <n v="1698.3720420000002"/>
    <n v="14762.772368"/>
  </r>
  <r>
    <x v="73"/>
    <x v="6"/>
    <s v="Q3"/>
    <x v="0"/>
    <s v="KEPL/00926/82-83"/>
    <s v="BHAT BHATENI SUPERMARKET &amp; DEPARTMENTAL STORE PVT. LTD."/>
    <s v="Straight Premium"/>
    <x v="34"/>
    <n v="0.5"/>
    <n v="40"/>
    <n v="210.62"/>
    <n v="8424.7999999999993"/>
    <n v="0"/>
    <n v="-421.23980000000006"/>
    <n v="1040.4628259999999"/>
    <n v="9044.0230260000008"/>
  </r>
  <r>
    <x v="73"/>
    <x v="6"/>
    <s v="Q3"/>
    <x v="0"/>
    <s v="KEPL/00926/82-83"/>
    <s v="BHAT BHATENI SUPERMARKET &amp; DEPARTMENTAL STORE PVT. LTD."/>
    <s v="Hing"/>
    <x v="51"/>
    <n v="0.5"/>
    <n v="30"/>
    <n v="446.02"/>
    <n v="13380.599999999999"/>
    <n v="0"/>
    <n v="-669.02968299999998"/>
    <n v="1652.5041409999999"/>
    <n v="14364.074457999999"/>
  </r>
  <r>
    <x v="73"/>
    <x v="6"/>
    <s v="Q3"/>
    <x v="0"/>
    <s v="KEPL/00926/82-83"/>
    <s v="BHAT BHATENI SUPERMARKET &amp; DEPARTMENTAL STORE PVT. LTD."/>
    <s v="Blends"/>
    <x v="45"/>
    <n v="0.5"/>
    <n v="40"/>
    <n v="130.09"/>
    <n v="5203.5999999999995"/>
    <n v="0"/>
    <n v="-260.17987700000003"/>
    <n v="642.64461599999993"/>
    <n v="5586.0647390000004"/>
  </r>
  <r>
    <x v="73"/>
    <x v="6"/>
    <s v="Q3"/>
    <x v="0"/>
    <s v="KEPL/00926/82-83"/>
    <s v="BHAT BHATENI SUPERMARKET &amp; DEPARTMENTAL STORE PVT. LTD."/>
    <s v="Hing"/>
    <x v="50"/>
    <n v="0.5"/>
    <n v="100"/>
    <n v="117.7"/>
    <n v="11770"/>
    <n v="0"/>
    <n v="-588.49972100000002"/>
    <n v="1453.5950359999999"/>
    <n v="12635.095315"/>
  </r>
  <r>
    <x v="73"/>
    <x v="6"/>
    <s v="Q3"/>
    <x v="0"/>
    <s v="KEPL/00926/82-83"/>
    <s v="BHAT BHATENI SUPERMARKET &amp; DEPARTMENTAL STORE PVT. LTD."/>
    <s v="Blends"/>
    <x v="35"/>
    <n v="0.5"/>
    <n v="40"/>
    <n v="154.87"/>
    <n v="6194.8"/>
    <n v="0"/>
    <n v="-309.73985300000004"/>
    <n v="765.05781899999999"/>
    <n v="6650.1179659999998"/>
  </r>
  <r>
    <x v="73"/>
    <x v="6"/>
    <s v="Q3"/>
    <x v="0"/>
    <s v="KEPL/00926/82-83"/>
    <s v="BHAT BHATENI SUPERMARKET &amp; DEPARTMENTAL STORE PVT. LTD."/>
    <s v="Straight Pouch"/>
    <x v="6"/>
    <n v="0.5"/>
    <n v="50"/>
    <n v="148.66999999999999"/>
    <n v="7433.5"/>
    <n v="0"/>
    <n v="-371.67482399999994"/>
    <n v="918.03727299999991"/>
    <n v="7979.8624490000002"/>
  </r>
  <r>
    <x v="73"/>
    <x v="6"/>
    <s v="Q3"/>
    <x v="0"/>
    <s v="KEPL/00926/82-83"/>
    <s v="BHAT BHATENI SUPERMARKET &amp; DEPARTMENTAL STORE PVT. LTD."/>
    <s v="Cooking Paste"/>
    <x v="29"/>
    <n v="0.5"/>
    <n v="60"/>
    <n v="52.65"/>
    <n v="3159.0000000000005"/>
    <n v="0"/>
    <n v="-157.94992500000001"/>
    <n v="390.13650999999999"/>
    <n v="3391.1865849999999"/>
  </r>
  <r>
    <x v="73"/>
    <x v="6"/>
    <s v="Q3"/>
    <x v="0"/>
    <s v="KEPL/00927/82-83"/>
    <s v="BHAT BHATENI SUPERMARKET &amp; DEPARTMENTAL STORE PVT. LTD."/>
    <s v="Sprinkler"/>
    <x v="25"/>
    <n v="1"/>
    <n v="48"/>
    <n v="284.95999999999998"/>
    <n v="13678.08"/>
    <n v="0"/>
    <n v="-683.90353399999992"/>
    <n v="1689.2428239999999"/>
    <n v="14683.41929"/>
  </r>
  <r>
    <x v="73"/>
    <x v="6"/>
    <s v="Q3"/>
    <x v="0"/>
    <s v="KEPL/00927/82-83"/>
    <s v="BHAT BHATENI SUPERMARKET &amp; DEPARTMENTAL STORE PVT. LTD."/>
    <s v="Straight Premium"/>
    <x v="7"/>
    <n v="0.5"/>
    <n v="60"/>
    <n v="136.28"/>
    <n v="8176.8"/>
    <n v="0"/>
    <n v="-408.83972100000005"/>
    <n v="1009.8347670000001"/>
    <n v="8777.7950459999993"/>
  </r>
  <r>
    <x v="73"/>
    <x v="6"/>
    <s v="Q3"/>
    <x v="0"/>
    <s v="KEPL/00927/82-83"/>
    <s v="BHAT BHATENI SUPERMARKET &amp; DEPARTMENTAL STORE PVT. LTD."/>
    <s v="Cooking Paste"/>
    <x v="30"/>
    <n v="1"/>
    <n v="60"/>
    <n v="89.82"/>
    <n v="5389.2"/>
    <n v="0"/>
    <n v="-269.45981599999999"/>
    <n v="665.56617800000004"/>
    <n v="5785.3063620000003"/>
  </r>
  <r>
    <x v="73"/>
    <x v="6"/>
    <s v="Q3"/>
    <x v="0"/>
    <s v="KEPL/00927/82-83"/>
    <s v="BHAT BHATENI SUPERMARKET &amp; DEPARTMENTAL STORE PVT. LTD."/>
    <s v="Straight Premium"/>
    <x v="8"/>
    <n v="0.5"/>
    <n v="60"/>
    <n v="46.46"/>
    <n v="2787.6"/>
    <n v="0"/>
    <n v="-139.37990500000001"/>
    <n v="344.26858900000002"/>
    <n v="2992.4886839999999"/>
  </r>
  <r>
    <x v="73"/>
    <x v="6"/>
    <s v="Q3"/>
    <x v="0"/>
    <s v="KEPL/00927/82-83"/>
    <s v="BHAT BHATENI SUPERMARKET &amp; DEPARTMENTAL STORE PVT. LTD."/>
    <s v="Straight Premium"/>
    <x v="28"/>
    <n v="0.5"/>
    <n v="40"/>
    <n v="154.87"/>
    <n v="6194.8"/>
    <n v="0"/>
    <n v="-309.73978900000003"/>
    <n v="765.05777499999999"/>
    <n v="6650.1179860000002"/>
  </r>
  <r>
    <x v="73"/>
    <x v="6"/>
    <s v="Q3"/>
    <x v="0"/>
    <s v="KEPL/00927/82-83"/>
    <s v="BHAT BHATENI SUPERMARKET &amp; DEPARTMENTAL STORE PVT. LTD."/>
    <s v="Blends"/>
    <x v="41"/>
    <n v="0.5"/>
    <n v="60"/>
    <n v="145.58000000000001"/>
    <n v="8734.7999999999993"/>
    <n v="0"/>
    <n v="-436.73970199999997"/>
    <n v="1078.747764"/>
    <n v="9376.8080620000001"/>
  </r>
  <r>
    <x v="73"/>
    <x v="6"/>
    <s v="Q3"/>
    <x v="0"/>
    <s v="KEPL/00927/82-83"/>
    <s v="BHAT BHATENI SUPERMARKET &amp; DEPARTMENTAL STORE PVT. LTD."/>
    <s v="Straight Pouch"/>
    <x v="4"/>
    <n v="1"/>
    <n v="40"/>
    <n v="238.5"/>
    <n v="9539.9999999999982"/>
    <n v="0"/>
    <n v="-476.99967500000002"/>
    <n v="1178.189961"/>
    <n v="10241.190285999999"/>
  </r>
  <r>
    <x v="73"/>
    <x v="6"/>
    <s v="Q3"/>
    <x v="0"/>
    <s v="KEPL/00927/82-83"/>
    <s v="BHAT BHATENI SUPERMARKET &amp; DEPARTMENTAL STORE PVT. LTD."/>
    <s v="Blends"/>
    <x v="32"/>
    <n v="0.5"/>
    <n v="60"/>
    <n v="58.85"/>
    <n v="3531.0000000000005"/>
    <n v="0"/>
    <n v="-176.54988"/>
    <n v="436.078486"/>
    <n v="3790.5286059999999"/>
  </r>
  <r>
    <x v="73"/>
    <x v="6"/>
    <s v="Q3"/>
    <x v="0"/>
    <s v="KEPL/00927/82-83"/>
    <s v="BHAT BHATENI SUPERMARKET &amp; DEPARTMENTAL STORE PVT. LTD."/>
    <s v="Blends"/>
    <x v="42"/>
    <n v="0.33"/>
    <n v="40"/>
    <n v="86.73"/>
    <n v="3469.2"/>
    <n v="0"/>
    <n v="-173.45988199999999"/>
    <n v="428.44618600000001"/>
    <n v="3724.1863039999998"/>
  </r>
  <r>
    <x v="73"/>
    <x v="6"/>
    <s v="Q3"/>
    <x v="0"/>
    <s v="KEPL/00927/82-83"/>
    <s v="BHAT BHATENI SUPERMARKET &amp; DEPARTMENTAL STORE PVT. LTD."/>
    <s v="Blends"/>
    <x v="48"/>
    <n v="0.5"/>
    <n v="90"/>
    <n v="74.34"/>
    <n v="6690.5999999999995"/>
    <n v="0"/>
    <n v="-334.52977200000004"/>
    <n v="826.28907300000003"/>
    <n v="7182.3593010000004"/>
  </r>
  <r>
    <x v="73"/>
    <x v="6"/>
    <s v="Q3"/>
    <x v="0"/>
    <s v="KEPL/00927/82-83"/>
    <s v="BHAT BHATENI SUPERMARKET &amp; DEPARTMENTAL STORE PVT. LTD."/>
    <s v="Straight Premium"/>
    <x v="22"/>
    <n v="1"/>
    <n v="40"/>
    <n v="260.18"/>
    <n v="10407.199999999999"/>
    <n v="0"/>
    <n v="-520.359646"/>
    <n v="1285.2891569999999"/>
    <n v="11172.129510999999"/>
  </r>
  <r>
    <x v="73"/>
    <x v="6"/>
    <s v="Q3"/>
    <x v="0"/>
    <s v="KEPL/00927/82-83"/>
    <s v="BHAT BHATENI SUPERMARKET &amp; DEPARTMENTAL STORE PVT. LTD."/>
    <s v="Sprinkler"/>
    <x v="26"/>
    <n v="1"/>
    <n v="72"/>
    <n v="120.8"/>
    <n v="8697.6"/>
    <n v="0"/>
    <n v="-434.87970400000006"/>
    <n v="1074.153564"/>
    <n v="9336.8738599999997"/>
  </r>
  <r>
    <x v="73"/>
    <x v="6"/>
    <s v="Q3"/>
    <x v="0"/>
    <s v="KEPL/00927/82-83"/>
    <s v="BHAT BHATENI SUPERMARKET &amp; DEPARTMENTAL STORE PVT. LTD."/>
    <s v="Straight Premium"/>
    <x v="33"/>
    <n v="0.5"/>
    <n v="90"/>
    <n v="83.63"/>
    <n v="7526.7"/>
    <n v="0"/>
    <n v="-376.33474400000006"/>
    <n v="929.54741899999999"/>
    <n v="8079.9126749999996"/>
  </r>
  <r>
    <x v="73"/>
    <x v="6"/>
    <s v="Q3"/>
    <x v="0"/>
    <s v="KEPL/00927/82-83"/>
    <s v="BHAT BHATENI SUPERMARKET &amp; DEPARTMENTAL STORE PVT. LTD."/>
    <s v="Sprinkler"/>
    <x v="47"/>
    <n v="0.5"/>
    <n v="50"/>
    <n v="65.040000000000006"/>
    <n v="3252"/>
    <n v="0"/>
    <n v="-162.59988899999999"/>
    <n v="401.62198699999999"/>
    <n v="3491.0220979999999"/>
  </r>
  <r>
    <x v="73"/>
    <x v="6"/>
    <s v="Q3"/>
    <x v="0"/>
    <s v="KEPL/00927/82-83"/>
    <s v="BHAT BHATENI SUPERMARKET &amp; DEPARTMENTAL STORE PVT. LTD."/>
    <s v="Blends"/>
    <x v="18"/>
    <n v="0.5"/>
    <n v="60"/>
    <n v="130.09"/>
    <n v="7805.4000000000005"/>
    <n v="0"/>
    <n v="-390.26973399999997"/>
    <n v="963.96686800000009"/>
    <n v="8379.0971339999996"/>
  </r>
  <r>
    <x v="73"/>
    <x v="6"/>
    <s v="Q3"/>
    <x v="0"/>
    <s v="KEPL/00927/82-83"/>
    <s v="BHAT BHATENI SUPERMARKET &amp; DEPARTMENTAL STORE PVT. LTD."/>
    <s v="Blends"/>
    <x v="39"/>
    <n v="0.5"/>
    <n v="90"/>
    <n v="76.81"/>
    <n v="6912.9000000000005"/>
    <n v="0"/>
    <n v="-345.64476500000001"/>
    <n v="853.74312200000008"/>
    <n v="7420.9983570000004"/>
  </r>
  <r>
    <x v="73"/>
    <x v="6"/>
    <s v="Q3"/>
    <x v="0"/>
    <s v="KEPL/00927/82-83"/>
    <s v="BHAT BHATENI SUPERMARKET &amp; DEPARTMENTAL STORE PVT. LTD."/>
    <s v="Blends"/>
    <x v="38"/>
    <n v="0.5"/>
    <n v="60"/>
    <n v="77.430000000000007"/>
    <n v="4645.8"/>
    <n v="0"/>
    <n v="-232.28984199999999"/>
    <n v="573.75628100000006"/>
    <n v="4987.266439"/>
  </r>
  <r>
    <x v="73"/>
    <x v="6"/>
    <s v="Q3"/>
    <x v="0"/>
    <s v="KEPL/00928/82-83"/>
    <s v="BHAT BHATENI SUPERMARKET &amp; DEPARTMENTAL STORE PVT. LTD."/>
    <s v="Blends"/>
    <x v="15"/>
    <n v="0.17"/>
    <n v="30"/>
    <n v="105.31"/>
    <n v="3159.2999999999997"/>
    <n v="0"/>
    <n v="-157.964913"/>
    <n v="390.17361"/>
    <n v="3391.5086970000002"/>
  </r>
  <r>
    <x v="73"/>
    <x v="6"/>
    <s v="Q3"/>
    <x v="0"/>
    <s v="KEPL/00928/82-83"/>
    <s v="BHAT BHATENI SUPERMARKET &amp; DEPARTMENTAL STORE PVT. LTD."/>
    <s v="Blends"/>
    <x v="45"/>
    <n v="0.38"/>
    <n v="30"/>
    <n v="130.09"/>
    <n v="3902.7000000000003"/>
    <n v="0"/>
    <n v="-195.13489200000001"/>
    <n v="481.98352399999999"/>
    <n v="4189.548632"/>
  </r>
  <r>
    <x v="73"/>
    <x v="6"/>
    <s v="Q3"/>
    <x v="0"/>
    <s v="KEPL/00928/82-83"/>
    <s v="BHAT BHATENI SUPERMARKET &amp; DEPARTMENTAL STORE PVT. LTD."/>
    <s v="Straight Premium"/>
    <x v="8"/>
    <n v="0.25"/>
    <n v="30"/>
    <n v="46.46"/>
    <n v="1393.8"/>
    <n v="0"/>
    <n v="-69.689960999999997"/>
    <n v="172.13432700000001"/>
    <n v="1496.2443659999999"/>
  </r>
  <r>
    <x v="73"/>
    <x v="6"/>
    <s v="Q3"/>
    <x v="0"/>
    <s v="KEPL/00928/82-83"/>
    <s v="BHAT BHATENI SUPERMARKET &amp; DEPARTMENTAL STORE PVT. LTD."/>
    <s v="Blends"/>
    <x v="40"/>
    <n v="0.25"/>
    <n v="30"/>
    <n v="71.239999999999995"/>
    <n v="2137.1999999999998"/>
    <n v="0"/>
    <n v="-106.85994099999999"/>
    <n v="263.94424099999998"/>
    <n v="2294.2842999999998"/>
  </r>
  <r>
    <x v="73"/>
    <x v="6"/>
    <s v="Q3"/>
    <x v="0"/>
    <s v="KEPL/00928/82-83"/>
    <s v="BHAT BHATENI SUPERMARKET &amp; DEPARTMENTAL STORE PVT. LTD."/>
    <s v="Blends"/>
    <x v="35"/>
    <n v="0.38"/>
    <n v="30"/>
    <n v="154.87"/>
    <n v="4646.0999999999995"/>
    <n v="0"/>
    <n v="-232.30487199999999"/>
    <n v="573.79343900000003"/>
    <n v="4987.5885669999998"/>
  </r>
  <r>
    <x v="73"/>
    <x v="6"/>
    <s v="Q3"/>
    <x v="0"/>
    <s v="KEPL/00928/82-83"/>
    <s v="BHAT BHATENI SUPERMARKET &amp; DEPARTMENTAL STORE PVT. LTD."/>
    <s v="Straight Pouch"/>
    <x v="6"/>
    <n v="0.6"/>
    <n v="60"/>
    <n v="148.66999999999999"/>
    <n v="8920.1999999999989"/>
    <n v="0"/>
    <n v="-446.00975400000004"/>
    <n v="1101.6448700000001"/>
    <n v="9575.8351160000002"/>
  </r>
  <r>
    <x v="73"/>
    <x v="6"/>
    <s v="Q3"/>
    <x v="0"/>
    <s v="KEPL/00928/82-83"/>
    <s v="BHAT BHATENI SUPERMARKET &amp; DEPARTMENTAL STORE PVT. LTD."/>
    <s v="Straight Premium"/>
    <x v="24"/>
    <n v="0.75"/>
    <n v="30"/>
    <n v="402.65"/>
    <n v="12079.499999999998"/>
    <n v="0"/>
    <n v="-603.97466599999996"/>
    <n v="1491.8184800000001"/>
    <n v="12967.343814"/>
  </r>
  <r>
    <x v="73"/>
    <x v="6"/>
    <s v="Q3"/>
    <x v="0"/>
    <s v="KEPL/00928/82-83"/>
    <s v="BHAT BHATENI SUPERMARKET &amp; DEPARTMENTAL STORE PVT. LTD."/>
    <s v="Cooking Paste"/>
    <x v="29"/>
    <n v="0.31"/>
    <n v="37"/>
    <n v="52.65"/>
    <n v="1948.05"/>
    <n v="0"/>
    <n v="-97.402446000000012"/>
    <n v="240.58421199999998"/>
    <n v="2091.2317659999999"/>
  </r>
  <r>
    <x v="73"/>
    <x v="6"/>
    <s v="Q3"/>
    <x v="0"/>
    <s v="KEPL/00928/82-83"/>
    <s v="BHAT BHATENI SUPERMARKET &amp; DEPARTMENTAL STORE PVT. LTD."/>
    <s v="Blends"/>
    <x v="17"/>
    <n v="0.22"/>
    <n v="40"/>
    <n v="108.41"/>
    <n v="4336.3999999999996"/>
    <n v="0"/>
    <n v="-216.81988000000001"/>
    <n v="535.54548299999999"/>
    <n v="4655.1256030000004"/>
  </r>
  <r>
    <x v="73"/>
    <x v="6"/>
    <s v="Q3"/>
    <x v="0"/>
    <s v="KEPL/00928/82-83"/>
    <s v="BHAT BHATENI SUPERMARKET &amp; DEPARTMENTAL STORE PVT. LTD."/>
    <s v="Blends"/>
    <x v="37"/>
    <n v="0.17"/>
    <n v="30"/>
    <n v="89.82"/>
    <n v="2694.6"/>
    <n v="0"/>
    <n v="-134.72992600000001"/>
    <n v="332.78315100000003"/>
    <n v="2892.653225"/>
  </r>
  <r>
    <x v="73"/>
    <x v="6"/>
    <s v="Q3"/>
    <x v="0"/>
    <s v="KEPL/00928/82-83"/>
    <s v="BHAT BHATENI SUPERMARKET &amp; DEPARTMENTAL STORE PVT. LTD."/>
    <s v="Blends"/>
    <x v="19"/>
    <n v="0.22"/>
    <n v="40"/>
    <n v="142.47999999999999"/>
    <n v="5699.2"/>
    <n v="0"/>
    <n v="-284.95984299999998"/>
    <n v="703.85130900000001"/>
    <n v="6118.0914659999999"/>
  </r>
  <r>
    <x v="73"/>
    <x v="6"/>
    <s v="Q3"/>
    <x v="0"/>
    <s v="KEPL/00928/82-83"/>
    <s v="BHAT BHATENI SUPERMARKET &amp; DEPARTMENTAL STORE PVT. LTD."/>
    <s v="Blends"/>
    <x v="36"/>
    <n v="0.5"/>
    <n v="40"/>
    <n v="142.47999999999999"/>
    <n v="5699.2"/>
    <n v="0"/>
    <n v="-284.95984299999998"/>
    <n v="703.85130900000001"/>
    <n v="6118.0914659999999"/>
  </r>
  <r>
    <x v="73"/>
    <x v="6"/>
    <s v="Q3"/>
    <x v="0"/>
    <s v="KEPL/00928/82-83"/>
    <s v="BHAT BHATENI SUPERMARKET &amp; DEPARTMENTAL STORE PVT. LTD."/>
    <s v="Blends"/>
    <x v="48"/>
    <n v="0.17"/>
    <n v="30"/>
    <n v="74.34"/>
    <n v="2230.1999999999998"/>
    <n v="0"/>
    <n v="-111.50993799999999"/>
    <n v="275.42974300000003"/>
    <n v="2394.1198049999998"/>
  </r>
  <r>
    <x v="73"/>
    <x v="6"/>
    <s v="Q3"/>
    <x v="0"/>
    <s v="KEPL/00928/82-83"/>
    <s v="BHAT BHATENI SUPERMARKET &amp; DEPARTMENTAL STORE PVT. LTD."/>
    <s v="Blends"/>
    <x v="32"/>
    <n v="0.25"/>
    <n v="30"/>
    <n v="58.85"/>
    <n v="1765.5000000000002"/>
    <n v="0"/>
    <n v="-88.274951000000001"/>
    <n v="218.03928399999998"/>
    <n v="1895.2643330000001"/>
  </r>
  <r>
    <x v="73"/>
    <x v="6"/>
    <s v="Q3"/>
    <x v="0"/>
    <s v="KEPL/00928/82-83"/>
    <s v="BHAT BHATENI SUPERMARKET &amp; DEPARTMENTAL STORE PVT. LTD."/>
    <s v="Blends"/>
    <x v="21"/>
    <n v="0.5"/>
    <n v="40"/>
    <n v="170.35"/>
    <n v="6814.0000000000009"/>
    <n v="0"/>
    <n v="-340.69981200000001"/>
    <n v="841.52913000000001"/>
    <n v="7314.8293180000001"/>
  </r>
  <r>
    <x v="73"/>
    <x v="6"/>
    <s v="Q3"/>
    <x v="0"/>
    <s v="KEPL/00928/82-83"/>
    <s v="BHAT BHATENI SUPERMARKET &amp; DEPARTMENTAL STORE PVT. LTD."/>
    <s v="Blends"/>
    <x v="38"/>
    <n v="0.25"/>
    <n v="30"/>
    <n v="77.430000000000007"/>
    <n v="2322.9"/>
    <n v="0"/>
    <n v="-116.144936"/>
    <n v="286.87819400000001"/>
    <n v="2493.6332579999998"/>
  </r>
  <r>
    <x v="73"/>
    <x v="6"/>
    <s v="Q3"/>
    <x v="0"/>
    <s v="KEPL/00928/82-83"/>
    <s v="BHAT BHATENI SUPERMARKET &amp; DEPARTMENTAL STORE PVT. LTD."/>
    <s v="Straight Pouch"/>
    <x v="3"/>
    <n v="1"/>
    <n v="40"/>
    <n v="360.53"/>
    <n v="14421.199999999999"/>
    <n v="0"/>
    <n v="-721.05960200000004"/>
    <n v="1781.0184749999999"/>
    <n v="15481.158873"/>
  </r>
  <r>
    <x v="73"/>
    <x v="6"/>
    <s v="Q3"/>
    <x v="0"/>
    <s v="KEPL/00928/82-83"/>
    <s v="BHAT BHATENI SUPERMARKET &amp; DEPARTMENTAL STORE PVT. LTD."/>
    <s v="Straight Premium"/>
    <x v="34"/>
    <n v="0.38"/>
    <n v="30"/>
    <n v="210.62"/>
    <n v="6318.5999999999995"/>
    <n v="0"/>
    <n v="-315.92982499999999"/>
    <n v="780.34721999999999"/>
    <n v="6783.0173949999999"/>
  </r>
  <r>
    <x v="73"/>
    <x v="6"/>
    <s v="Q3"/>
    <x v="0"/>
    <s v="KEPL/00929/82-83"/>
    <s v="BHAT BHATENI SUPERMARKET &amp; DEPARTMENTAL STORE PVT. LTD."/>
    <s v="Blends"/>
    <x v="18"/>
    <n v="0.33"/>
    <n v="40"/>
    <n v="130.09"/>
    <n v="5203.5999999999995"/>
    <n v="0"/>
    <n v="-260.18012199999998"/>
    <n v="642.6448650000001"/>
    <n v="5586.0647429999999"/>
  </r>
  <r>
    <x v="73"/>
    <x v="6"/>
    <s v="Q3"/>
    <x v="0"/>
    <s v="KEPL/00929/82-83"/>
    <s v="BHAT BHATENI SUPERMARKET &amp; DEPARTMENTAL STORE PVT. LTD."/>
    <s v="Straight Premium"/>
    <x v="22"/>
    <n v="1"/>
    <n v="40"/>
    <n v="260.18"/>
    <n v="10407.199999999999"/>
    <n v="0"/>
    <n v="-520.36024399999997"/>
    <n v="1285.2897300000002"/>
    <n v="11172.129486"/>
  </r>
  <r>
    <x v="73"/>
    <x v="6"/>
    <s v="Q3"/>
    <x v="0"/>
    <s v="KEPL/00929/82-83"/>
    <s v="BHAT BHATENI SUPERMARKET &amp; DEPARTMENTAL STORE PVT. LTD."/>
    <s v="Blends"/>
    <x v="20"/>
    <n v="0.33"/>
    <n v="40"/>
    <n v="108.41"/>
    <n v="4336.3999999999996"/>
    <n v="0"/>
    <n v="-216.82010200000002"/>
    <n v="535.54562099999998"/>
    <n v="4655.1255190000002"/>
  </r>
  <r>
    <x v="73"/>
    <x v="6"/>
    <s v="Q3"/>
    <x v="0"/>
    <s v="KEPL/00929/82-83"/>
    <s v="BHAT BHATENI SUPERMARKET &amp; DEPARTMENTAL STORE PVT. LTD."/>
    <s v="Straight Pouch"/>
    <x v="1"/>
    <n v="0.3"/>
    <n v="30"/>
    <n v="99.12"/>
    <n v="2973.6"/>
    <n v="0"/>
    <n v="-148.68007"/>
    <n v="367.23975199999995"/>
    <n v="3192.159682"/>
  </r>
  <r>
    <x v="73"/>
    <x v="6"/>
    <s v="Q3"/>
    <x v="0"/>
    <s v="KEPL/00929/82-83"/>
    <s v="BHAT BHATENI SUPERMARKET &amp; DEPARTMENTAL STORE PVT. LTD."/>
    <s v="Straight Premium"/>
    <x v="33"/>
    <n v="0.22"/>
    <n v="40"/>
    <n v="83.63"/>
    <n v="3345.2"/>
    <n v="0"/>
    <n v="-167.26007899999999"/>
    <n v="413.13236999999998"/>
    <n v="3591.072291"/>
  </r>
  <r>
    <x v="73"/>
    <x v="6"/>
    <s v="Q3"/>
    <x v="0"/>
    <s v="KEPL/00929/82-83"/>
    <s v="BHAT BHATENI SUPERMARKET &amp; DEPARTMENTAL STORE PVT. LTD."/>
    <s v="Straight Premium"/>
    <x v="7"/>
    <n v="0.42"/>
    <n v="50"/>
    <n v="136.28"/>
    <n v="6814.0000000000009"/>
    <n v="0"/>
    <n v="-340.70015999999998"/>
    <n v="841.52934700000003"/>
    <n v="7314.8291870000003"/>
  </r>
  <r>
    <x v="73"/>
    <x v="6"/>
    <s v="Q3"/>
    <x v="0"/>
    <s v="KEPL/00929/82-83"/>
    <s v="BHAT BHATENI SUPERMARKET &amp; DEPARTMENTAL STORE PVT. LTD."/>
    <s v="Blends"/>
    <x v="41"/>
    <n v="0.33"/>
    <n v="40"/>
    <n v="145.58000000000001"/>
    <n v="5823.2"/>
    <n v="0"/>
    <n v="-291.16013700000002"/>
    <n v="719.16549699999996"/>
    <n v="6251.2053599999999"/>
  </r>
  <r>
    <x v="73"/>
    <x v="6"/>
    <s v="Q3"/>
    <x v="0"/>
    <s v="KEPL/00929/82-83"/>
    <s v="BHAT BHATENI SUPERMARKET &amp; DEPARTMENTAL STORE PVT. LTD."/>
    <s v="Straight Premium"/>
    <x v="23"/>
    <n v="0.33"/>
    <n v="60"/>
    <n v="145.58000000000001"/>
    <n v="8734.7999999999993"/>
    <n v="0"/>
    <n v="-436.740205"/>
    <n v="1078.748245"/>
    <n v="9376.8080399999999"/>
  </r>
  <r>
    <x v="73"/>
    <x v="6"/>
    <s v="Q3"/>
    <x v="0"/>
    <s v="KEPL/00929/82-83"/>
    <s v="BHAT BHATENI SUPERMARKET &amp; DEPARTMENTAL STORE PVT. LTD."/>
    <s v="Straight Pouch"/>
    <x v="4"/>
    <n v="0.5"/>
    <n v="20"/>
    <n v="238.5"/>
    <n v="4769.9999999999991"/>
    <n v="0"/>
    <n v="-238.500112"/>
    <n v="589.09524299999998"/>
    <n v="5120.595131"/>
  </r>
  <r>
    <x v="73"/>
    <x v="6"/>
    <s v="Q3"/>
    <x v="0"/>
    <s v="KEPL/00929/82-83"/>
    <s v="BHAT BHATENI SUPERMARKET &amp; DEPARTMENTAL STORE PVT. LTD."/>
    <s v="Blends"/>
    <x v="42"/>
    <n v="0.33"/>
    <n v="40"/>
    <n v="86.73"/>
    <n v="3469.2"/>
    <n v="0"/>
    <n v="-173.460081"/>
    <n v="428.44637700000004"/>
    <n v="3724.1862959999999"/>
  </r>
  <r>
    <x v="73"/>
    <x v="6"/>
    <s v="Q3"/>
    <x v="0"/>
    <s v="KEPL/00929/82-83"/>
    <s v="BHAT BHATENI SUPERMARKET &amp; DEPARTMENTAL STORE PVT. LTD."/>
    <s v="Blends"/>
    <x v="16"/>
    <n v="0.25"/>
    <n v="30"/>
    <n v="108.41"/>
    <n v="3252.3"/>
    <n v="0"/>
    <n v="-162.61507599999999"/>
    <n v="401.65921600000001"/>
    <n v="3491.3441400000002"/>
  </r>
  <r>
    <x v="73"/>
    <x v="6"/>
    <s v="Q3"/>
    <x v="0"/>
    <s v="KEPL/00929/82-83"/>
    <s v="BHAT BHATENI SUPERMARKET &amp; DEPARTMENTAL STORE PVT. LTD."/>
    <s v="Blends"/>
    <x v="14"/>
    <n v="0.22"/>
    <n v="40"/>
    <n v="123.89"/>
    <n v="4955.5999999999995"/>
    <n v="0"/>
    <n v="-247.78011599999999"/>
    <n v="612.01685299999997"/>
    <n v="5319.8367369999996"/>
  </r>
  <r>
    <x v="73"/>
    <x v="6"/>
    <s v="Q3"/>
    <x v="0"/>
    <s v="KEPL/00929/82-83"/>
    <s v="BHAT BHATENI SUPERMARKET &amp; DEPARTMENTAL STORE PVT. LTD."/>
    <s v="Blends"/>
    <x v="39"/>
    <n v="0.22"/>
    <n v="40"/>
    <n v="76.81"/>
    <n v="3072.4"/>
    <n v="0"/>
    <n v="-153.62007199999999"/>
    <n v="379.44155699999999"/>
    <n v="3298.221485"/>
  </r>
  <r>
    <x v="73"/>
    <x v="6"/>
    <s v="Q3"/>
    <x v="0"/>
    <s v="KEPL/00929/82-83"/>
    <s v="BHAT BHATENI SUPERMARKET &amp; DEPARTMENTAL STORE PVT. LTD."/>
    <s v="Straight Premium"/>
    <x v="28"/>
    <n v="0.63"/>
    <n v="50"/>
    <n v="154.87"/>
    <n v="7743.5"/>
    <n v="0"/>
    <n v="-387.17518200000001"/>
    <n v="956.32264499999997"/>
    <n v="8312.6474629999993"/>
  </r>
  <r>
    <x v="73"/>
    <x v="6"/>
    <s v="Q3"/>
    <x v="0"/>
    <s v="KEPL/00929/82-83"/>
    <s v="BHAT BHATENI SUPERMARKET &amp; DEPARTMENTAL STORE PVT. LTD."/>
    <s v="Sprinkler"/>
    <x v="25"/>
    <n v="0.75"/>
    <n v="36"/>
    <n v="284.95999999999998"/>
    <n v="10258.56"/>
    <n v="0"/>
    <n v="-512.92824099999996"/>
    <n v="1266.932683"/>
    <n v="11012.564442000001"/>
  </r>
  <r>
    <x v="73"/>
    <x v="6"/>
    <s v="Q3"/>
    <x v="0"/>
    <s v="KEPL/00954/82-83"/>
    <s v="BEERA BARJEE INTERNATIONAL PVT.LTD"/>
    <s v="Blends"/>
    <x v="41"/>
    <n v="1"/>
    <n v="120"/>
    <n v="158.86000000000001"/>
    <n v="19063.2"/>
    <n v="-1732.84"/>
    <n v="0"/>
    <n v="2252.9470710000001"/>
    <n v="19583.307070999999"/>
  </r>
  <r>
    <x v="73"/>
    <x v="6"/>
    <s v="Q3"/>
    <x v="0"/>
    <s v="KEPL/00954/82-83"/>
    <s v="BEERA BARJEE INTERNATIONAL PVT.LTD"/>
    <s v="Straight Premium"/>
    <x v="5"/>
    <n v="2"/>
    <n v="360"/>
    <n v="94.65"/>
    <n v="34074"/>
    <n v="-3097.3300000000004"/>
    <n v="0"/>
    <n v="4026.967584"/>
    <n v="35003.637583999996"/>
  </r>
  <r>
    <x v="73"/>
    <x v="6"/>
    <s v="Q3"/>
    <x v="0"/>
    <s v="KEPL/00954/82-83"/>
    <s v="BEERA BARJEE INTERNATIONAL PVT.LTD"/>
    <s v="Straight Premium"/>
    <x v="22"/>
    <n v="1"/>
    <n v="40"/>
    <n v="283.94"/>
    <n v="11357.599999999999"/>
    <n v="-1032.4099999999999"/>
    <n v="0"/>
    <n v="1342.2748610000001"/>
    <n v="11667.464861"/>
  </r>
  <r>
    <x v="73"/>
    <x v="6"/>
    <s v="Q3"/>
    <x v="0"/>
    <s v="KEPL/00954/82-83"/>
    <s v="BEERA BARJEE INTERNATIONAL PVT.LTD"/>
    <s v="Blends"/>
    <x v="15"/>
    <n v="1"/>
    <n v="180"/>
    <n v="114.93"/>
    <n v="20687.400000000001"/>
    <n v="-1880.48"/>
    <n v="0"/>
    <n v="2444.8998940000001"/>
    <n v="21251.819894"/>
  </r>
  <r>
    <x v="73"/>
    <x v="6"/>
    <s v="Q3"/>
    <x v="0"/>
    <s v="KEPL/00954/82-83"/>
    <s v="BEERA BARJEE INTERNATIONAL PVT.LTD"/>
    <s v="Blends"/>
    <x v="16"/>
    <n v="1"/>
    <n v="120"/>
    <n v="121.69"/>
    <n v="14602.800000000001"/>
    <n v="-1327.39"/>
    <n v="0"/>
    <n v="1725.8035070000001"/>
    <n v="15001.213507"/>
  </r>
  <r>
    <x v="73"/>
    <x v="6"/>
    <s v="Q3"/>
    <x v="0"/>
    <s v="KEPL/00954/82-83"/>
    <s v="BEERA BARJEE INTERNATIONAL PVT.LTD"/>
    <s v="Straight Pouch"/>
    <x v="1"/>
    <n v="1"/>
    <n v="100"/>
    <n v="108.17"/>
    <n v="10817"/>
    <n v="-983.2700000000001"/>
    <n v="0"/>
    <n v="1278.3850540000001"/>
    <n v="11112.115054"/>
  </r>
  <r>
    <x v="73"/>
    <x v="6"/>
    <s v="Q3"/>
    <x v="0"/>
    <s v="KEPL/00954/82-83"/>
    <s v="BEERA BARJEE INTERNATIONAL PVT.LTD"/>
    <s v="Sprinkler"/>
    <x v="31"/>
    <n v="1"/>
    <n v="72"/>
    <n v="148.74"/>
    <n v="10709.279999999999"/>
    <n v="-973.47"/>
    <n v="0"/>
    <n v="1265.655452"/>
    <n v="11001.465452"/>
  </r>
  <r>
    <x v="73"/>
    <x v="6"/>
    <s v="Q3"/>
    <x v="0"/>
    <s v="KEPL/00954/82-83"/>
    <s v="BEERA BARJEE INTERNATIONAL PVT.LTD"/>
    <s v="Sprinkler"/>
    <x v="25"/>
    <n v="1"/>
    <n v="48"/>
    <n v="310.99"/>
    <n v="14927.519999999999"/>
    <n v="-1356.91"/>
    <n v="0"/>
    <n v="1764.1795119999999"/>
    <n v="15334.789511999999"/>
  </r>
  <r>
    <x v="73"/>
    <x v="6"/>
    <s v="Q3"/>
    <x v="0"/>
    <s v="KEPL/00954/82-83"/>
    <s v="BEERA BARJEE INTERNATIONAL PVT.LTD"/>
    <s v="Straight Premium"/>
    <x v="7"/>
    <n v="1"/>
    <n v="120"/>
    <n v="152.11000000000001"/>
    <n v="18253.2"/>
    <n v="-1659.2199999999998"/>
    <n v="0"/>
    <n v="2157.2176589999999"/>
    <n v="18751.197659000001"/>
  </r>
  <r>
    <x v="73"/>
    <x v="6"/>
    <s v="Q3"/>
    <x v="0"/>
    <s v="KEPL/00954/82-83"/>
    <s v="BEERA BARJEE INTERNATIONAL PVT.LTD"/>
    <s v="Blends"/>
    <x v="10"/>
    <n v="1"/>
    <n v="180"/>
    <n v="60.84"/>
    <n v="10951.199999999999"/>
    <n v="-995.46"/>
    <n v="0"/>
    <n v="1294.246355"/>
    <n v="11249.986354999999"/>
  </r>
  <r>
    <x v="73"/>
    <x v="6"/>
    <s v="Q3"/>
    <x v="0"/>
    <s v="KEPL/00954/82-83"/>
    <s v="BEERA BARJEE INTERNATIONAL PVT.LTD"/>
    <s v="Straight Pouch"/>
    <x v="4"/>
    <n v="1"/>
    <n v="40"/>
    <n v="260.27999999999997"/>
    <n v="10411.200000000001"/>
    <n v="-946.38"/>
    <n v="0"/>
    <n v="1230.4267480000001"/>
    <n v="10695.246748"/>
  </r>
  <r>
    <x v="73"/>
    <x v="6"/>
    <s v="Q3"/>
    <x v="0"/>
    <s v="KEPL/00954/82-83"/>
    <s v="BEERA BARJEE INTERNATIONAL PVT.LTD"/>
    <s v="Blends"/>
    <x v="0"/>
    <n v="1"/>
    <n v="180"/>
    <n v="64.23"/>
    <n v="11561.4"/>
    <n v="-1050.9299999999998"/>
    <n v="0"/>
    <n v="1366.3612640000001"/>
    <n v="11876.831264"/>
  </r>
  <r>
    <x v="73"/>
    <x v="6"/>
    <s v="Q3"/>
    <x v="0"/>
    <s v="KEPL/00954/82-83"/>
    <s v="BEERA BARJEE INTERNATIONAL PVT.LTD"/>
    <s v="Blends"/>
    <x v="11"/>
    <n v="1"/>
    <n v="180"/>
    <n v="64.23"/>
    <n v="11561.4"/>
    <n v="-1050.9299999999998"/>
    <n v="0"/>
    <n v="1366.3612640000001"/>
    <n v="11876.831264"/>
  </r>
  <r>
    <x v="73"/>
    <x v="6"/>
    <s v="Q3"/>
    <x v="0"/>
    <s v="KEPL/00954/82-83"/>
    <s v="BEERA BARJEE INTERNATIONAL PVT.LTD"/>
    <s v="Blends"/>
    <x v="2"/>
    <n v="1"/>
    <n v="180"/>
    <n v="64.23"/>
    <n v="11561.4"/>
    <n v="-1050.9299999999998"/>
    <n v="0"/>
    <n v="1366.3612640000001"/>
    <n v="11876.831264"/>
  </r>
  <r>
    <x v="73"/>
    <x v="6"/>
    <s v="Q3"/>
    <x v="0"/>
    <s v="KEPL/00954/82-83"/>
    <s v="BEERA BARJEE INTERNATIONAL PVT.LTD"/>
    <s v="Straight Pouch"/>
    <x v="6"/>
    <n v="1"/>
    <n v="100"/>
    <n v="162.26"/>
    <n v="16226"/>
    <n v="-1474.94"/>
    <n v="0"/>
    <n v="1917.6380300000001"/>
    <n v="16668.69803"/>
  </r>
  <r>
    <x v="73"/>
    <x v="6"/>
    <s v="Q3"/>
    <x v="0"/>
    <s v="KEPL/00954/82-83"/>
    <s v="BEERA BARJEE INTERNATIONAL PVT.LTD"/>
    <s v="Blends"/>
    <x v="9"/>
    <n v="1"/>
    <n v="180"/>
    <n v="70.989999999999995"/>
    <n v="12778.2"/>
    <n v="-1161.54"/>
    <n v="0"/>
    <n v="1510.1659810000001"/>
    <n v="13126.825981"/>
  </r>
  <r>
    <x v="73"/>
    <x v="6"/>
    <s v="Q3"/>
    <x v="0"/>
    <s v="KEPL/00954/82-83"/>
    <s v="BEERA BARJEE INTERNATIONAL PVT.LTD"/>
    <s v="Cooking Paste"/>
    <x v="30"/>
    <n v="2"/>
    <n v="120"/>
    <n v="98.03"/>
    <n v="11763.6"/>
    <n v="-1069.3100000000002"/>
    <n v="0"/>
    <n v="1390.257867"/>
    <n v="12084.547866999999"/>
  </r>
  <r>
    <x v="73"/>
    <x v="6"/>
    <s v="Q3"/>
    <x v="0"/>
    <s v="KEPL/00954/82-83"/>
    <s v="BEERA BARJEE INTERNATIONAL PVT.LTD"/>
    <s v="Straight Premium"/>
    <x v="23"/>
    <n v="2"/>
    <n v="360"/>
    <n v="182.53"/>
    <n v="65710.8"/>
    <n v="-5973.11"/>
    <n v="0"/>
    <n v="7765.9006330000002"/>
    <n v="67503.590633"/>
  </r>
  <r>
    <x v="74"/>
    <x v="6"/>
    <s v="Q3"/>
    <x v="0"/>
    <s v="KEPL/00991/82-83"/>
    <s v="MEGA MART PVT.LTD"/>
    <s v="Sprinkler"/>
    <x v="26"/>
    <n v="10.67"/>
    <n v="768"/>
    <n v="124.25"/>
    <n v="95424"/>
    <n v="0"/>
    <n v="0"/>
    <n v="12405.12"/>
    <n v="107829.12"/>
  </r>
  <r>
    <x v="75"/>
    <x v="6"/>
    <s v="Q3"/>
    <x v="0"/>
    <s v="KEPL/00996/82-83"/>
    <s v="KATYANI DARSHAN PVT. LTD."/>
    <s v="Sprinkler"/>
    <x v="26"/>
    <n v="0.69"/>
    <n v="50"/>
    <n v="104"/>
    <n v="5200"/>
    <n v="0"/>
    <n v="0"/>
    <n v="676"/>
    <n v="5876"/>
  </r>
  <r>
    <x v="75"/>
    <x v="6"/>
    <s v="Q3"/>
    <x v="0"/>
    <s v="KEPL/00999/82-83"/>
    <s v="DS SPICECO L &amp; D"/>
    <s v="Sprinkler"/>
    <x v="26"/>
    <n v="4.17"/>
    <n v="300"/>
    <n v="104"/>
    <n v="31200"/>
    <n v="0"/>
    <n v="0"/>
    <n v="4056"/>
    <n v="35256"/>
  </r>
  <r>
    <x v="76"/>
    <x v="6"/>
    <s v="Q3"/>
    <x v="0"/>
    <s v="KEPL/01007/82-83"/>
    <s v="MEGA MART PVT.LTD"/>
    <s v="Sprinkler"/>
    <x v="26"/>
    <n v="0.67"/>
    <n v="48"/>
    <n v="124.25"/>
    <n v="5964"/>
    <n v="0"/>
    <n v="0"/>
    <n v="775.32"/>
    <n v="6739.32"/>
  </r>
  <r>
    <x v="77"/>
    <x v="6"/>
    <s v="Q3"/>
    <x v="0"/>
    <s v="KEPL/01027/82-83"/>
    <s v="BEERA BARJEE INTERNATIONAL PVT.LTD"/>
    <s v="Straight Premium"/>
    <x v="33"/>
    <n v="1"/>
    <n v="180"/>
    <n v="91.27"/>
    <n v="16428.599999999999"/>
    <n v="-1493.36"/>
    <n v="0"/>
    <n v="1941.581553"/>
    <n v="16876.821553000002"/>
  </r>
  <r>
    <x v="77"/>
    <x v="6"/>
    <s v="Q3"/>
    <x v="0"/>
    <s v="KEPL/01027/82-83"/>
    <s v="BEERA BARJEE INTERNATIONAL PVT.LTD"/>
    <s v="Straight Premium"/>
    <x v="24"/>
    <n v="1"/>
    <n v="40"/>
    <n v="439.44"/>
    <n v="17577.599999999999"/>
    <n v="-1597.8"/>
    <n v="0"/>
    <n v="2077.374378"/>
    <n v="18057.174378"/>
  </r>
  <r>
    <x v="77"/>
    <x v="6"/>
    <s v="Q3"/>
    <x v="0"/>
    <s v="KEPL/01027/82-83"/>
    <s v="BEERA BARJEE INTERNATIONAL PVT.LTD"/>
    <s v="Sprinkler"/>
    <x v="26"/>
    <n v="1"/>
    <n v="72"/>
    <n v="131.83000000000001"/>
    <n v="9491.76"/>
    <n v="-862.8"/>
    <n v="0"/>
    <n v="1121.7650039999999"/>
    <n v="9750.7250039999999"/>
  </r>
  <r>
    <x v="77"/>
    <x v="6"/>
    <s v="Q3"/>
    <x v="0"/>
    <s v="KEPL/01027/82-83"/>
    <s v="BEERA BARJEE INTERNATIONAL PVT.LTD"/>
    <s v="Straight Premium"/>
    <x v="28"/>
    <n v="1"/>
    <n v="80"/>
    <n v="169.01"/>
    <n v="13520.8"/>
    <n v="-1229.04"/>
    <n v="0"/>
    <n v="1597.9290900000001"/>
    <n v="13889.68909"/>
  </r>
  <r>
    <x v="77"/>
    <x v="6"/>
    <s v="Q3"/>
    <x v="0"/>
    <s v="KEPL/01027/82-83"/>
    <s v="BEERA BARJEE INTERNATIONAL PVT.LTD"/>
    <s v="Blends"/>
    <x v="32"/>
    <n v="1"/>
    <n v="120"/>
    <n v="64.23"/>
    <n v="7707.5999999999995"/>
    <n v="-700.62"/>
    <n v="0"/>
    <n v="910.90756599999997"/>
    <n v="7917.8875660000003"/>
  </r>
  <r>
    <x v="77"/>
    <x v="6"/>
    <s v="Q3"/>
    <x v="0"/>
    <s v="KEPL/01027/82-83"/>
    <s v="BEERA BARJEE INTERNATIONAL PVT.LTD"/>
    <s v="Straight Pouch"/>
    <x v="3"/>
    <n v="1"/>
    <n v="40"/>
    <n v="393.46"/>
    <n v="15738.4"/>
    <n v="-1430.6200000000001"/>
    <n v="0"/>
    <n v="1860.0117379999999"/>
    <n v="16167.791738"/>
  </r>
  <r>
    <x v="77"/>
    <x v="6"/>
    <s v="Q3"/>
    <x v="0"/>
    <s v="KEPL/01027/82-83"/>
    <s v="BEERA BARJEE INTERNATIONAL PVT.LTD"/>
    <s v="Straight Premium"/>
    <x v="34"/>
    <n v="1"/>
    <n v="80"/>
    <n v="229.86"/>
    <n v="18388.8"/>
    <n v="-1671.54"/>
    <n v="0"/>
    <n v="2173.2441949999998"/>
    <n v="18890.504195000001"/>
  </r>
  <r>
    <x v="77"/>
    <x v="6"/>
    <s v="Q3"/>
    <x v="0"/>
    <s v="KEPL/01027/82-83"/>
    <s v="BEERA BARJEE INTERNATIONAL PVT.LTD"/>
    <s v="Blends"/>
    <x v="39"/>
    <n v="1"/>
    <n v="180"/>
    <n v="83.82"/>
    <n v="15087.6"/>
    <n v="-1371.4599999999998"/>
    <n v="0"/>
    <n v="1783.098524"/>
    <n v="15499.238524"/>
  </r>
  <r>
    <x v="77"/>
    <x v="6"/>
    <s v="Q3"/>
    <x v="0"/>
    <s v="KEPL/01027/82-83"/>
    <s v="BEERA BARJEE INTERNATIONAL PVT.LTD"/>
    <s v="Cooking Paste"/>
    <x v="30"/>
    <n v="2"/>
    <n v="120"/>
    <n v="98.03"/>
    <n v="11763.6"/>
    <n v="-1069.3100000000002"/>
    <n v="0"/>
    <n v="1390.257953"/>
    <n v="12084.547952999999"/>
  </r>
  <r>
    <x v="77"/>
    <x v="6"/>
    <s v="Q3"/>
    <x v="0"/>
    <s v="KEPL/01031/82-83"/>
    <s v="MEGA MART PVT.LTD"/>
    <s v="Sprinkler"/>
    <x v="25"/>
    <n v="2.88"/>
    <n v="138"/>
    <n v="293.10000000000002"/>
    <n v="40447.800000000003"/>
    <n v="0"/>
    <n v="0"/>
    <n v="5258.2127259999997"/>
    <n v="45706.012726000001"/>
  </r>
  <r>
    <x v="77"/>
    <x v="6"/>
    <s v="Q3"/>
    <x v="0"/>
    <s v="KEPL/01031/82-83"/>
    <s v="MEGA MART PVT.LTD"/>
    <s v="Sprinkler"/>
    <x v="26"/>
    <n v="1"/>
    <n v="72"/>
    <n v="124.25"/>
    <n v="8946"/>
    <n v="0"/>
    <n v="0"/>
    <n v="1162.979718"/>
    <n v="10108.979718000001"/>
  </r>
  <r>
    <x v="77"/>
    <x v="6"/>
    <s v="Q3"/>
    <x v="0"/>
    <s v="KEPL/01031/82-83"/>
    <s v="MEGA MART PVT.LTD"/>
    <s v="Sprinkler"/>
    <x v="31"/>
    <n v="3.92"/>
    <n v="282"/>
    <n v="140.18"/>
    <n v="39530.759999999995"/>
    <n v="0"/>
    <n v="0"/>
    <n v="5138.9975549999999"/>
    <n v="44669.757554999997"/>
  </r>
  <r>
    <x v="77"/>
    <x v="6"/>
    <s v="Q3"/>
    <x v="0"/>
    <s v="KEPL/01055/82-83"/>
    <s v="WELSON TRADE &amp; RASAN MART"/>
    <s v="Blends"/>
    <x v="18"/>
    <n v="1"/>
    <n v="120"/>
    <n v="141.97"/>
    <n v="17036.400000000001"/>
    <n v="-1548.61"/>
    <n v="0"/>
    <n v="2013.4128539999999"/>
    <n v="17501.202853999999"/>
  </r>
  <r>
    <x v="77"/>
    <x v="6"/>
    <s v="Q3"/>
    <x v="0"/>
    <s v="KEPL/01055/82-83"/>
    <s v="WELSON TRADE &amp; RASAN MART"/>
    <s v="Blends"/>
    <x v="37"/>
    <n v="1"/>
    <n v="180"/>
    <n v="98.03"/>
    <n v="17645.400000000001"/>
    <n v="-1603.97"/>
    <n v="0"/>
    <n v="2085.3860599999998"/>
    <n v="18126.816060000001"/>
  </r>
  <r>
    <x v="77"/>
    <x v="6"/>
    <s v="Q3"/>
    <x v="0"/>
    <s v="KEPL/01055/82-83"/>
    <s v="WELSON TRADE &amp; RASAN MART"/>
    <s v="Blends"/>
    <x v="44"/>
    <n v="0.5"/>
    <n v="90"/>
    <n v="128.44999999999999"/>
    <n v="11560.500000000002"/>
    <n v="-1050.8499999999999"/>
    <n v="0"/>
    <n v="1366.2546049999999"/>
    <n v="11875.904605"/>
  </r>
  <r>
    <x v="77"/>
    <x v="6"/>
    <s v="Q3"/>
    <x v="0"/>
    <s v="KEPL/01055/82-83"/>
    <s v="WELSON TRADE &amp; RASAN MART"/>
    <s v="Straight Premium"/>
    <x v="33"/>
    <n v="0.5"/>
    <n v="90"/>
    <n v="91.27"/>
    <n v="8214.2999999999993"/>
    <n v="-746.68"/>
    <n v="0"/>
    <n v="970.79067400000008"/>
    <n v="8438.4106740000007"/>
  </r>
  <r>
    <x v="77"/>
    <x v="6"/>
    <s v="Q3"/>
    <x v="0"/>
    <s v="KEPL/01055/82-83"/>
    <s v="WELSON TRADE &amp; RASAN MART"/>
    <s v="Blends"/>
    <x v="32"/>
    <n v="1"/>
    <n v="120"/>
    <n v="64.23"/>
    <n v="7707.5999999999995"/>
    <n v="-700.62"/>
    <n v="0"/>
    <n v="910.90746999999999"/>
    <n v="7917.8874699999997"/>
  </r>
  <r>
    <x v="77"/>
    <x v="6"/>
    <s v="Q3"/>
    <x v="0"/>
    <s v="KEPL/01055/82-83"/>
    <s v="WELSON TRADE &amp; RASAN MART"/>
    <s v="Blends"/>
    <x v="39"/>
    <n v="1"/>
    <n v="180"/>
    <n v="83.82"/>
    <n v="15087.6"/>
    <n v="-1371.4599999999998"/>
    <n v="0"/>
    <n v="1783.0983370000001"/>
    <n v="15499.238337000001"/>
  </r>
  <r>
    <x v="78"/>
    <x v="7"/>
    <s v="Q3"/>
    <x v="0"/>
    <s v="KEPL/01134/82-83"/>
    <s v="SIMPEX SOLUTION PVT. LTD"/>
    <s v="Straight Pouch"/>
    <x v="6"/>
    <n v="7.0000000000000007E-2"/>
    <n v="7"/>
    <n v="169.91"/>
    <n v="1189.3699999999999"/>
    <n v="0"/>
    <n v="0"/>
    <n v="154.61827299999999"/>
    <n v="1343.9882729999999"/>
  </r>
  <r>
    <x v="78"/>
    <x v="7"/>
    <s v="Q3"/>
    <x v="0"/>
    <s v="KEPL/01134/82-83"/>
    <s v="SIMPEX SOLUTION PVT. LTD"/>
    <s v="Straight Premium"/>
    <x v="28"/>
    <n v="0.1"/>
    <n v="8"/>
    <n v="176.99"/>
    <n v="1415.92"/>
    <n v="0"/>
    <n v="0"/>
    <n v="184.069806"/>
    <n v="1599.989806"/>
  </r>
  <r>
    <x v="78"/>
    <x v="7"/>
    <s v="Q3"/>
    <x v="0"/>
    <s v="KEPL/01134/82-83"/>
    <s v="SIMPEX SOLUTION PVT. LTD"/>
    <s v="Sprinkler"/>
    <x v="26"/>
    <n v="0.19"/>
    <n v="14"/>
    <n v="138.05000000000001"/>
    <n v="1932.7"/>
    <n v="0"/>
    <n v="0"/>
    <n v="251.25128100000001"/>
    <n v="2183.9512810000001"/>
  </r>
  <r>
    <x v="78"/>
    <x v="7"/>
    <s v="Q3"/>
    <x v="0"/>
    <s v="KEPL/01134/82-83"/>
    <s v="SIMPEX SOLUTION PVT. LTD"/>
    <s v="Cooking Paste"/>
    <x v="30"/>
    <n v="0.08"/>
    <n v="5"/>
    <n v="102.65"/>
    <n v="513.25"/>
    <n v="0"/>
    <n v="0"/>
    <n v="66.722573999999994"/>
    <n v="579.97257400000001"/>
  </r>
  <r>
    <x v="78"/>
    <x v="7"/>
    <s v="Q3"/>
    <x v="0"/>
    <s v="KEPL/01134/82-83"/>
    <s v="SIMPEX SOLUTION PVT. LTD"/>
    <s v="Blends"/>
    <x v="27"/>
    <n v="0.04"/>
    <n v="5"/>
    <n v="120.35"/>
    <n v="601.75000000000011"/>
    <n v="0"/>
    <n v="0"/>
    <n v="78.227587"/>
    <n v="679.97758699999997"/>
  </r>
  <r>
    <x v="78"/>
    <x v="7"/>
    <s v="Q3"/>
    <x v="0"/>
    <s v="KEPL/01134/82-83"/>
    <s v="SIMPEX SOLUTION PVT. LTD"/>
    <s v="Blends"/>
    <x v="0"/>
    <n v="0.03"/>
    <n v="6"/>
    <n v="65.13"/>
    <n v="390.78"/>
    <n v="0"/>
    <n v="0"/>
    <n v="50.801456999999999"/>
    <n v="441.581457"/>
  </r>
  <r>
    <x v="78"/>
    <x v="7"/>
    <s v="Q3"/>
    <x v="0"/>
    <s v="KEPL/01134/82-83"/>
    <s v="SIMPEX SOLUTION PVT. LTD"/>
    <s v="Blends"/>
    <x v="2"/>
    <n v="0.04"/>
    <n v="8"/>
    <n v="65.13"/>
    <n v="521.04"/>
    <n v="0"/>
    <n v="0"/>
    <n v="67.735275999999999"/>
    <n v="588.77527599999996"/>
  </r>
  <r>
    <x v="78"/>
    <x v="7"/>
    <s v="Q3"/>
    <x v="0"/>
    <s v="KEPL/01134/82-83"/>
    <s v="SIMPEX SOLUTION PVT. LTD"/>
    <s v="Straight Premium"/>
    <x v="7"/>
    <n v="0.05"/>
    <n v="6"/>
    <n v="155.75"/>
    <n v="934.5"/>
    <n v="0"/>
    <n v="0"/>
    <n v="121.485136"/>
    <n v="1055.985136"/>
  </r>
  <r>
    <x v="78"/>
    <x v="7"/>
    <s v="Q3"/>
    <x v="0"/>
    <s v="KEPL/01134/82-83"/>
    <s v="SIMPEX SOLUTION PVT. LTD"/>
    <s v="Cooking Paste"/>
    <x v="29"/>
    <n v="0.57999999999999996"/>
    <n v="70"/>
    <n v="60.18"/>
    <n v="4212.6000000000004"/>
    <n v="0"/>
    <n v="0"/>
    <n v="547.63861099999997"/>
    <n v="4760.2386109999998"/>
  </r>
  <r>
    <x v="79"/>
    <x v="7"/>
    <s v="Q3"/>
    <x v="0"/>
    <s v="KEPL/01135/82-83"/>
    <s v="SIMPEX SOLUTION PVT. LTD"/>
    <s v="Blends"/>
    <x v="0"/>
    <n v="0.06"/>
    <n v="10"/>
    <n v="65.13"/>
    <n v="651.29999999999995"/>
    <n v="0"/>
    <n v="0"/>
    <n v="84.668864999999997"/>
    <n v="735.96886500000005"/>
  </r>
  <r>
    <x v="79"/>
    <x v="7"/>
    <s v="Q3"/>
    <x v="0"/>
    <s v="KEPL/01135/82-83"/>
    <s v="SIMPEX SOLUTION PVT. LTD"/>
    <s v="Cooking Paste"/>
    <x v="30"/>
    <n v="0.33"/>
    <n v="20"/>
    <n v="102.65"/>
    <n v="2053"/>
    <n v="0"/>
    <n v="0"/>
    <n v="266.88957499999998"/>
    <n v="2319.8895750000001"/>
  </r>
  <r>
    <x v="79"/>
    <x v="7"/>
    <s v="Q3"/>
    <x v="0"/>
    <s v="KEPL/01135/82-83"/>
    <s v="SIMPEX SOLUTION PVT. LTD"/>
    <s v="Blends"/>
    <x v="18"/>
    <n v="0.08"/>
    <n v="10"/>
    <n v="148.66999999999999"/>
    <n v="1486.7"/>
    <n v="0"/>
    <n v="0"/>
    <n v="193.270692"/>
    <n v="1679.9706920000001"/>
  </r>
  <r>
    <x v="79"/>
    <x v="7"/>
    <s v="Q3"/>
    <x v="0"/>
    <s v="KEPL/01135/82-83"/>
    <s v="SIMPEX SOLUTION PVT. LTD"/>
    <s v="Blends"/>
    <x v="2"/>
    <n v="0.11"/>
    <n v="20"/>
    <n v="65.13"/>
    <n v="1302.5999999999999"/>
    <n v="0"/>
    <n v="0"/>
    <n v="169.33772999999999"/>
    <n v="1471.9377300000001"/>
  </r>
  <r>
    <x v="79"/>
    <x v="7"/>
    <s v="Q3"/>
    <x v="0"/>
    <s v="KEPL/01135/82-83"/>
    <s v="SIMPEX SOLUTION PVT. LTD"/>
    <s v="Blends"/>
    <x v="39"/>
    <n v="0.06"/>
    <n v="10"/>
    <n v="87.79"/>
    <n v="877.9"/>
    <n v="0"/>
    <n v="0"/>
    <n v="114.12681799999999"/>
    <n v="992.02681800000005"/>
  </r>
  <r>
    <x v="79"/>
    <x v="7"/>
    <s v="Q3"/>
    <x v="0"/>
    <s v="KEPL/01135/82-83"/>
    <s v="SIMPEX SOLUTION PVT. LTD"/>
    <s v="Blends"/>
    <x v="20"/>
    <n v="0.08"/>
    <n v="10"/>
    <n v="123.89"/>
    <n v="1238.8999999999999"/>
    <n v="0"/>
    <n v="0"/>
    <n v="161.05674300000001"/>
    <n v="1399.956743"/>
  </r>
  <r>
    <x v="79"/>
    <x v="7"/>
    <s v="Q3"/>
    <x v="0"/>
    <s v="KEPL/01135/82-83"/>
    <s v="SIMPEX SOLUTION PVT. LTD"/>
    <s v="Blends"/>
    <x v="11"/>
    <n v="0.11"/>
    <n v="20"/>
    <n v="65.13"/>
    <n v="1302.5999999999999"/>
    <n v="0"/>
    <n v="0"/>
    <n v="169.33772999999999"/>
    <n v="1471.9377300000001"/>
  </r>
  <r>
    <x v="79"/>
    <x v="7"/>
    <s v="Q3"/>
    <x v="0"/>
    <s v="KEPL/01135/82-83"/>
    <s v="SIMPEX SOLUTION PVT. LTD"/>
    <s v="Blends"/>
    <x v="9"/>
    <n v="0.06"/>
    <n v="10"/>
    <n v="74.34"/>
    <n v="743.4"/>
    <n v="0"/>
    <n v="0"/>
    <n v="96.641846000000015"/>
    <n v="840.04184599999996"/>
  </r>
  <r>
    <x v="80"/>
    <x v="7"/>
    <s v="Q3"/>
    <x v="0"/>
    <s v="KEPL/01160/82-83"/>
    <s v="MEGA MART PVT.LTD"/>
    <s v="Sprinkler"/>
    <x v="26"/>
    <n v="2"/>
    <n v="144"/>
    <n v="124.25"/>
    <n v="17892"/>
    <n v="0"/>
    <n v="0"/>
    <n v="2325.96"/>
    <n v="20217.96"/>
  </r>
  <r>
    <x v="81"/>
    <x v="7"/>
    <s v="Q3"/>
    <x v="0"/>
    <s v="KEPL/01194/82-83"/>
    <s v="DS SPICECO L &amp; D"/>
    <s v="Straight Pouch"/>
    <x v="12"/>
    <n v="0.05"/>
    <n v="2"/>
    <n v="336.13"/>
    <n v="672.26"/>
    <n v="-61.11"/>
    <n v="0"/>
    <n v="0"/>
    <n v="611.15"/>
  </r>
  <r>
    <x v="81"/>
    <x v="7"/>
    <s v="Q3"/>
    <x v="0"/>
    <s v="KEPL/01195/82-83"/>
    <s v="DS SPICECO L &amp; D"/>
    <s v="Straight Pouch"/>
    <x v="3"/>
    <n v="0.05"/>
    <n v="2"/>
    <n v="393.46"/>
    <n v="786.92"/>
    <n v="-71.53"/>
    <n v="0"/>
    <n v="93"/>
    <n v="808.39"/>
  </r>
  <r>
    <x v="81"/>
    <x v="7"/>
    <s v="Q3"/>
    <x v="0"/>
    <s v="KEPL/01196/82-83"/>
    <s v="DS SPICECO L &amp; D"/>
    <s v="Cooking Paste"/>
    <x v="30"/>
    <n v="0.03"/>
    <n v="2"/>
    <n v="98.03"/>
    <n v="196.06"/>
    <n v="-17.82"/>
    <n v="0"/>
    <n v="23.17"/>
    <n v="201.41"/>
  </r>
  <r>
    <x v="82"/>
    <x v="7"/>
    <s v="Q3"/>
    <x v="0"/>
    <s v="KEPL/01211/82-83"/>
    <s v="BHAT BHATENI SUPERMARKET &amp; DEPARTMENTAL STORE PVT. LTD."/>
    <s v="Straight Premium"/>
    <x v="7"/>
    <n v="1"/>
    <n v="120"/>
    <n v="136.28"/>
    <n v="16353.6"/>
    <n v="0"/>
    <n v="0"/>
    <n v="2125.9693750000001"/>
    <n v="18479.569374999999"/>
  </r>
  <r>
    <x v="82"/>
    <x v="7"/>
    <s v="Q3"/>
    <x v="0"/>
    <s v="KEPL/01211/82-83"/>
    <s v="BHAT BHATENI SUPERMARKET &amp; DEPARTMENTAL STORE PVT. LTD."/>
    <s v="Straight Premium"/>
    <x v="22"/>
    <n v="3"/>
    <n v="120"/>
    <n v="260.18"/>
    <n v="31221.600000000002"/>
    <n v="0"/>
    <n v="0"/>
    <n v="4058.8106250000001"/>
    <n v="35280.410624999997"/>
  </r>
  <r>
    <x v="82"/>
    <x v="7"/>
    <s v="Q3"/>
    <x v="0"/>
    <s v="KEPL/01216/82-83"/>
    <s v="SIMPEX SOLUTION PVT. LTD"/>
    <s v="Blends"/>
    <x v="15"/>
    <n v="0.06"/>
    <n v="10"/>
    <n v="120.35"/>
    <n v="1203.5000000000002"/>
    <n v="0"/>
    <n v="0"/>
    <n v="156.45458800000003"/>
    <n v="1359.9545880000001"/>
  </r>
  <r>
    <x v="82"/>
    <x v="7"/>
    <s v="Q3"/>
    <x v="0"/>
    <s v="KEPL/01216/82-83"/>
    <s v="SIMPEX SOLUTION PVT. LTD"/>
    <s v="Cooking Paste"/>
    <x v="29"/>
    <n v="0.42"/>
    <n v="50"/>
    <n v="60.18"/>
    <n v="3008.9999999999995"/>
    <n v="0"/>
    <n v="0"/>
    <n v="391.16897"/>
    <n v="3400.1689700000002"/>
  </r>
  <r>
    <x v="82"/>
    <x v="7"/>
    <s v="Q3"/>
    <x v="0"/>
    <s v="KEPL/01216/82-83"/>
    <s v="SIMPEX SOLUTION PVT. LTD"/>
    <s v="Blends"/>
    <x v="42"/>
    <n v="0.08"/>
    <n v="10"/>
    <n v="99.12"/>
    <n v="991.2"/>
    <n v="0"/>
    <n v="0"/>
    <n v="128.855661"/>
    <n v="1120.0556610000001"/>
  </r>
  <r>
    <x v="82"/>
    <x v="7"/>
    <s v="Q3"/>
    <x v="0"/>
    <s v="KEPL/01216/82-83"/>
    <s v="SIMPEX SOLUTION PVT. LTD"/>
    <s v="Straight Premium"/>
    <x v="8"/>
    <n v="0.08"/>
    <n v="10"/>
    <n v="53.1"/>
    <n v="531"/>
    <n v="0"/>
    <n v="0"/>
    <n v="69.029818000000006"/>
    <n v="600.02981799999998"/>
  </r>
  <r>
    <x v="82"/>
    <x v="7"/>
    <s v="Q3"/>
    <x v="0"/>
    <s v="KEPL/01216/82-83"/>
    <s v="SIMPEX SOLUTION PVT. LTD"/>
    <s v="Straight Premium"/>
    <x v="5"/>
    <n v="0.22"/>
    <n v="40"/>
    <n v="99.12"/>
    <n v="3964.8"/>
    <n v="0"/>
    <n v="0"/>
    <n v="515.422642"/>
    <n v="4480.2226419999997"/>
  </r>
  <r>
    <x v="82"/>
    <x v="7"/>
    <s v="Q3"/>
    <x v="0"/>
    <s v="KEPL/01216/82-83"/>
    <s v="SIMPEX SOLUTION PVT. LTD"/>
    <s v="Blends"/>
    <x v="17"/>
    <n v="0.06"/>
    <n v="10"/>
    <n v="123.89"/>
    <n v="1238.8999999999999"/>
    <n v="0"/>
    <n v="0"/>
    <n v="161.05657600000001"/>
    <n v="1399.956576"/>
  </r>
  <r>
    <x v="82"/>
    <x v="7"/>
    <s v="Q3"/>
    <x v="0"/>
    <s v="KEPL/01216/82-83"/>
    <s v="SIMPEX SOLUTION PVT. LTD"/>
    <s v="Blends"/>
    <x v="9"/>
    <n v="0.06"/>
    <n v="10"/>
    <n v="74.34"/>
    <n v="743.4"/>
    <n v="0"/>
    <n v="0"/>
    <n v="96.641745"/>
    <n v="840.04174499999999"/>
  </r>
  <r>
    <x v="83"/>
    <x v="7"/>
    <s v="Q3"/>
    <x v="0"/>
    <s v="KEPL/01248/82-83"/>
    <s v="BHAT BHATENI SUPERMARKET &amp; DEPARTMENTAL STORE PVT. LTD."/>
    <s v="Sprinkler"/>
    <x v="26"/>
    <n v="0.42"/>
    <n v="30"/>
    <n v="120.8"/>
    <n v="3624"/>
    <n v="0"/>
    <n v="0"/>
    <n v="471.12004999999999"/>
    <n v="4095.12005"/>
  </r>
  <r>
    <x v="83"/>
    <x v="7"/>
    <s v="Q3"/>
    <x v="0"/>
    <s v="KEPL/01248/82-83"/>
    <s v="BHAT BHATENI SUPERMARKET &amp; DEPARTMENTAL STORE PVT. LTD."/>
    <s v="Sprinkler"/>
    <x v="31"/>
    <n v="0.41"/>
    <n v="30"/>
    <n v="136.28"/>
    <n v="4088.4"/>
    <n v="0"/>
    <n v="0"/>
    <n v="531.49205700000005"/>
    <n v="4619.892057"/>
  </r>
  <r>
    <x v="83"/>
    <x v="7"/>
    <s v="Q3"/>
    <x v="0"/>
    <s v="KEPL/01248/82-83"/>
    <s v="BHAT BHATENI SUPERMARKET &amp; DEPARTMENTAL STORE PVT. LTD."/>
    <s v="Cooking Paste"/>
    <x v="30"/>
    <n v="0.5"/>
    <n v="30"/>
    <n v="89.82"/>
    <n v="2694.6"/>
    <n v="0"/>
    <n v="0"/>
    <n v="350.29803799999996"/>
    <n v="3044.8980379999998"/>
  </r>
  <r>
    <x v="83"/>
    <x v="7"/>
    <s v="Q3"/>
    <x v="0"/>
    <s v="KEPL/01248/82-83"/>
    <s v="BHAT BHATENI SUPERMARKET &amp; DEPARTMENTAL STORE PVT. LTD."/>
    <s v="Sprinkler"/>
    <x v="46"/>
    <n v="0.3"/>
    <n v="30"/>
    <n v="89.82"/>
    <n v="2694.6"/>
    <n v="0"/>
    <n v="0"/>
    <n v="350.29803799999996"/>
    <n v="3044.8980379999998"/>
  </r>
  <r>
    <x v="83"/>
    <x v="7"/>
    <s v="Q3"/>
    <x v="0"/>
    <s v="KEPL/01248/82-83"/>
    <s v="BHAT BHATENI SUPERMARKET &amp; DEPARTMENTAL STORE PVT. LTD."/>
    <s v="Straight Premium"/>
    <x v="22"/>
    <n v="2"/>
    <n v="80"/>
    <n v="260.18"/>
    <n v="20814.399999999998"/>
    <n v="0"/>
    <n v="0"/>
    <n v="2705.8722900000002"/>
    <n v="23520.272290000001"/>
  </r>
  <r>
    <x v="83"/>
    <x v="7"/>
    <s v="Q3"/>
    <x v="0"/>
    <s v="KEPL/01248/82-83"/>
    <s v="BHAT BHATENI SUPERMARKET &amp; DEPARTMENTAL STORE PVT. LTD."/>
    <s v="Sprinkler"/>
    <x v="25"/>
    <n v="0.63"/>
    <n v="30"/>
    <n v="272.57"/>
    <n v="8177.1"/>
    <n v="0"/>
    <n v="0"/>
    <n v="1063.0231139999999"/>
    <n v="9240.123114"/>
  </r>
  <r>
    <x v="83"/>
    <x v="7"/>
    <s v="Q3"/>
    <x v="0"/>
    <s v="KEPL/01248/82-83"/>
    <s v="BHAT BHATENI SUPERMARKET &amp; DEPARTMENTAL STORE PVT. LTD."/>
    <s v="Straight Premium"/>
    <x v="7"/>
    <n v="1"/>
    <n v="120"/>
    <n v="136.28"/>
    <n v="16353.6"/>
    <n v="0"/>
    <n v="0"/>
    <n v="2125.9682280000002"/>
    <n v="18479.568228"/>
  </r>
  <r>
    <x v="83"/>
    <x v="7"/>
    <s v="Q3"/>
    <x v="0"/>
    <s v="KEPL/01248/82-83"/>
    <s v="BHAT BHATENI SUPERMARKET &amp; DEPARTMENTAL STORE PVT. LTD."/>
    <s v="Hing"/>
    <x v="51"/>
    <n v="0.5"/>
    <n v="30"/>
    <n v="446.02"/>
    <n v="13380.599999999999"/>
    <n v="0"/>
    <n v="0"/>
    <n v="1739.4781860000001"/>
    <n v="15120.078186000001"/>
  </r>
  <r>
    <x v="83"/>
    <x v="7"/>
    <s v="Q3"/>
    <x v="0"/>
    <s v="KEPL/01249/82-83"/>
    <s v="BHAT BHATENI SUPERMARKET &amp; DEPARTMENTAL STORE PVT. LTD."/>
    <s v="Sprinkler"/>
    <x v="26"/>
    <n v="1"/>
    <n v="72"/>
    <n v="120.8"/>
    <n v="8697.6"/>
    <n v="0"/>
    <n v="0"/>
    <n v="1130.6877770000001"/>
    <n v="9828.2877769999996"/>
  </r>
  <r>
    <x v="83"/>
    <x v="7"/>
    <s v="Q3"/>
    <x v="0"/>
    <s v="KEPL/01249/82-83"/>
    <s v="BHAT BHATENI SUPERMARKET &amp; DEPARTMENTAL STORE PVT. LTD."/>
    <s v="Straight Premium"/>
    <x v="22"/>
    <n v="2"/>
    <n v="80"/>
    <n v="260.18"/>
    <n v="20814.399999999998"/>
    <n v="0"/>
    <n v="0"/>
    <n v="2705.8714660000001"/>
    <n v="23520.271465999998"/>
  </r>
  <r>
    <x v="83"/>
    <x v="7"/>
    <s v="Q3"/>
    <x v="0"/>
    <s v="KEPL/01249/82-83"/>
    <s v="BHAT BHATENI SUPERMARKET &amp; DEPARTMENTAL STORE PVT. LTD."/>
    <s v="Cooking Paste"/>
    <x v="30"/>
    <n v="1"/>
    <n v="60"/>
    <n v="89.82"/>
    <n v="5389.2"/>
    <n v="0"/>
    <n v="0"/>
    <n v="700.59586200000001"/>
    <n v="6089.7958619999999"/>
  </r>
  <r>
    <x v="83"/>
    <x v="7"/>
    <s v="Q3"/>
    <x v="0"/>
    <s v="KEPL/01249/82-83"/>
    <s v="BHAT BHATENI SUPERMARKET &amp; DEPARTMENTAL STORE PVT. LTD."/>
    <s v="Sprinkler"/>
    <x v="47"/>
    <n v="1"/>
    <n v="100"/>
    <n v="65.040000000000006"/>
    <n v="6504"/>
    <n v="0"/>
    <n v="0"/>
    <n v="845.51983299999995"/>
    <n v="7349.5198330000003"/>
  </r>
  <r>
    <x v="83"/>
    <x v="7"/>
    <s v="Q3"/>
    <x v="0"/>
    <s v="KEPL/01249/82-83"/>
    <s v="BHAT BHATENI SUPERMARKET &amp; DEPARTMENTAL STORE PVT. LTD."/>
    <s v="Sprinkler"/>
    <x v="31"/>
    <n v="1"/>
    <n v="72"/>
    <n v="136.28"/>
    <n v="9812.16"/>
    <n v="0"/>
    <n v="0"/>
    <n v="1275.5805479999999"/>
    <n v="11087.740548"/>
  </r>
  <r>
    <x v="83"/>
    <x v="7"/>
    <s v="Q3"/>
    <x v="0"/>
    <s v="KEPL/01249/82-83"/>
    <s v="BHAT BHATENI SUPERMARKET &amp; DEPARTMENTAL STORE PVT. LTD."/>
    <s v="Sprinkler"/>
    <x v="25"/>
    <n v="1"/>
    <n v="48"/>
    <n v="272.57"/>
    <n v="13083.36"/>
    <n v="0"/>
    <n v="0"/>
    <n v="1700.836464"/>
    <n v="14784.196464000001"/>
  </r>
  <r>
    <x v="83"/>
    <x v="7"/>
    <s v="Q3"/>
    <x v="0"/>
    <s v="KEPL/01249/82-83"/>
    <s v="BHAT BHATENI SUPERMARKET &amp; DEPARTMENTAL STORE PVT. LTD."/>
    <s v="Blends"/>
    <x v="42"/>
    <n v="1"/>
    <n v="120"/>
    <n v="86.73"/>
    <n v="10407.6"/>
    <n v="0"/>
    <n v="0"/>
    <n v="1352.9877330000002"/>
    <n v="11760.587733"/>
  </r>
  <r>
    <x v="83"/>
    <x v="7"/>
    <s v="Q3"/>
    <x v="0"/>
    <s v="KEPL/01249/82-83"/>
    <s v="BHAT BHATENI SUPERMARKET &amp; DEPARTMENTAL STORE PVT. LTD."/>
    <s v="Blends"/>
    <x v="45"/>
    <n v="1.01"/>
    <n v="80"/>
    <n v="130.09"/>
    <n v="10407.199999999999"/>
    <n v="0"/>
    <n v="0"/>
    <n v="1352.935733"/>
    <n v="11760.135732999999"/>
  </r>
  <r>
    <x v="83"/>
    <x v="7"/>
    <s v="Q3"/>
    <x v="0"/>
    <s v="KEPL/01249/82-83"/>
    <s v="BHAT BHATENI SUPERMARKET &amp; DEPARTMENTAL STORE PVT. LTD."/>
    <s v="Straight Pouch"/>
    <x v="1"/>
    <n v="1"/>
    <n v="100"/>
    <n v="99.12"/>
    <n v="9912"/>
    <n v="0"/>
    <n v="0"/>
    <n v="1288.5597460000001"/>
    <n v="11200.559746000001"/>
  </r>
  <r>
    <x v="83"/>
    <x v="7"/>
    <s v="Q3"/>
    <x v="0"/>
    <s v="KEPL/01249/82-83"/>
    <s v="BHAT BHATENI SUPERMARKET &amp; DEPARTMENTAL STORE PVT. LTD."/>
    <s v="Straight Pouch"/>
    <x v="4"/>
    <n v="2"/>
    <n v="80"/>
    <n v="238.5"/>
    <n v="19079.999999999996"/>
    <n v="0"/>
    <n v="0"/>
    <n v="2480.3995100000002"/>
    <n v="21560.399509999999"/>
  </r>
  <r>
    <x v="83"/>
    <x v="7"/>
    <s v="Q3"/>
    <x v="0"/>
    <s v="KEPL/01249/82-83"/>
    <s v="BHAT BHATENI SUPERMARKET &amp; DEPARTMENTAL STORE PVT. LTD."/>
    <s v="Straight Premium"/>
    <x v="7"/>
    <n v="1"/>
    <n v="120"/>
    <n v="136.28"/>
    <n v="16353.6"/>
    <n v="0"/>
    <n v="0"/>
    <n v="2125.96758"/>
    <n v="18479.567579999999"/>
  </r>
  <r>
    <x v="83"/>
    <x v="7"/>
    <s v="Q3"/>
    <x v="0"/>
    <s v="KEPL/01249/82-83"/>
    <s v="BHAT BHATENI SUPERMARKET &amp; DEPARTMENTAL STORE PVT. LTD."/>
    <s v="Straight Premium"/>
    <x v="8"/>
    <n v="1"/>
    <n v="120"/>
    <n v="46.46"/>
    <n v="5575.2"/>
    <n v="0"/>
    <n v="0"/>
    <n v="724.77585699999997"/>
    <n v="6299.9758570000004"/>
  </r>
  <r>
    <x v="83"/>
    <x v="7"/>
    <s v="Q3"/>
    <x v="0"/>
    <s v="KEPL/01249/82-83"/>
    <s v="BHAT BHATENI SUPERMARKET &amp; DEPARTMENTAL STORE PVT. LTD."/>
    <s v="Blends"/>
    <x v="40"/>
    <n v="0.5"/>
    <n v="60"/>
    <n v="71.239999999999995"/>
    <n v="4274.3999999999996"/>
    <n v="0"/>
    <n v="0"/>
    <n v="555.67188999999996"/>
    <n v="4830.0718900000002"/>
  </r>
  <r>
    <x v="83"/>
    <x v="7"/>
    <s v="Q3"/>
    <x v="0"/>
    <s v="KEPL/01250/82-83"/>
    <s v="BHAT BHATENI SUPERMARKET &amp; DEPARTMENTAL STORE PVT. LTD."/>
    <s v="Cooking Paste"/>
    <x v="29"/>
    <n v="1"/>
    <n v="120"/>
    <n v="52.65"/>
    <n v="6318.0000000000009"/>
    <n v="0"/>
    <n v="0"/>
    <n v="821.34021200000007"/>
    <n v="7139.3402120000001"/>
  </r>
  <r>
    <x v="83"/>
    <x v="7"/>
    <s v="Q3"/>
    <x v="0"/>
    <s v="KEPL/01250/82-83"/>
    <s v="BHAT BHATENI SUPERMARKET &amp; DEPARTMENTAL STORE PVT. LTD."/>
    <s v="Sprinkler"/>
    <x v="25"/>
    <n v="1"/>
    <n v="48"/>
    <n v="272.57"/>
    <n v="13083.36"/>
    <n v="0"/>
    <n v="0"/>
    <n v="1700.8372400000001"/>
    <n v="14784.19724"/>
  </r>
  <r>
    <x v="83"/>
    <x v="7"/>
    <s v="Q3"/>
    <x v="0"/>
    <s v="KEPL/01250/82-83"/>
    <s v="BHAT BHATENI SUPERMARKET &amp; DEPARTMENTAL STORE PVT. LTD."/>
    <s v="Straight Premium"/>
    <x v="7"/>
    <n v="2"/>
    <n v="240"/>
    <n v="136.28"/>
    <n v="32707.200000000001"/>
    <n v="0"/>
    <n v="0"/>
    <n v="4251.9370989999998"/>
    <n v="36959.137099"/>
  </r>
  <r>
    <x v="83"/>
    <x v="7"/>
    <s v="Q3"/>
    <x v="0"/>
    <s v="KEPL/01250/82-83"/>
    <s v="BHAT BHATENI SUPERMARKET &amp; DEPARTMENTAL STORE PVT. LTD."/>
    <s v="Straight Premium"/>
    <x v="22"/>
    <n v="3"/>
    <n v="120"/>
    <n v="260.18"/>
    <n v="31221.600000000002"/>
    <n v="0"/>
    <n v="0"/>
    <n v="4058.809049"/>
    <n v="35280.409049000002"/>
  </r>
  <r>
    <x v="83"/>
    <x v="7"/>
    <s v="Q3"/>
    <x v="0"/>
    <s v="KEPL/01250/82-83"/>
    <s v="BHAT BHATENI SUPERMARKET &amp; DEPARTMENTAL STORE PVT. LTD."/>
    <s v="Sprinkler"/>
    <x v="47"/>
    <n v="1"/>
    <n v="100"/>
    <n v="65.040000000000006"/>
    <n v="6504"/>
    <n v="0"/>
    <n v="0"/>
    <n v="845.520219"/>
    <n v="7349.520219"/>
  </r>
  <r>
    <x v="83"/>
    <x v="7"/>
    <s v="Q3"/>
    <x v="0"/>
    <s v="KEPL/01250/82-83"/>
    <s v="BHAT BHATENI SUPERMARKET &amp; DEPARTMENTAL STORE PVT. LTD."/>
    <s v="Cooking Paste"/>
    <x v="30"/>
    <n v="1"/>
    <n v="60"/>
    <n v="89.82"/>
    <n v="5389.2"/>
    <n v="0"/>
    <n v="0"/>
    <n v="700.596181"/>
    <n v="6089.7961809999997"/>
  </r>
  <r>
    <x v="83"/>
    <x v="7"/>
    <s v="Q3"/>
    <x v="0"/>
    <s v="KEPL/01251/82-83"/>
    <s v="BHAT BHATENI SUPERMARKET &amp; DEPARTMENTAL STORE PVT. LTD."/>
    <s v="Blends"/>
    <x v="18"/>
    <n v="1"/>
    <n v="120"/>
    <n v="136.28"/>
    <n v="16353.6"/>
    <n v="0"/>
    <n v="0"/>
    <n v="2125.968597"/>
    <n v="18479.568597000001"/>
  </r>
  <r>
    <x v="83"/>
    <x v="7"/>
    <s v="Q3"/>
    <x v="0"/>
    <s v="KEPL/01251/82-83"/>
    <s v="BHAT BHATENI SUPERMARKET &amp; DEPARTMENTAL STORE PVT. LTD."/>
    <s v="Straight Premium"/>
    <x v="7"/>
    <n v="1"/>
    <n v="120"/>
    <n v="136.28"/>
    <n v="16353.6"/>
    <n v="0"/>
    <n v="0"/>
    <n v="2125.968597"/>
    <n v="18479.568597000001"/>
  </r>
  <r>
    <x v="83"/>
    <x v="7"/>
    <s v="Q3"/>
    <x v="0"/>
    <s v="KEPL/01251/82-83"/>
    <s v="BHAT BHATENI SUPERMARKET &amp; DEPARTMENTAL STORE PVT. LTD."/>
    <s v="Cooking Paste"/>
    <x v="30"/>
    <n v="1"/>
    <n v="60"/>
    <n v="89.82"/>
    <n v="5389.2"/>
    <n v="0"/>
    <n v="0"/>
    <n v="700.59619700000007"/>
    <n v="6089.7961969999997"/>
  </r>
  <r>
    <x v="83"/>
    <x v="7"/>
    <s v="Q3"/>
    <x v="0"/>
    <s v="KEPL/01251/82-83"/>
    <s v="BHAT BHATENI SUPERMARKET &amp; DEPARTMENTAL STORE PVT. LTD."/>
    <s v="Straight Premium"/>
    <x v="22"/>
    <n v="1"/>
    <n v="40"/>
    <n v="260.18"/>
    <n v="10407.199999999999"/>
    <n v="0"/>
    <n v="0"/>
    <n v="1352.9363800000001"/>
    <n v="11760.13638"/>
  </r>
  <r>
    <x v="83"/>
    <x v="7"/>
    <s v="Q3"/>
    <x v="0"/>
    <s v="KEPL/01251/82-83"/>
    <s v="BHAT BHATENI SUPERMARKET &amp; DEPARTMENTAL STORE PVT. LTD."/>
    <s v="Cooking Paste"/>
    <x v="29"/>
    <n v="1"/>
    <n v="120"/>
    <n v="52.65"/>
    <n v="6318.0000000000009"/>
    <n v="0"/>
    <n v="0"/>
    <n v="821.34023000000002"/>
    <n v="7139.3402299999998"/>
  </r>
  <r>
    <x v="83"/>
    <x v="7"/>
    <s v="Q3"/>
    <x v="0"/>
    <s v="KEPL/01252/82-83"/>
    <s v="BHAT BHATENI SUPERMARKET &amp; DEPARTMENTAL STORE PVT. LTD."/>
    <s v="Cooking Paste"/>
    <x v="29"/>
    <n v="0.5"/>
    <n v="60"/>
    <n v="52.65"/>
    <n v="3159.0000000000005"/>
    <n v="0"/>
    <n v="0"/>
    <n v="410.66988300000003"/>
    <n v="3569.669883"/>
  </r>
  <r>
    <x v="83"/>
    <x v="7"/>
    <s v="Q3"/>
    <x v="0"/>
    <s v="KEPL/01252/82-83"/>
    <s v="BHAT BHATENI SUPERMARKET &amp; DEPARTMENTAL STORE PVT. LTD."/>
    <s v="Straight Premium"/>
    <x v="5"/>
    <n v="0.5"/>
    <n v="90"/>
    <n v="74.34"/>
    <n v="6690.5999999999995"/>
    <n v="0"/>
    <n v="0"/>
    <n v="869.77775299999996"/>
    <n v="7560.3777529999998"/>
  </r>
  <r>
    <x v="83"/>
    <x v="7"/>
    <s v="Q3"/>
    <x v="0"/>
    <s v="KEPL/01252/82-83"/>
    <s v="BHAT BHATENI SUPERMARKET &amp; DEPARTMENTAL STORE PVT. LTD."/>
    <s v="Hing"/>
    <x v="49"/>
    <n v="0.5"/>
    <n v="60"/>
    <n v="229.2"/>
    <n v="13752"/>
    <n v="0"/>
    <n v="0"/>
    <n v="1787.7594919999999"/>
    <n v="15539.759491999999"/>
  </r>
  <r>
    <x v="83"/>
    <x v="7"/>
    <s v="Q3"/>
    <x v="0"/>
    <s v="KEPL/01252/82-83"/>
    <s v="BHAT BHATENI SUPERMARKET &amp; DEPARTMENTAL STORE PVT. LTD."/>
    <s v="Hing"/>
    <x v="51"/>
    <n v="0.5"/>
    <n v="30"/>
    <n v="446.02"/>
    <n v="13380.599999999999"/>
    <n v="0"/>
    <n v="0"/>
    <n v="1739.4775060000002"/>
    <n v="15120.077506"/>
  </r>
  <r>
    <x v="83"/>
    <x v="7"/>
    <s v="Q3"/>
    <x v="0"/>
    <s v="KEPL/01252/82-83"/>
    <s v="BHAT BHATENI SUPERMARKET &amp; DEPARTMENTAL STORE PVT. LTD."/>
    <s v="Cooking Paste"/>
    <x v="30"/>
    <n v="1"/>
    <n v="60"/>
    <n v="89.82"/>
    <n v="5389.2"/>
    <n v="0"/>
    <n v="0"/>
    <n v="700.59580099999994"/>
    <n v="6089.7958010000002"/>
  </r>
  <r>
    <x v="83"/>
    <x v="7"/>
    <s v="Q3"/>
    <x v="0"/>
    <s v="KEPL/01252/82-83"/>
    <s v="BHAT BHATENI SUPERMARKET &amp; DEPARTMENTAL STORE PVT. LTD."/>
    <s v="Hing"/>
    <x v="50"/>
    <n v="0.5"/>
    <n v="100"/>
    <n v="117.7"/>
    <n v="11770"/>
    <n v="0"/>
    <n v="0"/>
    <n v="1530.099565"/>
    <n v="13300.099565"/>
  </r>
  <r>
    <x v="83"/>
    <x v="7"/>
    <s v="Q3"/>
    <x v="0"/>
    <s v="KEPL/01253/82-83"/>
    <s v="BHAT BHATENI SUPERMARKET &amp; DEPARTMENTAL STORE PVT. LTD."/>
    <s v="Sprinkler"/>
    <x v="25"/>
    <n v="1"/>
    <n v="48"/>
    <n v="272.57"/>
    <n v="13083.36"/>
    <n v="0"/>
    <n v="0"/>
    <n v="1700.837356"/>
    <n v="14784.197356000001"/>
  </r>
  <r>
    <x v="83"/>
    <x v="7"/>
    <s v="Q3"/>
    <x v="0"/>
    <s v="KEPL/01253/82-83"/>
    <s v="BHAT BHATENI SUPERMARKET &amp; DEPARTMENTAL STORE PVT. LTD."/>
    <s v="Sprinkler"/>
    <x v="26"/>
    <n v="1"/>
    <n v="72"/>
    <n v="120.8"/>
    <n v="8697.6"/>
    <n v="0"/>
    <n v="0"/>
    <n v="1130.6883700000001"/>
    <n v="9828.2883700000002"/>
  </r>
  <r>
    <x v="83"/>
    <x v="7"/>
    <s v="Q3"/>
    <x v="0"/>
    <s v="KEPL/01253/82-83"/>
    <s v="BHAT BHATENI SUPERMARKET &amp; DEPARTMENTAL STORE PVT. LTD."/>
    <s v="Cooking Paste"/>
    <x v="29"/>
    <n v="1"/>
    <n v="120"/>
    <n v="52.65"/>
    <n v="6318.0000000000009"/>
    <n v="0"/>
    <n v="0"/>
    <n v="821.34026900000003"/>
    <n v="7139.3402690000003"/>
  </r>
  <r>
    <x v="83"/>
    <x v="7"/>
    <s v="Q3"/>
    <x v="0"/>
    <s v="KEPL/01253/82-83"/>
    <s v="BHAT BHATENI SUPERMARKET &amp; DEPARTMENTAL STORE PVT. LTD."/>
    <s v="Hing"/>
    <x v="51"/>
    <n v="1"/>
    <n v="60"/>
    <n v="446.02"/>
    <n v="26761.199999999997"/>
    <n v="0"/>
    <n v="0"/>
    <n v="3478.9571380000002"/>
    <n v="30240.157137999999"/>
  </r>
  <r>
    <x v="83"/>
    <x v="7"/>
    <s v="Q3"/>
    <x v="0"/>
    <s v="KEPL/01253/82-83"/>
    <s v="BHAT BHATENI SUPERMARKET &amp; DEPARTMENTAL STORE PVT. LTD."/>
    <s v="Straight Premium"/>
    <x v="22"/>
    <n v="1"/>
    <n v="40"/>
    <n v="260.18"/>
    <n v="10407.199999999999"/>
    <n v="0"/>
    <n v="0"/>
    <n v="1352.9364430000001"/>
    <n v="11760.136442999999"/>
  </r>
  <r>
    <x v="83"/>
    <x v="7"/>
    <s v="Q3"/>
    <x v="0"/>
    <s v="KEPL/01253/82-83"/>
    <s v="BHAT BHATENI SUPERMARKET &amp; DEPARTMENTAL STORE PVT. LTD."/>
    <s v="Straight Premium"/>
    <x v="23"/>
    <n v="0.5"/>
    <n v="90"/>
    <n v="145.58000000000001"/>
    <n v="13102.199999999999"/>
    <n v="0"/>
    <n v="0"/>
    <n v="1703.2865570000001"/>
    <n v="14805.486557"/>
  </r>
  <r>
    <x v="83"/>
    <x v="7"/>
    <s v="Q3"/>
    <x v="0"/>
    <s v="KEPL/01253/82-83"/>
    <s v="BHAT BHATENI SUPERMARKET &amp; DEPARTMENTAL STORE PVT. LTD."/>
    <s v="Sprinkler"/>
    <x v="46"/>
    <n v="0.5"/>
    <n v="50"/>
    <n v="89.82"/>
    <n v="4491"/>
    <n v="0"/>
    <n v="0"/>
    <n v="583.83019100000001"/>
    <n v="5074.830191"/>
  </r>
  <r>
    <x v="83"/>
    <x v="7"/>
    <s v="Q3"/>
    <x v="0"/>
    <s v="KEPL/01253/82-83"/>
    <s v="BHAT BHATENI SUPERMARKET &amp; DEPARTMENTAL STORE PVT. LTD."/>
    <s v="Cooking Paste"/>
    <x v="30"/>
    <n v="2"/>
    <n v="120"/>
    <n v="89.82"/>
    <n v="10778.4"/>
    <n v="0"/>
    <n v="0"/>
    <n v="1401.192458"/>
    <n v="12179.592457999999"/>
  </r>
  <r>
    <x v="83"/>
    <x v="7"/>
    <s v="Q3"/>
    <x v="0"/>
    <s v="KEPL/01253/82-83"/>
    <s v="BHAT BHATENI SUPERMARKET &amp; DEPARTMENTAL STORE PVT. LTD."/>
    <s v="Sprinkler"/>
    <x v="31"/>
    <n v="1"/>
    <n v="72"/>
    <n v="136.28"/>
    <n v="9812.16"/>
    <n v="0"/>
    <n v="0"/>
    <n v="1275.5812170000002"/>
    <n v="11087.741217000001"/>
  </r>
  <r>
    <x v="83"/>
    <x v="7"/>
    <s v="Q3"/>
    <x v="0"/>
    <s v="KEPL/01254/82-83"/>
    <s v="BHAT BHATENI SUPERMARKET &amp; DEPARTMENTAL STORE PVT. LTD."/>
    <s v="Sprinkler"/>
    <x v="25"/>
    <n v="1"/>
    <n v="48"/>
    <n v="272.57"/>
    <n v="13083.36"/>
    <n v="0"/>
    <n v="0"/>
    <n v="1700.838121"/>
    <n v="14784.198120999999"/>
  </r>
  <r>
    <x v="83"/>
    <x v="7"/>
    <s v="Q3"/>
    <x v="0"/>
    <s v="KEPL/01254/82-83"/>
    <s v="BHAT BHATENI SUPERMARKET &amp; DEPARTMENTAL STORE PVT. LTD."/>
    <s v="Sprinkler"/>
    <x v="26"/>
    <n v="0.5"/>
    <n v="36"/>
    <n v="120.8"/>
    <n v="4348.8"/>
    <n v="0"/>
    <n v="0"/>
    <n v="565.34443899999997"/>
    <n v="4914.1444389999997"/>
  </r>
  <r>
    <x v="83"/>
    <x v="7"/>
    <s v="Q3"/>
    <x v="0"/>
    <s v="KEPL/01254/82-83"/>
    <s v="BHAT BHATENI SUPERMARKET &amp; DEPARTMENTAL STORE PVT. LTD."/>
    <s v="Sprinkler"/>
    <x v="31"/>
    <n v="0.5"/>
    <n v="36"/>
    <n v="136.28"/>
    <n v="4906.08"/>
    <n v="0"/>
    <n v="0"/>
    <n v="637.79089499999998"/>
    <n v="5543.870895"/>
  </r>
  <r>
    <x v="83"/>
    <x v="7"/>
    <s v="Q3"/>
    <x v="0"/>
    <s v="KEPL/01254/82-83"/>
    <s v="BHAT BHATENI SUPERMARKET &amp; DEPARTMENTAL STORE PVT. LTD."/>
    <s v="Cooking Paste"/>
    <x v="30"/>
    <n v="1"/>
    <n v="60"/>
    <n v="89.82"/>
    <n v="5389.2"/>
    <n v="0"/>
    <n v="0"/>
    <n v="700.59654399999999"/>
    <n v="6089.7965439999998"/>
  </r>
  <r>
    <x v="83"/>
    <x v="7"/>
    <s v="Q3"/>
    <x v="0"/>
    <s v="KEPL/01255/82-83"/>
    <s v="BHAT BHATENI SUPERMARKET &amp; DEPARTMENTAL STORE PVT. LTD."/>
    <s v="Straight Pouch"/>
    <x v="12"/>
    <n v="2"/>
    <n v="80"/>
    <n v="308"/>
    <n v="24640"/>
    <s v=""/>
    <s v=""/>
    <s v=""/>
    <n v="24640"/>
  </r>
  <r>
    <x v="83"/>
    <x v="7"/>
    <s v="Q3"/>
    <x v="0"/>
    <s v="KEPL/01255/82-83"/>
    <s v="BHAT BHATENI SUPERMARKET &amp; DEPARTMENTAL STORE PVT. LTD."/>
    <s v="Straight Pouch"/>
    <x v="13"/>
    <n v="1"/>
    <n v="100"/>
    <n v="126"/>
    <n v="12600"/>
    <s v=""/>
    <s v=""/>
    <s v=""/>
    <n v="12600"/>
  </r>
  <r>
    <x v="83"/>
    <x v="7"/>
    <s v="Q3"/>
    <x v="0"/>
    <s v="KEPL/01256/82-83"/>
    <s v="BHAT BHATENI SUPERMARKET &amp; DEPARTMENTAL STORE PVT. LTD."/>
    <s v="Straight Pouch"/>
    <x v="12"/>
    <n v="1"/>
    <n v="40"/>
    <n v="308"/>
    <n v="12320"/>
    <s v=""/>
    <s v=""/>
    <s v=""/>
    <n v="12320"/>
  </r>
  <r>
    <x v="83"/>
    <x v="7"/>
    <s v="Q3"/>
    <x v="0"/>
    <s v="KEPL/01257/82-83"/>
    <s v="BHAT BHATENI SUPERMARKET &amp; DEPARTMENTAL STORE PVT. LTD."/>
    <s v="Straight Pouch"/>
    <x v="13"/>
    <n v="0.5"/>
    <n v="50"/>
    <n v="126"/>
    <n v="6300"/>
    <s v=""/>
    <s v=""/>
    <s v=""/>
    <n v="6300"/>
  </r>
  <r>
    <x v="83"/>
    <x v="7"/>
    <s v="Q3"/>
    <x v="0"/>
    <s v="KEPL/01257/82-83"/>
    <s v="BHAT BHATENI SUPERMARKET &amp; DEPARTMENTAL STORE PVT. LTD."/>
    <s v="Straight Pouch"/>
    <x v="12"/>
    <n v="0.5"/>
    <n v="20"/>
    <n v="308"/>
    <n v="6160"/>
    <s v=""/>
    <s v=""/>
    <s v=""/>
    <n v="6160"/>
  </r>
  <r>
    <x v="83"/>
    <x v="7"/>
    <s v="Q3"/>
    <x v="0"/>
    <s v="KEPL/01258/82-83"/>
    <s v="BHAT BHATENI SUPERMARKET &amp; DEPARTMENTAL STORE PVT. LTD."/>
    <s v="Straight Pouch"/>
    <x v="12"/>
    <n v="1"/>
    <n v="40"/>
    <n v="308"/>
    <n v="12320"/>
    <s v=""/>
    <s v=""/>
    <s v=""/>
    <n v="12320"/>
  </r>
  <r>
    <x v="83"/>
    <x v="7"/>
    <s v="Q3"/>
    <x v="0"/>
    <s v="KEPL/01258/82-83"/>
    <s v="BHAT BHATENI SUPERMARKET &amp; DEPARTMENTAL STORE PVT. LTD."/>
    <s v="Straight Pouch"/>
    <x v="13"/>
    <n v="1"/>
    <n v="100"/>
    <n v="126"/>
    <n v="12600"/>
    <s v=""/>
    <s v=""/>
    <s v=""/>
    <n v="12600"/>
  </r>
  <r>
    <x v="84"/>
    <x v="7"/>
    <s v="Q3"/>
    <x v="0"/>
    <s v="KEPL/01259/82-83"/>
    <s v="BEERA BARJEE INTERNATIONAL PVT.LTD"/>
    <s v="Blends"/>
    <x v="27"/>
    <n v="1"/>
    <n v="120"/>
    <n v="114.93"/>
    <n v="13791.6"/>
    <n v="-1253.6600000000001"/>
    <n v="0"/>
    <n v="1629.9324139999999"/>
    <n v="14167.872413999999"/>
  </r>
  <r>
    <x v="84"/>
    <x v="7"/>
    <s v="Q3"/>
    <x v="0"/>
    <s v="KEPL/01259/82-83"/>
    <s v="BEERA BARJEE INTERNATIONAL PVT.LTD"/>
    <s v="Sprinkler"/>
    <x v="31"/>
    <n v="2"/>
    <n v="144"/>
    <n v="148.72999999999999"/>
    <n v="21417.119999999999"/>
    <n v="-1946.82"/>
    <n v="0"/>
    <n v="2531.1393330000001"/>
    <n v="22001.439332999998"/>
  </r>
  <r>
    <x v="84"/>
    <x v="7"/>
    <s v="Q3"/>
    <x v="0"/>
    <s v="KEPL/01259/82-83"/>
    <s v="BEERA BARJEE INTERNATIONAL PVT.LTD"/>
    <s v="Blends"/>
    <x v="11"/>
    <n v="1"/>
    <n v="180"/>
    <n v="64.23"/>
    <n v="11561.4"/>
    <n v="-1050.9299999999998"/>
    <n v="0"/>
    <n v="1366.3612800000001"/>
    <n v="11876.83128"/>
  </r>
  <r>
    <x v="84"/>
    <x v="7"/>
    <s v="Q3"/>
    <x v="0"/>
    <s v="KEPL/01259/82-83"/>
    <s v="BEERA BARJEE INTERNATIONAL PVT.LTD"/>
    <s v="Blends"/>
    <x v="18"/>
    <n v="1"/>
    <n v="120"/>
    <n v="148.72999999999999"/>
    <n v="17847.600000000002"/>
    <n v="-1622.3500000000001"/>
    <n v="0"/>
    <n v="2109.2827769999999"/>
    <n v="18334.532777"/>
  </r>
  <r>
    <x v="84"/>
    <x v="7"/>
    <s v="Q3"/>
    <x v="0"/>
    <s v="KEPL/01259/82-83"/>
    <s v="BEERA BARJEE INTERNATIONAL PVT.LTD"/>
    <s v="Sprinkler"/>
    <x v="25"/>
    <n v="1"/>
    <n v="48"/>
    <n v="297.45999999999998"/>
    <n v="14278.08"/>
    <n v="-1297.8800000000001"/>
    <n v="0"/>
    <n v="1687.4262220000001"/>
    <n v="14667.626222000001"/>
  </r>
  <r>
    <x v="84"/>
    <x v="7"/>
    <s v="Q3"/>
    <x v="0"/>
    <s v="KEPL/01259/82-83"/>
    <s v="BEERA BARJEE INTERNATIONAL PVT.LTD"/>
    <s v="Straight Premium"/>
    <x v="8"/>
    <n v="1"/>
    <n v="120"/>
    <n v="50.7"/>
    <n v="6084"/>
    <n v="-553.04"/>
    <n v="0"/>
    <n v="719.0248949999999"/>
    <n v="6249.9848949999996"/>
  </r>
  <r>
    <x v="84"/>
    <x v="7"/>
    <s v="Q3"/>
    <x v="0"/>
    <s v="KEPL/01259/82-83"/>
    <s v="BEERA BARJEE INTERNATIONAL PVT.LTD"/>
    <s v="Blends"/>
    <x v="2"/>
    <n v="1"/>
    <n v="180"/>
    <n v="64.23"/>
    <n v="11561.4"/>
    <n v="-1050.9299999999998"/>
    <n v="0"/>
    <n v="1366.3612800000001"/>
    <n v="11876.83128"/>
  </r>
  <r>
    <x v="84"/>
    <x v="7"/>
    <s v="Q3"/>
    <x v="0"/>
    <s v="KEPL/01259/82-83"/>
    <s v="BEERA BARJEE INTERNATIONAL PVT.LTD"/>
    <s v="Hing"/>
    <x v="50"/>
    <n v="1"/>
    <n v="200"/>
    <n v="128.44999999999999"/>
    <n v="25690"/>
    <n v="-2335.2199999999998"/>
    <n v="0"/>
    <n v="3036.121799"/>
    <n v="26390.901798999999"/>
  </r>
  <r>
    <x v="84"/>
    <x v="7"/>
    <s v="Q3"/>
    <x v="0"/>
    <s v="KEPL/01260/82-83"/>
    <s v="SUBHARAMBHA TRADING"/>
    <s v="Sprinkler"/>
    <x v="31"/>
    <n v="1"/>
    <n v="72"/>
    <n v="148.72999999999999"/>
    <n v="10708.56"/>
    <n v="-973.41"/>
    <n v="0"/>
    <n v="1265.5702489999999"/>
    <n v="11000.720249"/>
  </r>
  <r>
    <x v="84"/>
    <x v="7"/>
    <s v="Q3"/>
    <x v="0"/>
    <s v="KEPL/01260/82-83"/>
    <s v="SUBHARAMBHA TRADING"/>
    <s v="Straight Premium"/>
    <x v="7"/>
    <n v="1"/>
    <n v="120"/>
    <n v="152.11000000000001"/>
    <n v="18253.2"/>
    <n v="-1659.2199999999998"/>
    <n v="0"/>
    <n v="2157.2186769999998"/>
    <n v="18751.198677"/>
  </r>
  <r>
    <x v="84"/>
    <x v="7"/>
    <s v="Q3"/>
    <x v="0"/>
    <s v="KEPL/01260/82-83"/>
    <s v="SUBHARAMBHA TRADING"/>
    <s v="Cooking Paste"/>
    <x v="30"/>
    <n v="1"/>
    <n v="60"/>
    <n v="98.03"/>
    <n v="5881.8"/>
    <n v="-534.66"/>
    <n v="0"/>
    <n v="695.12861100000009"/>
    <n v="6042.2686110000004"/>
  </r>
  <r>
    <x v="84"/>
    <x v="7"/>
    <s v="Q3"/>
    <x v="0"/>
    <s v="KEPL/01260/82-83"/>
    <s v="SUBHARAMBHA TRADING"/>
    <s v="Sprinkler"/>
    <x v="26"/>
    <n v="1"/>
    <n v="72"/>
    <n v="131.83000000000001"/>
    <n v="9491.76"/>
    <n v="-862.8"/>
    <n v="0"/>
    <n v="1121.7654640000001"/>
    <n v="9750.7254639999992"/>
  </r>
  <r>
    <x v="84"/>
    <x v="7"/>
    <s v="Q3"/>
    <x v="0"/>
    <s v="KEPL/01260/82-83"/>
    <s v="SUBHARAMBHA TRADING"/>
    <s v="Sprinkler"/>
    <x v="25"/>
    <n v="1"/>
    <n v="48"/>
    <n v="297.45999999999998"/>
    <n v="14278.08"/>
    <n v="-1297.8800000000001"/>
    <n v="0"/>
    <n v="1687.426999"/>
    <n v="14667.626999"/>
  </r>
  <r>
    <x v="84"/>
    <x v="7"/>
    <s v="Q3"/>
    <x v="0"/>
    <s v="KEPL/01263/82-83"/>
    <s v="NEPAL SENA SUPATH MULYA CANTEEN"/>
    <s v="Straight Pouch"/>
    <x v="13"/>
    <n v="0.5"/>
    <n v="50"/>
    <n v="138.46"/>
    <n v="6923"/>
    <s v=""/>
    <s v=""/>
    <s v=""/>
    <n v="6923"/>
  </r>
  <r>
    <x v="84"/>
    <x v="7"/>
    <s v="Q3"/>
    <x v="0"/>
    <s v="KEPL/01263/82-83"/>
    <s v="NEPAL SENA SUPATH MULYA CANTEEN"/>
    <s v="Straight Pouch"/>
    <x v="12"/>
    <n v="1"/>
    <n v="40"/>
    <n v="338.46"/>
    <n v="13538.400000000001"/>
    <s v=""/>
    <s v=""/>
    <s v=""/>
    <n v="13538.4"/>
  </r>
  <r>
    <x v="84"/>
    <x v="7"/>
    <s v="Q3"/>
    <x v="0"/>
    <s v="KEPL/01264/82-83"/>
    <s v="SHUBHASHREE MARKETING"/>
    <s v="Sprinkler"/>
    <x v="31"/>
    <n v="1"/>
    <n v="72"/>
    <n v="148.72999999999999"/>
    <n v="10708.56"/>
    <n v="-973.41"/>
    <n v="0"/>
    <n v="1265.57"/>
    <n v="11000.72"/>
  </r>
  <r>
    <x v="84"/>
    <x v="7"/>
    <s v="Q3"/>
    <x v="0"/>
    <s v="KEPL/01272/82-83"/>
    <s v="MEGA MART PVT.LTD"/>
    <s v="Sprinkler"/>
    <x v="31"/>
    <n v="7"/>
    <n v="504"/>
    <n v="140.18"/>
    <n v="70650.720000000001"/>
    <n v="0"/>
    <n v="0"/>
    <n v="9184.5918679999995"/>
    <n v="79835.311868000004"/>
  </r>
  <r>
    <x v="84"/>
    <x v="7"/>
    <s v="Q3"/>
    <x v="0"/>
    <s v="KEPL/01272/82-83"/>
    <s v="MEGA MART PVT.LTD"/>
    <s v="Sprinkler"/>
    <x v="26"/>
    <n v="1"/>
    <n v="72"/>
    <n v="124.25"/>
    <n v="8946"/>
    <n v="0"/>
    <n v="0"/>
    <n v="1162.979781"/>
    <n v="10108.979781"/>
  </r>
  <r>
    <x v="84"/>
    <x v="7"/>
    <s v="Q3"/>
    <x v="0"/>
    <s v="KEPL/01272/82-83"/>
    <s v="MEGA MART PVT.LTD"/>
    <s v="Sprinkler"/>
    <x v="25"/>
    <n v="5"/>
    <n v="240"/>
    <n v="280.35000000000002"/>
    <n v="67284"/>
    <n v="0"/>
    <n v="0"/>
    <n v="8746.9183510000003"/>
    <n v="76030.918351"/>
  </r>
  <r>
    <x v="85"/>
    <x v="7"/>
    <s v="Q3"/>
    <x v="0"/>
    <s v="KEPL/01307/82-83"/>
    <s v="DS SPICECO L &amp; D"/>
    <s v="Straight Pouch"/>
    <x v="12"/>
    <n v="0.05"/>
    <n v="2"/>
    <n v="297.45999999999998"/>
    <n v="594.91999999999996"/>
    <n v="-54.08"/>
    <n v="0"/>
    <n v="0"/>
    <n v="540.84"/>
  </r>
  <r>
    <x v="85"/>
    <x v="7"/>
    <s v="Q3"/>
    <x v="0"/>
    <s v="KEPL/01317/82-83"/>
    <s v="DINESH TRADING HOUSE"/>
    <s v="Straight Pouch"/>
    <x v="13"/>
    <n v="1"/>
    <n v="100"/>
    <n v="121.69"/>
    <n v="12169"/>
    <n v="-1106.1600000000001"/>
    <n v="0"/>
    <n v="0"/>
    <n v="11062.84"/>
  </r>
  <r>
    <x v="85"/>
    <x v="7"/>
    <s v="Q3"/>
    <x v="0"/>
    <s v="KEPL/01317/82-83"/>
    <s v="DINESH TRADING HOUSE"/>
    <s v="Straight Pouch"/>
    <x v="12"/>
    <n v="1"/>
    <n v="40"/>
    <n v="297.45999999999998"/>
    <n v="11898.4"/>
    <n v="-1081.56"/>
    <n v="0"/>
    <n v="0"/>
    <n v="10816.84"/>
  </r>
  <r>
    <x v="85"/>
    <x v="7"/>
    <s v="Q3"/>
    <x v="0"/>
    <s v="KEPL/01318/82-83"/>
    <s v="DINESH TRADING HOUSE"/>
    <s v="Sprinkler"/>
    <x v="25"/>
    <n v="1"/>
    <n v="48"/>
    <n v="297.45999999999998"/>
    <n v="14278.08"/>
    <n v="-1297.8800000000001"/>
    <n v="0"/>
    <n v="1687.4264029999999"/>
    <n v="14667.626403"/>
  </r>
  <r>
    <x v="85"/>
    <x v="7"/>
    <s v="Q3"/>
    <x v="0"/>
    <s v="KEPL/01318/82-83"/>
    <s v="DINESH TRADING HOUSE"/>
    <s v="Straight Pouch"/>
    <x v="3"/>
    <n v="1"/>
    <n v="40"/>
    <n v="393.46"/>
    <n v="15738.4"/>
    <n v="-1430.6200000000001"/>
    <n v="0"/>
    <n v="1860.0118439999999"/>
    <n v="16167.791843999999"/>
  </r>
  <r>
    <x v="85"/>
    <x v="7"/>
    <s v="Q3"/>
    <x v="0"/>
    <s v="KEPL/01318/82-83"/>
    <s v="DINESH TRADING HOUSE"/>
    <s v="Straight Premium"/>
    <x v="23"/>
    <n v="2"/>
    <n v="360"/>
    <n v="182.53"/>
    <n v="65710.8"/>
    <n v="-5973.11"/>
    <n v="0"/>
    <n v="7765.901554"/>
    <n v="67503.591553999999"/>
  </r>
  <r>
    <x v="85"/>
    <x v="7"/>
    <s v="Q3"/>
    <x v="0"/>
    <s v="KEPL/01318/82-83"/>
    <s v="DINESH TRADING HOUSE"/>
    <s v="Straight Premium"/>
    <x v="8"/>
    <n v="1"/>
    <n v="120"/>
    <n v="50.7"/>
    <n v="6084"/>
    <n v="-553.04"/>
    <n v="0"/>
    <n v="719.02497199999993"/>
    <n v="6249.9849720000002"/>
  </r>
  <r>
    <x v="85"/>
    <x v="7"/>
    <s v="Q3"/>
    <x v="0"/>
    <s v="KEPL/01318/82-83"/>
    <s v="DINESH TRADING HOUSE"/>
    <s v="Sprinkler"/>
    <x v="31"/>
    <n v="1"/>
    <n v="72"/>
    <n v="148.72999999999999"/>
    <n v="10708.56"/>
    <n v="-973.41"/>
    <n v="0"/>
    <n v="1265.569802"/>
    <n v="11000.719802"/>
  </r>
  <r>
    <x v="85"/>
    <x v="7"/>
    <s v="Q3"/>
    <x v="0"/>
    <s v="KEPL/01318/82-83"/>
    <s v="DINESH TRADING HOUSE"/>
    <s v="Straight Pouch"/>
    <x v="6"/>
    <n v="1"/>
    <n v="100"/>
    <n v="162.26"/>
    <n v="16226"/>
    <n v="-1474.94"/>
    <n v="0"/>
    <n v="1917.638258"/>
    <n v="16668.698258"/>
  </r>
  <r>
    <x v="85"/>
    <x v="7"/>
    <s v="Q3"/>
    <x v="0"/>
    <s v="KEPL/01318/82-83"/>
    <s v="DINESH TRADING HOUSE"/>
    <s v="Sprinkler"/>
    <x v="26"/>
    <n v="1"/>
    <n v="72"/>
    <n v="131.83000000000001"/>
    <n v="9491.76"/>
    <n v="-862.8"/>
    <n v="0"/>
    <n v="1121.7650679999999"/>
    <n v="9750.7250679999997"/>
  </r>
  <r>
    <x v="85"/>
    <x v="7"/>
    <s v="Q3"/>
    <x v="0"/>
    <s v="KEPL/01318/82-83"/>
    <s v="DINESH TRADING HOUSE"/>
    <s v="Straight Pouch"/>
    <x v="1"/>
    <n v="1"/>
    <n v="100"/>
    <n v="108.17"/>
    <n v="10817"/>
    <n v="-983.2700000000001"/>
    <n v="0"/>
    <n v="1278.385205"/>
    <n v="11112.115205"/>
  </r>
  <r>
    <x v="85"/>
    <x v="7"/>
    <s v="Q3"/>
    <x v="0"/>
    <s v="KEPL/01318/82-83"/>
    <s v="DINESH TRADING HOUSE"/>
    <s v="Straight Pouch"/>
    <x v="4"/>
    <n v="1"/>
    <n v="40"/>
    <n v="260.27999999999997"/>
    <n v="10411.200000000001"/>
    <n v="-946.38"/>
    <n v="0"/>
    <n v="1230.4268940000002"/>
    <n v="10695.246894"/>
  </r>
  <r>
    <x v="86"/>
    <x v="7"/>
    <s v="Q3"/>
    <x v="0"/>
    <s v="KEPL/01326/82-83"/>
    <s v="BEERA BARJEE INTERNATIONAL PVT.LTD"/>
    <s v="Blends"/>
    <x v="17"/>
    <n v="1"/>
    <n v="180"/>
    <n v="118.3"/>
    <n v="21294"/>
    <n v="-1935.62"/>
    <n v="0"/>
    <n v="2516.589273"/>
    <n v="21874.969272999999"/>
  </r>
  <r>
    <x v="86"/>
    <x v="7"/>
    <s v="Q3"/>
    <x v="0"/>
    <s v="KEPL/01326/82-83"/>
    <s v="BEERA BARJEE INTERNATIONAL PVT.LTD"/>
    <s v="Straight Pouch"/>
    <x v="3"/>
    <n v="1"/>
    <n v="40"/>
    <n v="393.46"/>
    <n v="15738.4"/>
    <n v="-1430.6200000000001"/>
    <n v="0"/>
    <n v="1860.0113059999999"/>
    <n v="16167.791305999999"/>
  </r>
  <r>
    <x v="86"/>
    <x v="7"/>
    <s v="Q3"/>
    <x v="0"/>
    <s v="KEPL/01326/82-83"/>
    <s v="BEERA BARJEE INTERNATIONAL PVT.LTD"/>
    <s v="Straight Premium"/>
    <x v="22"/>
    <n v="1"/>
    <n v="40"/>
    <n v="283.94"/>
    <n v="11357.599999999999"/>
    <n v="-1032.4099999999999"/>
    <n v="0"/>
    <n v="1342.2746319999999"/>
    <n v="11667.464631999999"/>
  </r>
  <r>
    <x v="86"/>
    <x v="7"/>
    <s v="Q3"/>
    <x v="0"/>
    <s v="KEPL/01326/82-83"/>
    <s v="BEERA BARJEE INTERNATIONAL PVT.LTD"/>
    <s v="Straight Premium"/>
    <x v="24"/>
    <n v="1"/>
    <n v="40"/>
    <n v="439.44"/>
    <n v="17577.599999999999"/>
    <n v="-1597.8"/>
    <n v="0"/>
    <n v="2077.3738950000002"/>
    <n v="18057.173895"/>
  </r>
  <r>
    <x v="86"/>
    <x v="7"/>
    <s v="Q3"/>
    <x v="0"/>
    <s v="KEPL/01326/82-83"/>
    <s v="BEERA BARJEE INTERNATIONAL PVT.LTD"/>
    <s v="Straight Pouch"/>
    <x v="6"/>
    <n v="1"/>
    <n v="100"/>
    <n v="162.26"/>
    <n v="16226"/>
    <n v="-1474.94"/>
    <n v="0"/>
    <n v="1917.6377030000001"/>
    <n v="16668.697703000002"/>
  </r>
  <r>
    <x v="86"/>
    <x v="7"/>
    <s v="Q3"/>
    <x v="0"/>
    <s v="KEPL/01326/82-83"/>
    <s v="BEERA BARJEE INTERNATIONAL PVT.LTD"/>
    <s v="Straight Premium"/>
    <x v="5"/>
    <n v="1"/>
    <n v="180"/>
    <n v="94.65"/>
    <n v="17037"/>
    <n v="-1548.6599999999999"/>
    <n v="0"/>
    <n v="2013.4840980000001"/>
    <n v="17501.824098000001"/>
  </r>
  <r>
    <x v="86"/>
    <x v="7"/>
    <s v="Q3"/>
    <x v="0"/>
    <s v="KEPL/01326/82-83"/>
    <s v="BEERA BARJEE INTERNATIONAL PVT.LTD"/>
    <s v="Cooking Paste"/>
    <x v="29"/>
    <n v="1"/>
    <n v="120"/>
    <n v="57.46"/>
    <n v="6895.2"/>
    <n v="-626.77"/>
    <n v="0"/>
    <n v="814.89585899999997"/>
    <n v="7083.3258589999996"/>
  </r>
  <r>
    <x v="86"/>
    <x v="7"/>
    <s v="Q3"/>
    <x v="0"/>
    <s v="KEPL/01326/82-83"/>
    <s v="BEERA BARJEE INTERNATIONAL PVT.LTD"/>
    <s v="Straight Premium"/>
    <x v="7"/>
    <n v="1"/>
    <n v="120"/>
    <n v="152.11000000000001"/>
    <n v="18253.2"/>
    <n v="-1659.2199999999998"/>
    <n v="0"/>
    <n v="2157.2172909999999"/>
    <n v="18751.197291"/>
  </r>
  <r>
    <x v="86"/>
    <x v="7"/>
    <s v="Q3"/>
    <x v="0"/>
    <s v="KEPL/01326/82-83"/>
    <s v="BEERA BARJEE INTERNATIONAL PVT.LTD"/>
    <s v="Blends"/>
    <x v="20"/>
    <n v="1"/>
    <n v="120"/>
    <n v="118.3"/>
    <n v="14195.999999999998"/>
    <n v="-1290.4199999999998"/>
    <n v="0"/>
    <n v="1677.7253150000001"/>
    <n v="14583.305315"/>
  </r>
  <r>
    <x v="86"/>
    <x v="7"/>
    <s v="Q3"/>
    <x v="0"/>
    <s v="KEPL/01326/82-83"/>
    <s v="BEERA BARJEE INTERNATIONAL PVT.LTD"/>
    <s v="Straight Pouch"/>
    <x v="1"/>
    <n v="1"/>
    <n v="100"/>
    <n v="108.17"/>
    <n v="10817"/>
    <n v="-983.2700000000001"/>
    <n v="0"/>
    <n v="1278.3848350000001"/>
    <n v="11112.114835"/>
  </r>
  <r>
    <x v="86"/>
    <x v="7"/>
    <s v="Q3"/>
    <x v="0"/>
    <s v="KEPL/01326/82-83"/>
    <s v="BEERA BARJEE INTERNATIONAL PVT.LTD"/>
    <s v="Cooking Paste"/>
    <x v="30"/>
    <n v="3"/>
    <n v="180"/>
    <n v="98.03"/>
    <n v="17645.400000000001"/>
    <n v="-1603.97"/>
    <n v="0"/>
    <n v="2085.3857940000003"/>
    <n v="18126.815793999998"/>
  </r>
  <r>
    <x v="86"/>
    <x v="7"/>
    <s v="Q3"/>
    <x v="0"/>
    <s v="KEPL/01330/82-83"/>
    <s v="BEERA BARJEE INTERNATIONAL PVT.LTD"/>
    <s v="Cooking Paste"/>
    <x v="29"/>
    <n v="2"/>
    <n v="240"/>
    <n v="57.46"/>
    <n v="13790.4"/>
    <n v="-1253.55"/>
    <n v="0"/>
    <n v="1629.79"/>
    <n v="14166.64"/>
  </r>
  <r>
    <x v="86"/>
    <x v="7"/>
    <s v="Q3"/>
    <x v="0"/>
    <s v="KEPL/01331/82-83"/>
    <s v="NEPAL SENA SUPATH MULYA CANTEEN"/>
    <s v="Sprinkler"/>
    <x v="31"/>
    <n v="1"/>
    <n v="72"/>
    <n v="149.76"/>
    <n v="10782.72"/>
    <n v="0"/>
    <n v="0"/>
    <n v="1401.7536"/>
    <n v="12184.473599999999"/>
  </r>
  <r>
    <x v="86"/>
    <x v="7"/>
    <s v="Q3"/>
    <x v="0"/>
    <s v="KEPL/01331/82-83"/>
    <s v="NEPAL SENA SUPATH MULYA CANTEEN"/>
    <s v="Sprinkler"/>
    <x v="26"/>
    <n v="1"/>
    <n v="72"/>
    <n v="132.74"/>
    <n v="9557.2799999999988"/>
    <n v="0"/>
    <n v="0"/>
    <n v="1242.4464"/>
    <n v="10799.7264"/>
  </r>
  <r>
    <x v="86"/>
    <x v="7"/>
    <s v="Q3"/>
    <x v="0"/>
    <s v="KEPL/01333/82-83"/>
    <s v="SHIVA SHAKTI CONCERN"/>
    <s v="Blends"/>
    <x v="2"/>
    <n v="1"/>
    <n v="180"/>
    <n v="64.23"/>
    <n v="11561.4"/>
    <n v="-1050.9299999999998"/>
    <n v="0"/>
    <n v="1366.361046"/>
    <n v="11876.831045999999"/>
  </r>
  <r>
    <x v="86"/>
    <x v="7"/>
    <s v="Q3"/>
    <x v="0"/>
    <s v="KEPL/01333/82-83"/>
    <s v="SHIVA SHAKTI CONCERN"/>
    <s v="Sprinkler"/>
    <x v="31"/>
    <n v="1"/>
    <n v="72"/>
    <n v="148.72999999999999"/>
    <n v="10708.56"/>
    <n v="-973.41"/>
    <n v="0"/>
    <n v="1265.56945"/>
    <n v="11000.719450000001"/>
  </r>
  <r>
    <x v="86"/>
    <x v="7"/>
    <s v="Q3"/>
    <x v="0"/>
    <s v="KEPL/01333/82-83"/>
    <s v="SHIVA SHAKTI CONCERN"/>
    <s v="Blends"/>
    <x v="11"/>
    <n v="1"/>
    <n v="180"/>
    <n v="64.23"/>
    <n v="11561.4"/>
    <n v="-1050.9299999999998"/>
    <n v="0"/>
    <n v="1366.361046"/>
    <n v="11876.831045999999"/>
  </r>
  <r>
    <x v="86"/>
    <x v="7"/>
    <s v="Q3"/>
    <x v="0"/>
    <s v="KEPL/01333/82-83"/>
    <s v="SHIVA SHAKTI CONCERN"/>
    <s v="Straight Premium"/>
    <x v="8"/>
    <n v="1"/>
    <n v="120"/>
    <n v="50.7"/>
    <n v="6084"/>
    <n v="-553.04"/>
    <n v="0"/>
    <n v="719.02477199999998"/>
    <n v="6249.9847719999998"/>
  </r>
  <r>
    <x v="86"/>
    <x v="7"/>
    <s v="Q3"/>
    <x v="0"/>
    <s v="KEPL/01333/82-83"/>
    <s v="SHIVA SHAKTI CONCERN"/>
    <s v="Straight Premium"/>
    <x v="34"/>
    <n v="1"/>
    <n v="80"/>
    <n v="229.86"/>
    <n v="18388.8"/>
    <n v="-1671.54"/>
    <n v="0"/>
    <n v="2173.2437150000001"/>
    <n v="18890.503714999999"/>
  </r>
  <r>
    <x v="86"/>
    <x v="7"/>
    <s v="Q3"/>
    <x v="0"/>
    <s v="KEPL/01333/82-83"/>
    <s v="SHIVA SHAKTI CONCERN"/>
    <s v="Blends"/>
    <x v="32"/>
    <n v="1"/>
    <n v="120"/>
    <n v="64.23"/>
    <n v="7707.5999999999995"/>
    <n v="-700.62"/>
    <n v="0"/>
    <n v="910.90736400000003"/>
    <n v="7917.8873640000002"/>
  </r>
  <r>
    <x v="86"/>
    <x v="7"/>
    <s v="Q3"/>
    <x v="0"/>
    <s v="KEPL/01333/82-83"/>
    <s v="SHIVA SHAKTI CONCERN"/>
    <s v="Straight Premium"/>
    <x v="7"/>
    <n v="1"/>
    <n v="120"/>
    <n v="152.11000000000001"/>
    <n v="18253.2"/>
    <n v="-1659.2199999999998"/>
    <n v="0"/>
    <n v="2157.2173149999999"/>
    <n v="18751.197315000001"/>
  </r>
  <r>
    <x v="86"/>
    <x v="7"/>
    <s v="Q3"/>
    <x v="0"/>
    <s v="KEPL/01333/82-83"/>
    <s v="SHIVA SHAKTI CONCERN"/>
    <s v="Cooking Paste"/>
    <x v="30"/>
    <n v="4"/>
    <n v="240"/>
    <n v="98.03"/>
    <n v="23527.200000000001"/>
    <n v="-2138.6200000000003"/>
    <n v="0"/>
    <n v="2780.5152910000002"/>
    <n v="24169.095291000001"/>
  </r>
  <r>
    <x v="86"/>
    <x v="7"/>
    <s v="Q3"/>
    <x v="0"/>
    <s v="KEPL/01334/82-83"/>
    <s v="NEPAL SENA SUPATH MULYA CANTEEN"/>
    <s v="Blends"/>
    <x v="2"/>
    <n v="0.5"/>
    <n v="90"/>
    <n v="64.67"/>
    <n v="5820.3"/>
    <n v="0"/>
    <n v="0"/>
    <n v="756.63881900000001"/>
    <n v="6576.938819"/>
  </r>
  <r>
    <x v="86"/>
    <x v="7"/>
    <s v="Q3"/>
    <x v="0"/>
    <s v="KEPL/01334/82-83"/>
    <s v="NEPAL SENA SUPATH MULYA CANTEEN"/>
    <s v="Blends"/>
    <x v="11"/>
    <n v="0.5"/>
    <n v="90"/>
    <n v="64.67"/>
    <n v="5820.3"/>
    <n v="0"/>
    <n v="0"/>
    <n v="756.63881900000001"/>
    <n v="6576.938819"/>
  </r>
  <r>
    <x v="86"/>
    <x v="7"/>
    <s v="Q3"/>
    <x v="0"/>
    <s v="KEPL/01334/82-83"/>
    <s v="NEPAL SENA SUPATH MULYA CANTEEN"/>
    <s v="Straight Pouch"/>
    <x v="4"/>
    <n v="0.5"/>
    <n v="20"/>
    <n v="262.08"/>
    <n v="5241.6000000000004"/>
    <n v="0"/>
    <n v="0"/>
    <n v="681.40783699999997"/>
    <n v="5923.0078370000001"/>
  </r>
  <r>
    <x v="86"/>
    <x v="7"/>
    <s v="Q3"/>
    <x v="0"/>
    <s v="KEPL/01334/82-83"/>
    <s v="NEPAL SENA SUPATH MULYA CANTEEN"/>
    <s v="Straight Premium"/>
    <x v="23"/>
    <n v="0.28000000000000003"/>
    <n v="50"/>
    <n v="183.8"/>
    <n v="9190"/>
    <n v="0"/>
    <n v="0"/>
    <n v="1194.699715"/>
    <n v="10384.699715000001"/>
  </r>
  <r>
    <x v="86"/>
    <x v="7"/>
    <s v="Q3"/>
    <x v="0"/>
    <s v="KEPL/01334/82-83"/>
    <s v="NEPAL SENA SUPATH MULYA CANTEEN"/>
    <s v="Blends"/>
    <x v="17"/>
    <n v="0.28000000000000003"/>
    <n v="50"/>
    <n v="122.53"/>
    <n v="6126.5"/>
    <n v="0"/>
    <n v="0"/>
    <n v="796.44480999999996"/>
    <n v="6922.94481"/>
  </r>
  <r>
    <x v="86"/>
    <x v="7"/>
    <s v="Q3"/>
    <x v="0"/>
    <s v="KEPL/01343/82-83"/>
    <s v="RAJU KIRANA PASAL"/>
    <s v="Straight Pouch"/>
    <x v="1"/>
    <n v="1"/>
    <n v="100"/>
    <n v="108.17"/>
    <n v="10817"/>
    <n v="-983.2700000000001"/>
    <n v="0"/>
    <n v="1278.384237"/>
    <n v="11112.114237"/>
  </r>
  <r>
    <x v="86"/>
    <x v="7"/>
    <s v="Q3"/>
    <x v="0"/>
    <s v="KEPL/01343/82-83"/>
    <s v="RAJU KIRANA PASAL"/>
    <s v="Straight Premium"/>
    <x v="5"/>
    <n v="1"/>
    <n v="180"/>
    <n v="94.65"/>
    <n v="17037"/>
    <n v="-1548.6599999999999"/>
    <n v="0"/>
    <n v="2013.483156"/>
    <n v="17501.823155999999"/>
  </r>
  <r>
    <x v="86"/>
    <x v="7"/>
    <s v="Q3"/>
    <x v="0"/>
    <s v="KEPL/01343/82-83"/>
    <s v="RAJU KIRANA PASAL"/>
    <s v="Blends"/>
    <x v="2"/>
    <n v="1"/>
    <n v="180"/>
    <n v="64.23"/>
    <n v="11561.4"/>
    <n v="-1050.9299999999998"/>
    <n v="0"/>
    <n v="1366.360392"/>
    <n v="11876.830392"/>
  </r>
  <r>
    <x v="86"/>
    <x v="7"/>
    <s v="Q3"/>
    <x v="0"/>
    <s v="KEPL/01343/82-83"/>
    <s v="RAJU KIRANA PASAL"/>
    <s v="Blends"/>
    <x v="9"/>
    <n v="1"/>
    <n v="180"/>
    <n v="70.989999999999995"/>
    <n v="12778.2"/>
    <n v="-1161.54"/>
    <n v="0"/>
    <n v="1510.165017"/>
    <n v="13126.825016999999"/>
  </r>
  <r>
    <x v="86"/>
    <x v="7"/>
    <s v="Q3"/>
    <x v="0"/>
    <s v="KEPL/01343/82-83"/>
    <s v="RAJU KIRANA PASAL"/>
    <s v="Straight Pouch"/>
    <x v="6"/>
    <n v="1"/>
    <n v="100"/>
    <n v="162.26"/>
    <n v="16226"/>
    <n v="-1474.94"/>
    <n v="0"/>
    <n v="1917.6368060000002"/>
    <n v="16668.696806"/>
  </r>
  <r>
    <x v="86"/>
    <x v="7"/>
    <s v="Q3"/>
    <x v="0"/>
    <s v="KEPL/01343/82-83"/>
    <s v="RAJU KIRANA PASAL"/>
    <s v="Blends"/>
    <x v="11"/>
    <n v="1"/>
    <n v="180"/>
    <n v="64.23"/>
    <n v="11561.4"/>
    <n v="-1050.9299999999998"/>
    <n v="0"/>
    <n v="1366.360392"/>
    <n v="11876.830392"/>
  </r>
  <r>
    <x v="87"/>
    <x v="7"/>
    <s v="Q3"/>
    <x v="0"/>
    <s v="KEPL/01352/82-83"/>
    <s v="SIMPEX SOLUTION PVT. LTD"/>
    <s v="Blends"/>
    <x v="10"/>
    <n v="0.06"/>
    <n v="10"/>
    <n v="63.72"/>
    <n v="637.20000000000005"/>
    <n v="0"/>
    <n v="0"/>
    <n v="82.836347000000004"/>
    <n v="720.03634699999998"/>
  </r>
  <r>
    <x v="87"/>
    <x v="7"/>
    <s v="Q3"/>
    <x v="0"/>
    <s v="KEPL/01352/82-83"/>
    <s v="SIMPEX SOLUTION PVT. LTD"/>
    <s v="Blends"/>
    <x v="27"/>
    <n v="0.08"/>
    <n v="10"/>
    <n v="120.35"/>
    <n v="1203.5000000000002"/>
    <n v="0"/>
    <n v="0"/>
    <n v="156.45565500000001"/>
    <n v="1359.955655"/>
  </r>
  <r>
    <x v="87"/>
    <x v="7"/>
    <s v="Q3"/>
    <x v="0"/>
    <s v="KEPL/01352/82-83"/>
    <s v="SIMPEX SOLUTION PVT. LTD"/>
    <s v="Cooking Paste"/>
    <x v="29"/>
    <n v="0.5"/>
    <n v="60"/>
    <n v="60.18"/>
    <n v="3610.8"/>
    <n v="0"/>
    <n v="0"/>
    <n v="469.40596500000004"/>
    <n v="4080.2059650000001"/>
  </r>
  <r>
    <x v="87"/>
    <x v="7"/>
    <s v="Q3"/>
    <x v="0"/>
    <s v="KEPL/01352/82-83"/>
    <s v="SIMPEX SOLUTION PVT. LTD"/>
    <s v="Sprinkler"/>
    <x v="31"/>
    <n v="0.33"/>
    <n v="24"/>
    <n v="155.75"/>
    <n v="3738"/>
    <n v="0"/>
    <n v="0"/>
    <n v="485.94203399999998"/>
    <n v="4223.9420339999997"/>
  </r>
  <r>
    <x v="87"/>
    <x v="7"/>
    <s v="Q3"/>
    <x v="0"/>
    <s v="KEPL/01354/82-83"/>
    <s v="BHAT BHATENI SUPERMARKET &amp; DEPARTMENTAL STORE PVT. LTD."/>
    <s v="Cooking Paste"/>
    <x v="30"/>
    <n v="1"/>
    <n v="60"/>
    <n v="89.82"/>
    <n v="5389.2"/>
    <n v="0"/>
    <n v="0"/>
    <n v="700.59604400000001"/>
    <n v="6089.7960439999997"/>
  </r>
  <r>
    <x v="87"/>
    <x v="7"/>
    <s v="Q3"/>
    <x v="0"/>
    <s v="KEPL/01354/82-83"/>
    <s v="BHAT BHATENI SUPERMARKET &amp; DEPARTMENTAL STORE PVT. LTD."/>
    <s v="Straight Pouch"/>
    <x v="3"/>
    <n v="1"/>
    <n v="40"/>
    <n v="360.53"/>
    <n v="14421.199999999999"/>
    <n v="0"/>
    <n v="0"/>
    <n v="1874.756118"/>
    <n v="16295.956118"/>
  </r>
  <r>
    <x v="87"/>
    <x v="7"/>
    <s v="Q3"/>
    <x v="0"/>
    <s v="KEPL/01354/82-83"/>
    <s v="BHAT BHATENI SUPERMARKET &amp; DEPARTMENTAL STORE PVT. LTD."/>
    <s v="Sprinkler"/>
    <x v="25"/>
    <n v="1"/>
    <n v="48"/>
    <n v="272.57"/>
    <n v="13083.36"/>
    <n v="0"/>
    <n v="0"/>
    <n v="1700.8369069999999"/>
    <n v="14784.196907"/>
  </r>
  <r>
    <x v="87"/>
    <x v="7"/>
    <s v="Q3"/>
    <x v="0"/>
    <s v="KEPL/01354/82-83"/>
    <s v="BHAT BHATENI SUPERMARKET &amp; DEPARTMENTAL STORE PVT. LTD."/>
    <s v="Cooking Paste"/>
    <x v="29"/>
    <n v="1"/>
    <n v="120"/>
    <n v="52.65"/>
    <n v="6318.0000000000009"/>
    <n v="0"/>
    <n v="0"/>
    <n v="821.34005200000001"/>
    <n v="7139.3400519999996"/>
  </r>
  <r>
    <x v="87"/>
    <x v="7"/>
    <s v="Q3"/>
    <x v="0"/>
    <s v="KEPL/01354/82-83"/>
    <s v="BHAT BHATENI SUPERMARKET &amp; DEPARTMENTAL STORE PVT. LTD."/>
    <s v="Sprinkler"/>
    <x v="31"/>
    <n v="1"/>
    <n v="72"/>
    <n v="136.28"/>
    <n v="9812.16"/>
    <n v="0"/>
    <n v="0"/>
    <n v="1275.58088"/>
    <n v="11087.740879999999"/>
  </r>
  <r>
    <x v="87"/>
    <x v="7"/>
    <s v="Q3"/>
    <x v="0"/>
    <s v="KEPL/01355/82-83"/>
    <s v="BHAT BHATENI SUPERMARKET &amp; DEPARTMENTAL STORE PVT. LTD."/>
    <s v="Sprinkler"/>
    <x v="31"/>
    <n v="1"/>
    <n v="72"/>
    <n v="136.28"/>
    <n v="9812.16"/>
    <n v="0"/>
    <n v="0"/>
    <n v="1275.5806970000001"/>
    <n v="11087.740696999999"/>
  </r>
  <r>
    <x v="87"/>
    <x v="7"/>
    <s v="Q3"/>
    <x v="0"/>
    <s v="KEPL/01355/82-83"/>
    <s v="BHAT BHATENI SUPERMARKET &amp; DEPARTMENTAL STORE PVT. LTD."/>
    <s v="Straight Pouch"/>
    <x v="6"/>
    <n v="1"/>
    <n v="100"/>
    <n v="148.66999999999999"/>
    <n v="14867"/>
    <n v="0"/>
    <n v="0"/>
    <n v="1932.7098450000001"/>
    <n v="16799.709845000001"/>
  </r>
  <r>
    <x v="87"/>
    <x v="7"/>
    <s v="Q3"/>
    <x v="0"/>
    <s v="KEPL/01355/82-83"/>
    <s v="BHAT BHATENI SUPERMARKET &amp; DEPARTMENTAL STORE PVT. LTD."/>
    <s v="Blends"/>
    <x v="35"/>
    <n v="1"/>
    <n v="80"/>
    <n v="154.87"/>
    <n v="12389.6"/>
    <n v="0"/>
    <n v="0"/>
    <n v="1610.6478699999998"/>
    <n v="14000.247869999999"/>
  </r>
  <r>
    <x v="87"/>
    <x v="7"/>
    <s v="Q3"/>
    <x v="0"/>
    <s v="KEPL/01355/82-83"/>
    <s v="BHAT BHATENI SUPERMARKET &amp; DEPARTMENTAL STORE PVT. LTD."/>
    <s v="Straight Premium"/>
    <x v="8"/>
    <n v="1"/>
    <n v="120"/>
    <n v="46.46"/>
    <n v="5575.2"/>
    <n v="0"/>
    <n v="0"/>
    <n v="724.77594199999999"/>
    <n v="6299.975942"/>
  </r>
  <r>
    <x v="87"/>
    <x v="7"/>
    <s v="Q3"/>
    <x v="0"/>
    <s v="KEPL/01355/82-83"/>
    <s v="BHAT BHATENI SUPERMARKET &amp; DEPARTMENTAL STORE PVT. LTD."/>
    <s v="Straight Pouch"/>
    <x v="1"/>
    <n v="1"/>
    <n v="100"/>
    <n v="99.12"/>
    <n v="9912"/>
    <n v="0"/>
    <n v="0"/>
    <n v="1288.559896"/>
    <n v="11200.559896000001"/>
  </r>
  <r>
    <x v="87"/>
    <x v="7"/>
    <s v="Q3"/>
    <x v="0"/>
    <s v="KEPL/01355/82-83"/>
    <s v="BHAT BHATENI SUPERMARKET &amp; DEPARTMENTAL STORE PVT. LTD."/>
    <s v="Straight Pouch"/>
    <x v="4"/>
    <n v="1"/>
    <n v="40"/>
    <n v="238.5"/>
    <n v="9539.9999999999982"/>
    <n v="0"/>
    <n v="0"/>
    <n v="1240.1998999999998"/>
    <n v="10780.1999"/>
  </r>
  <r>
    <x v="87"/>
    <x v="7"/>
    <s v="Q3"/>
    <x v="0"/>
    <s v="KEPL/01355/82-83"/>
    <s v="BHAT BHATENI SUPERMARKET &amp; DEPARTMENTAL STORE PVT. LTD."/>
    <s v="Straight Pouch"/>
    <x v="3"/>
    <n v="1"/>
    <n v="40"/>
    <n v="360.53"/>
    <n v="14421.199999999999"/>
    <n v="0"/>
    <n v="0"/>
    <n v="1874.7558489999999"/>
    <n v="16295.955849"/>
  </r>
  <r>
    <x v="87"/>
    <x v="7"/>
    <s v="Q3"/>
    <x v="0"/>
    <s v="KEPL/01356/82-83"/>
    <s v="BHAT BHATENI SUPERMARKET &amp; DEPARTMENTAL STORE PVT. LTD."/>
    <s v="Straight Pouch"/>
    <x v="13"/>
    <n v="1"/>
    <n v="100"/>
    <n v="126"/>
    <n v="12600"/>
    <s v=""/>
    <s v=""/>
    <s v=""/>
    <n v="12600"/>
  </r>
  <r>
    <x v="87"/>
    <x v="7"/>
    <s v="Q3"/>
    <x v="0"/>
    <s v="KEPL/01356/82-83"/>
    <s v="BHAT BHATENI SUPERMARKET &amp; DEPARTMENTAL STORE PVT. LTD."/>
    <s v="Straight Pouch"/>
    <x v="12"/>
    <n v="1"/>
    <n v="40"/>
    <n v="308"/>
    <n v="12320"/>
    <s v=""/>
    <s v=""/>
    <s v=""/>
    <n v="12320"/>
  </r>
  <r>
    <x v="87"/>
    <x v="7"/>
    <s v="Q3"/>
    <x v="0"/>
    <s v="KEPL/01357/82-83"/>
    <s v="BHAT BHATENI SUPERMARKET &amp; DEPARTMENTAL STORE PVT. LTD."/>
    <s v="Straight Pouch"/>
    <x v="13"/>
    <n v="1"/>
    <n v="100"/>
    <n v="126"/>
    <n v="12600"/>
    <s v=""/>
    <s v=""/>
    <s v=""/>
    <n v="12600"/>
  </r>
  <r>
    <x v="87"/>
    <x v="7"/>
    <s v="Q3"/>
    <x v="0"/>
    <s v="KEPL/01357/82-83"/>
    <s v="BHAT BHATENI SUPERMARKET &amp; DEPARTMENTAL STORE PVT. LTD."/>
    <s v="Straight Pouch"/>
    <x v="12"/>
    <n v="1"/>
    <n v="40"/>
    <n v="308"/>
    <n v="12320"/>
    <s v=""/>
    <s v=""/>
    <s v=""/>
    <n v="12320"/>
  </r>
  <r>
    <x v="88"/>
    <x v="8"/>
    <s v="Q3"/>
    <x v="0"/>
    <s v="KEPL/01457/82-83"/>
    <s v="BHAT BHATENI SUPERMARKET &amp; DEPARTMENTAL STORE PVT. LTD."/>
    <s v="Sprinkler"/>
    <x v="52"/>
    <n v="1"/>
    <n v="72"/>
    <n v="164.16"/>
    <n v="11819.52"/>
    <n v="0"/>
    <n v="0"/>
    <n v="1536.5400000000002"/>
    <n v="13356.06"/>
  </r>
  <r>
    <x v="88"/>
    <x v="8"/>
    <s v="Q3"/>
    <x v="0"/>
    <s v="KEPL/01458/82-83"/>
    <s v="BHAT BHATENI SUPERMARKET &amp; DEPARTMENTAL STORE PVT. LTD."/>
    <s v="Sprinkler"/>
    <x v="52"/>
    <n v="1"/>
    <n v="72"/>
    <n v="164.16"/>
    <n v="11819.52"/>
    <n v="0"/>
    <n v="0"/>
    <n v="1536.5400000000002"/>
    <n v="13356.06"/>
  </r>
  <r>
    <x v="88"/>
    <x v="8"/>
    <s v="Q3"/>
    <x v="0"/>
    <s v="KEPL/01459/82-83"/>
    <s v="BHAT BHATENI SUPERMARKET &amp; DEPARTMENTAL STORE PVT. LTD."/>
    <s v="Sprinkler"/>
    <x v="52"/>
    <n v="1"/>
    <n v="72"/>
    <n v="164.16"/>
    <n v="11819.52"/>
    <n v="0"/>
    <n v="0"/>
    <n v="1536.5400000000002"/>
    <n v="13356.06"/>
  </r>
  <r>
    <x v="88"/>
    <x v="8"/>
    <s v="Q3"/>
    <x v="0"/>
    <s v="KEPL/01460/82-83"/>
    <s v="BHAT BHATENI SUPERMARKET &amp; DEPARTMENTAL STORE PVT. LTD."/>
    <s v="Sprinkler"/>
    <x v="52"/>
    <n v="1"/>
    <n v="72"/>
    <n v="164.16"/>
    <n v="11819.52"/>
    <n v="0"/>
    <n v="0"/>
    <n v="1536.5400000000002"/>
    <n v="13356.06"/>
  </r>
  <r>
    <x v="88"/>
    <x v="8"/>
    <s v="Q3"/>
    <x v="0"/>
    <s v="KEPL/01461/82-83"/>
    <s v="BHAT BHATENI SUPERMARKET &amp; DEPARTMENTAL STORE PVT. LTD."/>
    <s v="Sprinkler"/>
    <x v="52"/>
    <n v="0.57999999999999996"/>
    <n v="42"/>
    <n v="164.16"/>
    <n v="6894.72"/>
    <n v="0"/>
    <n v="0"/>
    <n v="896.31000000000006"/>
    <n v="7791.03"/>
  </r>
  <r>
    <x v="88"/>
    <x v="8"/>
    <s v="Q3"/>
    <x v="0"/>
    <s v="KEPL/01462/82-83"/>
    <s v="BHAT BHATENI SUPERMARKET &amp; DEPARTMENTAL STORE PVT. LTD."/>
    <s v="Sprinkler"/>
    <x v="52"/>
    <n v="0.5"/>
    <n v="36"/>
    <n v="164.16"/>
    <n v="5909.76"/>
    <n v="0"/>
    <n v="0"/>
    <n v="768.2700000000001"/>
    <n v="6678.03"/>
  </r>
  <r>
    <x v="88"/>
    <x v="8"/>
    <s v="Q3"/>
    <x v="0"/>
    <s v="KEPL/01463/82-83"/>
    <s v="BHAT BHATENI SUPERMARKET &amp; DEPARTMENTAL STORE PVT. LTD."/>
    <s v="Sprinkler"/>
    <x v="52"/>
    <n v="0.5"/>
    <n v="36"/>
    <n v="164.16"/>
    <n v="5909.76"/>
    <n v="0"/>
    <n v="0"/>
    <n v="768.2700000000001"/>
    <n v="6678.03"/>
  </r>
  <r>
    <x v="88"/>
    <x v="8"/>
    <s v="Q3"/>
    <x v="0"/>
    <s v="KEPL/01464/82-83"/>
    <s v="BHAT BHATENI SUPERMARKET &amp; DEPARTMENTAL STORE PVT. LTD."/>
    <s v="Sprinkler"/>
    <x v="52"/>
    <n v="0.25"/>
    <n v="18"/>
    <n v="164.16"/>
    <n v="2954.88"/>
    <n v="0"/>
    <n v="0"/>
    <n v="384.13"/>
    <n v="3339.01"/>
  </r>
  <r>
    <x v="88"/>
    <x v="8"/>
    <s v="Q3"/>
    <x v="0"/>
    <s v="KEPL/01465/82-83"/>
    <s v="BHAT BHATENI SUPERMARKET &amp; DEPARTMENTAL STORE PVT. LTD."/>
    <s v="Sprinkler"/>
    <x v="52"/>
    <n v="0.25"/>
    <n v="18"/>
    <n v="164.16"/>
    <n v="2954.88"/>
    <n v="0"/>
    <n v="0"/>
    <n v="384.13"/>
    <n v="3339.01"/>
  </r>
  <r>
    <x v="89"/>
    <x v="8"/>
    <s v="Q3"/>
    <x v="0"/>
    <s v="KEPL/01475/82-83"/>
    <s v="SAFAL MART PVT.LTD"/>
    <s v="Straight Premium"/>
    <x v="8"/>
    <n v="1.0900000000000001"/>
    <n v="130"/>
    <n v="50.7"/>
    <n v="6591"/>
    <n v="-599.12"/>
    <n v="0"/>
    <n v="778.94427800000005"/>
    <n v="6770.824278"/>
  </r>
  <r>
    <x v="89"/>
    <x v="8"/>
    <s v="Q3"/>
    <x v="0"/>
    <s v="KEPL/01475/82-83"/>
    <s v="SAFAL MART PVT.LTD"/>
    <s v="Straight Premium"/>
    <x v="23"/>
    <n v="1"/>
    <n v="180"/>
    <n v="182.53"/>
    <n v="32855.4"/>
    <n v="-2986.56"/>
    <n v="0"/>
    <n v="3882.9485900000004"/>
    <n v="33751.788589999996"/>
  </r>
  <r>
    <x v="89"/>
    <x v="8"/>
    <s v="Q3"/>
    <x v="0"/>
    <s v="KEPL/01475/82-83"/>
    <s v="SAFAL MART PVT.LTD"/>
    <s v="Blends"/>
    <x v="15"/>
    <n v="2"/>
    <n v="360"/>
    <n v="114.93"/>
    <n v="41374.800000000003"/>
    <n v="-3760.97"/>
    <n v="0"/>
    <n v="4889.7971320000006"/>
    <n v="42503.627132000001"/>
  </r>
  <r>
    <x v="90"/>
    <x v="8"/>
    <s v="Q3"/>
    <x v="0"/>
    <s v="KEPL/01479/82-83"/>
    <s v="DINESH TRADING HOUSE"/>
    <s v="Hing"/>
    <x v="49"/>
    <n v="1"/>
    <n v="120"/>
    <n v="250.14"/>
    <n v="30016.799999999999"/>
    <n v="-2728.53"/>
    <n v="0"/>
    <n v="3547.4800000000005"/>
    <n v="30835.75"/>
  </r>
  <r>
    <x v="90"/>
    <x v="8"/>
    <s v="Q3"/>
    <x v="0"/>
    <s v="KESR/0032/82-83"/>
    <s v="S GAUTAM STORE"/>
    <s v="Straight Premium"/>
    <x v="5"/>
    <n v="-1"/>
    <n v="-180"/>
    <n v="94.65"/>
    <n v="-17037"/>
    <n v="1548.6599999999999"/>
    <n v="0"/>
    <n v="-2013.4845"/>
    <n v="-17501.824499999999"/>
  </r>
  <r>
    <x v="90"/>
    <x v="8"/>
    <s v="Q3"/>
    <x v="0"/>
    <s v="KESR/0032/82-83"/>
    <s v="S GAUTAM STORE"/>
    <s v="Straight Premium"/>
    <x v="8"/>
    <n v="-1"/>
    <n v="-120"/>
    <n v="50.7"/>
    <n v="-6084"/>
    <n v="553.04"/>
    <n v="0"/>
    <n v="-719.02490699999998"/>
    <n v="-6249.984907"/>
  </r>
  <r>
    <x v="90"/>
    <x v="8"/>
    <s v="Q3"/>
    <x v="0"/>
    <s v="KESR/0032/82-83"/>
    <s v="S GAUTAM STORE"/>
    <s v="Blends"/>
    <x v="16"/>
    <n v="-0.6"/>
    <n v="-72"/>
    <n v="131.83000000000001"/>
    <n v="-9491.76"/>
    <n v="862.8"/>
    <n v="0"/>
    <n v="-1121.7649670000001"/>
    <n v="-9750.7249670000001"/>
  </r>
  <r>
    <x v="90"/>
    <x v="8"/>
    <s v="Q3"/>
    <x v="0"/>
    <s v="KESR/0032/82-83"/>
    <s v="S GAUTAM STORE"/>
    <s v="Blends"/>
    <x v="11"/>
    <n v="-1"/>
    <n v="-180"/>
    <n v="64.23"/>
    <n v="-11561.4"/>
    <n v="1050.9299999999998"/>
    <n v="0"/>
    <n v="-1366.3613029999999"/>
    <n v="-11876.831303000001"/>
  </r>
  <r>
    <x v="90"/>
    <x v="8"/>
    <s v="Q3"/>
    <x v="0"/>
    <s v="KESR/0032/82-83"/>
    <s v="S GAUTAM STORE"/>
    <s v="Blends"/>
    <x v="2"/>
    <n v="-1"/>
    <n v="-180"/>
    <n v="64.23"/>
    <n v="-11561.4"/>
    <n v="1050.9299999999998"/>
    <n v="0"/>
    <n v="-1366.3613029999999"/>
    <n v="-11876.831303000001"/>
  </r>
  <r>
    <x v="90"/>
    <x v="8"/>
    <s v="Q3"/>
    <x v="0"/>
    <s v="KESR/0032/82-83"/>
    <s v="S GAUTAM STORE"/>
    <s v="Blends"/>
    <x v="37"/>
    <n v="-1"/>
    <n v="-180"/>
    <n v="98.03"/>
    <n v="-17645.400000000001"/>
    <n v="1603.97"/>
    <n v="0"/>
    <n v="-2085.3862100000001"/>
    <n v="-18126.816210000001"/>
  </r>
  <r>
    <x v="90"/>
    <x v="8"/>
    <s v="Q3"/>
    <x v="0"/>
    <s v="KESR/0032/82-83"/>
    <s v="S GAUTAM STORE"/>
    <s v="Blends"/>
    <x v="18"/>
    <n v="-0.47"/>
    <n v="-56"/>
    <n v="141.97"/>
    <n v="-7950.3200000000006"/>
    <n v="722.68"/>
    <n v="0"/>
    <n v="-939.59334000000001"/>
    <n v="-8167.2333399999998"/>
  </r>
  <r>
    <x v="90"/>
    <x v="8"/>
    <s v="Q3"/>
    <x v="0"/>
    <s v="KESR/0032/82-83"/>
    <s v="S GAUTAM STORE"/>
    <s v="Sprinkler"/>
    <x v="31"/>
    <n v="-0.75"/>
    <n v="-54"/>
    <n v="148.72999999999999"/>
    <n v="-8031.4199999999992"/>
    <n v="730.06"/>
    <n v="0"/>
    <n v="-949.17694100000006"/>
    <n v="-8250.5369410000003"/>
  </r>
  <r>
    <x v="90"/>
    <x v="8"/>
    <s v="Q3"/>
    <x v="0"/>
    <s v="KESR/0032/82-83"/>
    <s v="S GAUTAM STORE"/>
    <s v="Blends"/>
    <x v="10"/>
    <n v="-1"/>
    <n v="-180"/>
    <n v="60.84"/>
    <n v="-10951.199999999999"/>
    <n v="995.46"/>
    <n v="0"/>
    <n v="-1294.2463929999999"/>
    <n v="-11249.986392999999"/>
  </r>
  <r>
    <x v="90"/>
    <x v="8"/>
    <s v="Q3"/>
    <x v="0"/>
    <s v="KESR/0032/82-83"/>
    <s v="S GAUTAM STORE"/>
    <s v="Blends"/>
    <x v="0"/>
    <n v="-1"/>
    <n v="-180"/>
    <n v="64.23"/>
    <n v="-11561.4"/>
    <n v="1050.9299999999998"/>
    <n v="0"/>
    <n v="-1366.3613029999999"/>
    <n v="-11876.831303000001"/>
  </r>
  <r>
    <x v="90"/>
    <x v="8"/>
    <s v="Q3"/>
    <x v="0"/>
    <s v="KESR/0032/82-83"/>
    <s v="S GAUTAM STORE"/>
    <s v="Blends"/>
    <x v="48"/>
    <n v="-1"/>
    <n v="-180"/>
    <n v="81.14"/>
    <n v="-14605.199999999999"/>
    <n v="1327.61"/>
    <n v="0"/>
    <n v="-1726.086957"/>
    <n v="-15003.676957"/>
  </r>
  <r>
    <x v="90"/>
    <x v="8"/>
    <s v="Q3"/>
    <x v="0"/>
    <s v="KESR/0032/82-83"/>
    <s v="S GAUTAM STORE"/>
    <s v="Blends"/>
    <x v="9"/>
    <n v="-1"/>
    <n v="-180"/>
    <n v="70.989999999999995"/>
    <n v="-12778.2"/>
    <n v="1161.54"/>
    <n v="0"/>
    <n v="-1510.166025"/>
    <n v="-13126.826025"/>
  </r>
  <r>
    <x v="90"/>
    <x v="8"/>
    <s v="Q3"/>
    <x v="0"/>
    <s v="KESR/0032/82-83"/>
    <s v="S GAUTAM STORE"/>
    <s v="Cooking Paste"/>
    <x v="30"/>
    <n v="-1"/>
    <n v="-60"/>
    <n v="98.03"/>
    <n v="-5881.8"/>
    <n v="534.66"/>
    <n v="0"/>
    <n v="-695.12830299999996"/>
    <n v="-6042.2683029999998"/>
  </r>
  <r>
    <x v="90"/>
    <x v="8"/>
    <s v="Q3"/>
    <x v="0"/>
    <s v="KESR/0032/82-83"/>
    <s v="S GAUTAM STORE"/>
    <s v="Blends"/>
    <x v="18"/>
    <n v="-0.53"/>
    <n v="-64"/>
    <n v="141.97"/>
    <n v="-9086.08"/>
    <n v="825.92"/>
    <n v="0"/>
    <n v="-1073.82096"/>
    <n v="-9333.9809600000008"/>
  </r>
  <r>
    <x v="90"/>
    <x v="8"/>
    <s v="Q3"/>
    <x v="0"/>
    <s v="KESR/0032/82-83"/>
    <s v="S GAUTAM STORE"/>
    <s v="Sprinkler"/>
    <x v="25"/>
    <n v="-1"/>
    <n v="-48"/>
    <n v="310.99"/>
    <n v="-14927.519999999999"/>
    <n v="1356.91"/>
    <n v="0"/>
    <n v="-1764.1795629999999"/>
    <n v="-15334.789563"/>
  </r>
  <r>
    <x v="90"/>
    <x v="8"/>
    <s v="Q3"/>
    <x v="0"/>
    <s v="KESR/0032/82-83"/>
    <s v="S GAUTAM STORE"/>
    <s v="Sprinkler"/>
    <x v="31"/>
    <n v="-0.25"/>
    <n v="-18"/>
    <n v="148.72999999999999"/>
    <n v="-2677.14"/>
    <n v="243.35"/>
    <n v="0"/>
    <n v="-316.39274700000004"/>
    <n v="-2750.1827469999998"/>
  </r>
  <r>
    <x v="90"/>
    <x v="8"/>
    <s v="Q3"/>
    <x v="0"/>
    <s v="KESR/0032/82-83"/>
    <s v="S GAUTAM STORE"/>
    <s v="Cooking Paste"/>
    <x v="29"/>
    <n v="-1"/>
    <n v="-120"/>
    <n v="57.46"/>
    <n v="-6895.2"/>
    <n v="626.77"/>
    <n v="0"/>
    <n v="-814.89602100000002"/>
    <n v="-7083.3260209999999"/>
  </r>
  <r>
    <x v="90"/>
    <x v="8"/>
    <s v="Q3"/>
    <x v="0"/>
    <s v="KESR/0032/82-83"/>
    <s v="S GAUTAM STORE"/>
    <s v="Straight Premium"/>
    <x v="7"/>
    <n v="-1"/>
    <n v="-120"/>
    <n v="152.11000000000001"/>
    <n v="-18253.2"/>
    <n v="1659.2199999999998"/>
    <n v="0"/>
    <n v="-2157.217721"/>
    <n v="-18751.197721"/>
  </r>
  <r>
    <x v="90"/>
    <x v="8"/>
    <s v="Q3"/>
    <x v="0"/>
    <s v="KESR/0032/82-83"/>
    <s v="S GAUTAM STORE"/>
    <s v="Blends"/>
    <x v="42"/>
    <n v="-1"/>
    <n v="-120"/>
    <n v="94.65"/>
    <n v="-11358"/>
    <n v="1032.44"/>
    <n v="0"/>
    <n v="-1342.3230000000001"/>
    <n v="-11667.883"/>
  </r>
  <r>
    <x v="90"/>
    <x v="8"/>
    <s v="Q3"/>
    <x v="0"/>
    <s v="KESR/0032/82-83"/>
    <s v="S GAUTAM STORE"/>
    <s v="Blends"/>
    <x v="32"/>
    <n v="-1"/>
    <n v="-120"/>
    <n v="64.23"/>
    <n v="-7707.5999999999995"/>
    <n v="700.62"/>
    <n v="0"/>
    <n v="-910.90753599999994"/>
    <n v="-7917.8875360000002"/>
  </r>
  <r>
    <x v="91"/>
    <x v="8"/>
    <s v="Q3"/>
    <x v="0"/>
    <s v="KEPL/01482/82-83"/>
    <s v="MEGA MART PVT.LTD"/>
    <s v="Sprinkler"/>
    <x v="31"/>
    <n v="1"/>
    <n v="72"/>
    <n v="140.18"/>
    <n v="10092.959999999999"/>
    <n v="0"/>
    <n v="0"/>
    <n v="1312.08"/>
    <n v="11405.04"/>
  </r>
  <r>
    <x v="91"/>
    <x v="8"/>
    <s v="Q3"/>
    <x v="0"/>
    <s v="KEPL/01486/82-83"/>
    <s v="BEERA BARJEE INTERNATIONAL PVT.LTD"/>
    <s v="Straight Pouch"/>
    <x v="4"/>
    <n v="1"/>
    <n v="40"/>
    <n v="260.27999999999997"/>
    <n v="10411.200000000001"/>
    <n v="-946.38"/>
    <n v="0"/>
    <n v="1230.4271920000001"/>
    <n v="10695.247192000001"/>
  </r>
  <r>
    <x v="91"/>
    <x v="8"/>
    <s v="Q3"/>
    <x v="0"/>
    <s v="KEPL/01486/82-83"/>
    <s v="BEERA BARJEE INTERNATIONAL PVT.LTD"/>
    <s v="Cooking Paste"/>
    <x v="30"/>
    <n v="1"/>
    <n v="60"/>
    <n v="98.03"/>
    <n v="5881.8"/>
    <n v="-534.66"/>
    <n v="0"/>
    <n v="695.12853400000006"/>
    <n v="6042.2685339999998"/>
  </r>
  <r>
    <x v="91"/>
    <x v="8"/>
    <s v="Q3"/>
    <x v="0"/>
    <s v="KEPL/01486/82-83"/>
    <s v="BEERA BARJEE INTERNATIONAL PVT.LTD"/>
    <s v="Combo"/>
    <x v="43"/>
    <n v="1"/>
    <n v="60"/>
    <n v="148.72999999999999"/>
    <n v="8923.8000000000011"/>
    <n v="-811.17"/>
    <n v="0"/>
    <n v="1054.642407"/>
    <n v="9167.2724070000004"/>
  </r>
  <r>
    <x v="91"/>
    <x v="8"/>
    <s v="Q3"/>
    <x v="0"/>
    <s v="KEPL/01486/82-83"/>
    <s v="BEERA BARJEE INTERNATIONAL PVT.LTD"/>
    <s v="Sprinkler"/>
    <x v="26"/>
    <n v="1"/>
    <n v="72"/>
    <n v="131.83000000000001"/>
    <n v="9491.76"/>
    <n v="-862.8"/>
    <n v="0"/>
    <n v="1121.7653399999999"/>
    <n v="9750.7253400000009"/>
  </r>
  <r>
    <x v="91"/>
    <x v="8"/>
    <s v="Q3"/>
    <x v="0"/>
    <s v="KEPL/01486/82-83"/>
    <s v="BEERA BARJEE INTERNATIONAL PVT.LTD"/>
    <s v="Blends"/>
    <x v="9"/>
    <n v="1"/>
    <n v="180"/>
    <n v="70.989999999999995"/>
    <n v="12778.2"/>
    <n v="-1161.54"/>
    <n v="0"/>
    <n v="1510.1665270000001"/>
    <n v="13126.826526999999"/>
  </r>
  <r>
    <x v="91"/>
    <x v="8"/>
    <s v="Q3"/>
    <x v="0"/>
    <s v="KEPL/01487/82-83"/>
    <s v="DINESH TRADING HOUSE"/>
    <s v="Blends"/>
    <x v="9"/>
    <n v="0.06"/>
    <n v="10"/>
    <n v="70.989999999999995"/>
    <n v="709.9"/>
    <n v="-64.53"/>
    <n v="0"/>
    <n v="83.897925000000001"/>
    <n v="729.26792499999999"/>
  </r>
  <r>
    <x v="91"/>
    <x v="8"/>
    <s v="Q3"/>
    <x v="0"/>
    <s v="KEPL/01487/82-83"/>
    <s v="DINESH TRADING HOUSE"/>
    <s v="Blends"/>
    <x v="11"/>
    <n v="0.11"/>
    <n v="20"/>
    <n v="64.23"/>
    <n v="1284.5999999999999"/>
    <n v="-116.77"/>
    <n v="0"/>
    <n v="151.81758300000001"/>
    <n v="1319.6475829999999"/>
  </r>
  <r>
    <x v="91"/>
    <x v="8"/>
    <s v="Q3"/>
    <x v="0"/>
    <s v="KEPL/01487/82-83"/>
    <s v="DINESH TRADING HOUSE"/>
    <s v="Blends"/>
    <x v="32"/>
    <n v="0.08"/>
    <n v="10"/>
    <n v="64.23"/>
    <n v="642.29999999999995"/>
    <n v="-58.39"/>
    <n v="0"/>
    <n v="75.908142000000012"/>
    <n v="659.81814199999997"/>
  </r>
  <r>
    <x v="91"/>
    <x v="8"/>
    <s v="Q3"/>
    <x v="0"/>
    <s v="KEPL/01487/82-83"/>
    <s v="DINESH TRADING HOUSE"/>
    <s v="Straight Premium"/>
    <x v="33"/>
    <n v="0.06"/>
    <n v="10"/>
    <n v="91.27"/>
    <n v="912.7"/>
    <n v="-82.96"/>
    <n v="0"/>
    <n v="107.86597500000001"/>
    <n v="937.60597499999994"/>
  </r>
  <r>
    <x v="91"/>
    <x v="8"/>
    <s v="Q3"/>
    <x v="0"/>
    <s v="KEPL/01487/82-83"/>
    <s v="DINESH TRADING HOUSE"/>
    <s v="Blends"/>
    <x v="0"/>
    <n v="0.22"/>
    <n v="40"/>
    <n v="62.21"/>
    <n v="2488.4"/>
    <n v="-226.2"/>
    <n v="0"/>
    <n v="294.08538599999997"/>
    <n v="2556.285386"/>
  </r>
  <r>
    <x v="91"/>
    <x v="8"/>
    <s v="Q3"/>
    <x v="0"/>
    <s v="KEPL/01487/82-83"/>
    <s v="DINESH TRADING HOUSE"/>
    <s v="Blends"/>
    <x v="16"/>
    <n v="0.33"/>
    <n v="40"/>
    <n v="121.69"/>
    <n v="4867.5999999999995"/>
    <n v="-442.46"/>
    <n v="0"/>
    <n v="575.26699899999994"/>
    <n v="5000.4069989999998"/>
  </r>
  <r>
    <x v="91"/>
    <x v="8"/>
    <s v="Q3"/>
    <x v="0"/>
    <s v="KEPL/01487/82-83"/>
    <s v="DINESH TRADING HOUSE"/>
    <s v="Blends"/>
    <x v="45"/>
    <n v="0.13"/>
    <n v="10"/>
    <n v="141.97"/>
    <n v="1419.6999999999998"/>
    <n v="-129.05000000000001"/>
    <n v="0"/>
    <n v="167.78415000000001"/>
    <n v="1458.43415"/>
  </r>
  <r>
    <x v="91"/>
    <x v="8"/>
    <s v="Q3"/>
    <x v="0"/>
    <s v="KEPL/01487/82-83"/>
    <s v="DINESH TRADING HOUSE"/>
    <s v="Straight Premium"/>
    <x v="34"/>
    <n v="0.13"/>
    <n v="10"/>
    <n v="229.86"/>
    <n v="2298.6"/>
    <n v="-208.94"/>
    <n v="0"/>
    <n v="271.65523300000001"/>
    <n v="2361.3152329999998"/>
  </r>
  <r>
    <x v="91"/>
    <x v="8"/>
    <s v="Q3"/>
    <x v="0"/>
    <s v="KEPL/01487/82-83"/>
    <s v="DINESH TRADING HOUSE"/>
    <s v="Blends"/>
    <x v="36"/>
    <n v="0.25"/>
    <n v="20"/>
    <n v="155.49"/>
    <n v="3109.7999999999997"/>
    <n v="-282.68"/>
    <n v="0"/>
    <n v="367.524833"/>
    <n v="3194.6448329999998"/>
  </r>
  <r>
    <x v="91"/>
    <x v="8"/>
    <s v="Q3"/>
    <x v="0"/>
    <s v="KEPL/01487/82-83"/>
    <s v="DINESH TRADING HOUSE"/>
    <s v="Blends"/>
    <x v="2"/>
    <n v="0.11"/>
    <n v="20"/>
    <n v="64.23"/>
    <n v="1284.5999999999999"/>
    <n v="-116.77"/>
    <n v="0"/>
    <n v="151.81758300000001"/>
    <n v="1319.6475829999999"/>
  </r>
  <r>
    <x v="91"/>
    <x v="8"/>
    <s v="Q3"/>
    <x v="0"/>
    <s v="KEPL/01487/82-83"/>
    <s v="DINESH TRADING HOUSE"/>
    <s v="Blends"/>
    <x v="38"/>
    <n v="0.08"/>
    <n v="10"/>
    <n v="84.51"/>
    <n v="845.1"/>
    <n v="-76.819999999999993"/>
    <n v="0"/>
    <n v="99.876192000000003"/>
    <n v="868.15619200000003"/>
  </r>
  <r>
    <x v="91"/>
    <x v="8"/>
    <s v="Q3"/>
    <x v="0"/>
    <s v="KEPL/01490/82-83"/>
    <s v="DS SPICECO L &amp; D"/>
    <s v="Blends"/>
    <x v="20"/>
    <n v="0.01"/>
    <n v="1"/>
    <n v="118.3"/>
    <n v="118.3"/>
    <n v="-10.75"/>
    <n v="0"/>
    <n v="13.981555"/>
    <n v="121.531555"/>
  </r>
  <r>
    <x v="91"/>
    <x v="8"/>
    <s v="Q3"/>
    <x v="0"/>
    <s v="KEPL/01490/82-83"/>
    <s v="DS SPICECO L &amp; D"/>
    <s v="Blends"/>
    <x v="42"/>
    <n v="0.01"/>
    <n v="1"/>
    <n v="94.65"/>
    <n v="94.65"/>
    <n v="-8.6"/>
    <n v="0"/>
    <n v="11.186544"/>
    <n v="97.236543999999995"/>
  </r>
  <r>
    <x v="91"/>
    <x v="8"/>
    <s v="Q3"/>
    <x v="0"/>
    <s v="KEPL/01490/82-83"/>
    <s v="DS SPICECO L &amp; D"/>
    <s v="Straight Premium"/>
    <x v="23"/>
    <n v="0.01"/>
    <n v="1"/>
    <n v="158.87"/>
    <n v="158.87"/>
    <n v="-14.44"/>
    <n v="0"/>
    <n v="18.775973"/>
    <n v="163.205973"/>
  </r>
  <r>
    <x v="91"/>
    <x v="8"/>
    <s v="Q3"/>
    <x v="0"/>
    <s v="KEPL/01490/82-83"/>
    <s v="DS SPICECO L &amp; D"/>
    <s v="Blends"/>
    <x v="19"/>
    <n v="0.01"/>
    <n v="1"/>
    <n v="155.49"/>
    <n v="155.49"/>
    <n v="-14.13"/>
    <n v="0"/>
    <n v="18.376871999999999"/>
    <n v="159.73687200000001"/>
  </r>
  <r>
    <x v="91"/>
    <x v="8"/>
    <s v="Q3"/>
    <x v="0"/>
    <s v="KEPL/01490/82-83"/>
    <s v="DS SPICECO L &amp; D"/>
    <s v="Blends"/>
    <x v="27"/>
    <n v="0.01"/>
    <n v="1"/>
    <n v="114.93"/>
    <n v="114.93"/>
    <n v="-10.45"/>
    <n v="0"/>
    <n v="13.582452999999999"/>
    <n v="118.062453"/>
  </r>
  <r>
    <x v="91"/>
    <x v="8"/>
    <s v="Q3"/>
    <x v="0"/>
    <s v="KEPL/01490/82-83"/>
    <s v="DS SPICECO L &amp; D"/>
    <s v="Straight Pouch"/>
    <x v="1"/>
    <n v="0.01"/>
    <n v="1"/>
    <n v="108.17"/>
    <n v="108.17"/>
    <n v="-9.83"/>
    <n v="0"/>
    <n v="12.78425"/>
    <n v="111.12425"/>
  </r>
  <r>
    <x v="91"/>
    <x v="8"/>
    <s v="Q3"/>
    <x v="0"/>
    <s v="KEPL/01490/82-83"/>
    <s v="DS SPICECO L &amp; D"/>
    <s v="Straight Premium"/>
    <x v="8"/>
    <n v="0.01"/>
    <n v="1"/>
    <n v="50.7"/>
    <n v="50.7"/>
    <n v="-4.6100000000000003"/>
    <n v="0"/>
    <n v="5.9917230000000004"/>
    <n v="52.081722999999997"/>
  </r>
  <r>
    <x v="91"/>
    <x v="8"/>
    <s v="Q3"/>
    <x v="0"/>
    <s v="KEPL/01490/82-83"/>
    <s v="DS SPICECO L &amp; D"/>
    <s v="Blends"/>
    <x v="41"/>
    <n v="0.01"/>
    <n v="1"/>
    <n v="158.86000000000001"/>
    <n v="158.86000000000001"/>
    <n v="-14.44"/>
    <n v="0"/>
    <n v="18.774673"/>
    <n v="163.19467299999999"/>
  </r>
  <r>
    <x v="91"/>
    <x v="8"/>
    <s v="Q3"/>
    <x v="0"/>
    <s v="KEPL/01490/82-83"/>
    <s v="DS SPICECO L &amp; D"/>
    <s v="Blends"/>
    <x v="17"/>
    <n v="0.01"/>
    <n v="1"/>
    <n v="118.3"/>
    <n v="118.3"/>
    <n v="-10.75"/>
    <n v="0"/>
    <n v="13.981555"/>
    <n v="121.531555"/>
  </r>
  <r>
    <x v="91"/>
    <x v="8"/>
    <s v="Q3"/>
    <x v="0"/>
    <s v="KEPL/01490/82-83"/>
    <s v="DS SPICECO L &amp; D"/>
    <s v="Blends"/>
    <x v="18"/>
    <n v="0.01"/>
    <n v="1"/>
    <n v="148.72999999999999"/>
    <n v="148.72999999999999"/>
    <n v="-13.52"/>
    <n v="0"/>
    <n v="17.577369000000001"/>
    <n v="152.78736900000001"/>
  </r>
  <r>
    <x v="91"/>
    <x v="8"/>
    <s v="Q3"/>
    <x v="0"/>
    <s v="KEPL/01490/82-83"/>
    <s v="DS SPICECO L &amp; D"/>
    <s v="Blends"/>
    <x v="16"/>
    <n v="0.01"/>
    <n v="1"/>
    <n v="118.3"/>
    <n v="118.3"/>
    <n v="-10.75"/>
    <n v="0"/>
    <n v="13.981555"/>
    <n v="121.531555"/>
  </r>
  <r>
    <x v="91"/>
    <x v="8"/>
    <s v="Q3"/>
    <x v="0"/>
    <s v="KEPL/01490/82-83"/>
    <s v="DS SPICECO L &amp; D"/>
    <s v="Straight Premium"/>
    <x v="28"/>
    <n v="0.01"/>
    <n v="1"/>
    <n v="169.01"/>
    <n v="169.01"/>
    <n v="-15.36"/>
    <n v="0"/>
    <n v="19.974578000000001"/>
    <n v="173.62457800000001"/>
  </r>
  <r>
    <x v="91"/>
    <x v="8"/>
    <s v="Q3"/>
    <x v="0"/>
    <s v="KEPL/01490/82-83"/>
    <s v="DS SPICECO L &amp; D"/>
    <s v="Straight Premium"/>
    <x v="22"/>
    <n v="0.03"/>
    <n v="1"/>
    <n v="283.94"/>
    <n v="283.94"/>
    <n v="-25.81"/>
    <n v="0"/>
    <n v="33.557031000000002"/>
    <n v="291.68703099999999"/>
  </r>
  <r>
    <x v="91"/>
    <x v="8"/>
    <s v="Q3"/>
    <x v="0"/>
    <s v="KEPL/01490/82-83"/>
    <s v="DS SPICECO L &amp; D"/>
    <s v="Blends"/>
    <x v="38"/>
    <n v="0.01"/>
    <n v="1"/>
    <n v="84.51"/>
    <n v="84.51"/>
    <n v="-7.68"/>
    <n v="0"/>
    <n v="9.9879390000000008"/>
    <n v="86.817938999999996"/>
  </r>
  <r>
    <x v="91"/>
    <x v="8"/>
    <s v="Q3"/>
    <x v="0"/>
    <s v="KEPL/01490/82-83"/>
    <s v="DS SPICECO L &amp; D"/>
    <s v="Blends"/>
    <x v="14"/>
    <n v="0.01"/>
    <n v="1"/>
    <n v="135.21"/>
    <n v="135.21"/>
    <n v="-12.29"/>
    <n v="0"/>
    <n v="15.979661999999999"/>
    <n v="138.89966200000001"/>
  </r>
  <r>
    <x v="91"/>
    <x v="8"/>
    <s v="Q3"/>
    <x v="0"/>
    <s v="KEPL/01490/82-83"/>
    <s v="DS SPICECO L &amp; D"/>
    <s v="Blends"/>
    <x v="44"/>
    <n v="0.01"/>
    <n v="1"/>
    <n v="121.7"/>
    <n v="121.7"/>
    <n v="-11.06"/>
    <n v="0"/>
    <n v="14.383255999999999"/>
    <n v="125.023256"/>
  </r>
  <r>
    <x v="91"/>
    <x v="8"/>
    <s v="Q3"/>
    <x v="0"/>
    <s v="KEPL/01490/82-83"/>
    <s v="DS SPICECO L &amp; D"/>
    <s v="Cooking Paste"/>
    <x v="30"/>
    <n v="0.02"/>
    <n v="1"/>
    <n v="98.03"/>
    <n v="98.03"/>
    <n v="-8.91"/>
    <n v="0"/>
    <n v="11.585645"/>
    <n v="100.705645"/>
  </r>
  <r>
    <x v="91"/>
    <x v="8"/>
    <s v="Q3"/>
    <x v="0"/>
    <s v="KEPL/01490/82-83"/>
    <s v="DS SPICECO L &amp; D"/>
    <s v="Combo"/>
    <x v="43"/>
    <n v="0.02"/>
    <n v="1"/>
    <n v="148.72999999999999"/>
    <n v="148.72999999999999"/>
    <n v="-13.52"/>
    <n v="0"/>
    <n v="17.577369000000001"/>
    <n v="152.78736900000001"/>
  </r>
  <r>
    <x v="91"/>
    <x v="8"/>
    <s v="Q3"/>
    <x v="0"/>
    <s v="KEPL/01491/82-83"/>
    <s v="DS SPICECO L &amp; D"/>
    <s v="Straight Premium"/>
    <x v="24"/>
    <n v="0.03"/>
    <n v="1"/>
    <n v="439.44"/>
    <n v="439.44"/>
    <n v="-39.950000000000003"/>
    <n v="0"/>
    <n v="51.935147999999998"/>
    <n v="451.42514799999998"/>
  </r>
  <r>
    <x v="91"/>
    <x v="8"/>
    <s v="Q3"/>
    <x v="0"/>
    <s v="KEPL/01491/82-83"/>
    <s v="DS SPICECO L &amp; D"/>
    <s v="Blends"/>
    <x v="15"/>
    <n v="0.01"/>
    <n v="1"/>
    <n v="114.93"/>
    <n v="114.93"/>
    <n v="-10.45"/>
    <n v="0"/>
    <n v="13.582779"/>
    <n v="118.06277900000001"/>
  </r>
  <r>
    <x v="91"/>
    <x v="8"/>
    <s v="Q3"/>
    <x v="0"/>
    <s v="KEPL/01491/82-83"/>
    <s v="DS SPICECO L &amp; D"/>
    <s v="Cooking Paste"/>
    <x v="29"/>
    <n v="0.01"/>
    <n v="1"/>
    <n v="57.46"/>
    <n v="57.46"/>
    <n v="-5.22"/>
    <n v="0"/>
    <n v="6.7913889999999997"/>
    <n v="59.031388999999997"/>
  </r>
  <r>
    <x v="91"/>
    <x v="8"/>
    <s v="Q3"/>
    <x v="0"/>
    <s v="KEPL/01491/82-83"/>
    <s v="DS SPICECO L &amp; D"/>
    <s v="Blends"/>
    <x v="36"/>
    <n v="0.01"/>
    <n v="1"/>
    <n v="155.49"/>
    <n v="155.49"/>
    <n v="-14.13"/>
    <n v="0"/>
    <n v="18.377312"/>
    <n v="159.737312"/>
  </r>
  <r>
    <x v="91"/>
    <x v="8"/>
    <s v="Q3"/>
    <x v="0"/>
    <s v="KEPL/01491/82-83"/>
    <s v="DS SPICECO L &amp; D"/>
    <s v="Blends"/>
    <x v="35"/>
    <n v="0.01"/>
    <n v="1"/>
    <n v="169.01"/>
    <n v="169.01"/>
    <n v="-15.36"/>
    <n v="0"/>
    <n v="19.975057"/>
    <n v="173.625057"/>
  </r>
  <r>
    <x v="91"/>
    <x v="8"/>
    <s v="Q3"/>
    <x v="0"/>
    <s v="KEPL/01491/82-83"/>
    <s v="DS SPICECO L &amp; D"/>
    <s v="Blends"/>
    <x v="45"/>
    <n v="0.01"/>
    <n v="1"/>
    <n v="141.97"/>
    <n v="141.97"/>
    <n v="-12.91"/>
    <n v="0"/>
    <n v="16.778268000000001"/>
    <n v="145.838268"/>
  </r>
  <r>
    <x v="91"/>
    <x v="8"/>
    <s v="Q3"/>
    <x v="0"/>
    <s v="KEPL/01491/82-83"/>
    <s v="DS SPICECO L &amp; D"/>
    <s v="Straight Pouch"/>
    <x v="6"/>
    <n v="0.01"/>
    <n v="1"/>
    <n v="162.26"/>
    <n v="162.26"/>
    <n v="-14.75"/>
    <n v="0"/>
    <n v="19.176835000000001"/>
    <n v="166.686835"/>
  </r>
  <r>
    <x v="91"/>
    <x v="8"/>
    <s v="Q3"/>
    <x v="0"/>
    <s v="KEPL/01491/82-83"/>
    <s v="DS SPICECO L &amp; D"/>
    <s v="Blends"/>
    <x v="21"/>
    <n v="0.01"/>
    <n v="1"/>
    <n v="185.92"/>
    <n v="185.92"/>
    <n v="-16.899999999999999"/>
    <n v="0"/>
    <n v="21.973213000000001"/>
    <n v="190.993213"/>
  </r>
  <r>
    <x v="91"/>
    <x v="8"/>
    <s v="Q3"/>
    <x v="0"/>
    <s v="KEPL/01492/82-83"/>
    <s v="DS SPICECO L &amp; D"/>
    <s v="Straight Pouch"/>
    <x v="13"/>
    <n v="0.01"/>
    <n v="1"/>
    <n v="121.69"/>
    <n v="121.69"/>
    <n v="-11.06"/>
    <n v="0"/>
    <n v="0"/>
    <n v="110.63"/>
  </r>
  <r>
    <x v="91"/>
    <x v="8"/>
    <s v="Q3"/>
    <x v="0"/>
    <s v="KEPL/01493/82-83"/>
    <s v="BEERA BARJEE INTERNATIONAL PVT.LTD"/>
    <s v="Straight Pouch"/>
    <x v="13"/>
    <n v="1"/>
    <n v="100"/>
    <n v="121.69"/>
    <n v="12169"/>
    <n v="-1106.1600000000001"/>
    <n v="0"/>
    <n v="0"/>
    <n v="11062.84"/>
  </r>
  <r>
    <x v="92"/>
    <x v="8"/>
    <s v="Q3"/>
    <x v="0"/>
    <s v="KEPL/01509/82-83"/>
    <s v="MEGA MART PVT.LTD"/>
    <s v="Sprinkler"/>
    <x v="26"/>
    <n v="1.33"/>
    <n v="96"/>
    <n v="124.25"/>
    <n v="11928"/>
    <n v="0"/>
    <n v="0"/>
    <n v="1550.64"/>
    <n v="13478.64"/>
  </r>
  <r>
    <x v="92"/>
    <x v="8"/>
    <s v="Q3"/>
    <x v="0"/>
    <s v="KEPL/01512/82-83"/>
    <s v="SUBHARAMBHA TRADING"/>
    <s v="Straight Premium"/>
    <x v="22"/>
    <n v="1"/>
    <n v="40"/>
    <n v="283.94"/>
    <n v="11357.599999999999"/>
    <n v="-1032.4099999999999"/>
    <n v="0"/>
    <n v="1342.2746999999999"/>
    <n v="11667.4647"/>
  </r>
  <r>
    <x v="92"/>
    <x v="8"/>
    <s v="Q3"/>
    <x v="0"/>
    <s v="KEPL/01512/82-83"/>
    <s v="SUBHARAMBHA TRADING"/>
    <s v="Straight Premium"/>
    <x v="7"/>
    <n v="2"/>
    <n v="240"/>
    <n v="152.11000000000001"/>
    <n v="36506.400000000001"/>
    <n v="-3318.43"/>
    <n v="0"/>
    <n v="4314.4360999999999"/>
    <n v="37502.4061"/>
  </r>
  <r>
    <x v="92"/>
    <x v="8"/>
    <s v="Q3"/>
    <x v="0"/>
    <s v="KEPL/01512/82-83"/>
    <s v="SUBHARAMBHA TRADING"/>
    <s v="Straight Pouch"/>
    <x v="6"/>
    <n v="1"/>
    <n v="100"/>
    <n v="162.26"/>
    <n v="16226"/>
    <n v="-1474.94"/>
    <n v="0"/>
    <n v="1917.6378000000002"/>
    <n v="16668.697800000002"/>
  </r>
  <r>
    <x v="92"/>
    <x v="8"/>
    <s v="Q3"/>
    <x v="0"/>
    <s v="KEPL/01512/82-83"/>
    <s v="SUBHARAMBHA TRADING"/>
    <s v="Straight Pouch"/>
    <x v="3"/>
    <n v="1"/>
    <n v="40"/>
    <n v="393.46"/>
    <n v="15738.4"/>
    <n v="-1430.6200000000001"/>
    <n v="0"/>
    <n v="1860.0113999999999"/>
    <n v="16167.7914"/>
  </r>
  <r>
    <x v="92"/>
    <x v="8"/>
    <s v="Q3"/>
    <x v="0"/>
    <s v="KEPL/01515/82-83"/>
    <s v="SUBHARAMBHA TRADING"/>
    <s v="Straight Pouch"/>
    <x v="12"/>
    <n v="1"/>
    <n v="40"/>
    <n v="336"/>
    <n v="13440"/>
    <n v="-1221.6999999999998"/>
    <n v="0"/>
    <n v="0"/>
    <n v="12218.3"/>
  </r>
  <r>
    <x v="92"/>
    <x v="8"/>
    <s v="Q3"/>
    <x v="0"/>
    <s v="KEPL/01515/82-83"/>
    <s v="SUBHARAMBHA TRADING"/>
    <s v="Straight Pouch"/>
    <x v="13"/>
    <n v="1"/>
    <n v="100"/>
    <n v="138"/>
    <n v="13800"/>
    <n v="-1254.4199999999998"/>
    <n v="0"/>
    <n v="0"/>
    <n v="12545.58"/>
  </r>
  <r>
    <x v="93"/>
    <x v="8"/>
    <s v="Q3"/>
    <x v="0"/>
    <s v="KEPL/01517/82-83"/>
    <s v="GORIN TRADING "/>
    <s v="Blends"/>
    <x v="11"/>
    <n v="0.5"/>
    <n v="90"/>
    <n v="64.23"/>
    <n v="5780.7"/>
    <n v="-525.47"/>
    <n v="0"/>
    <n v="683.17996000000005"/>
    <n v="5938.40996"/>
  </r>
  <r>
    <x v="93"/>
    <x v="8"/>
    <s v="Q3"/>
    <x v="0"/>
    <s v="KEPL/01517/82-83"/>
    <s v="GORIN TRADING "/>
    <s v="Straight Pouch"/>
    <x v="1"/>
    <n v="0.5"/>
    <n v="50"/>
    <n v="108.17"/>
    <n v="5408.5"/>
    <n v="-491.63"/>
    <n v="0"/>
    <n v="639.19315599999993"/>
    <n v="5556.0631560000002"/>
  </r>
  <r>
    <x v="93"/>
    <x v="8"/>
    <s v="Q3"/>
    <x v="0"/>
    <s v="KEPL/01517/82-83"/>
    <s v="GORIN TRADING "/>
    <s v="Straight Premium"/>
    <x v="8"/>
    <n v="0.5"/>
    <n v="60"/>
    <n v="50.7"/>
    <n v="3042"/>
    <n v="-276.52"/>
    <n v="0"/>
    <n v="359.51243099999999"/>
    <n v="3124.9924310000001"/>
  </r>
  <r>
    <x v="93"/>
    <x v="8"/>
    <s v="Q3"/>
    <x v="0"/>
    <s v="KEPL/01517/82-83"/>
    <s v="GORIN TRADING "/>
    <s v="Blends"/>
    <x v="18"/>
    <n v="0.5"/>
    <n v="60"/>
    <n v="141.97"/>
    <n v="8518.2000000000007"/>
    <n v="-774.3"/>
    <n v="0"/>
    <n v="1006.7070879999999"/>
    <n v="8750.6070880000007"/>
  </r>
  <r>
    <x v="93"/>
    <x v="8"/>
    <s v="Q3"/>
    <x v="0"/>
    <s v="KEPL/01517/82-83"/>
    <s v="GORIN TRADING "/>
    <s v="Straight Premium"/>
    <x v="7"/>
    <n v="0.5"/>
    <n v="60"/>
    <n v="152.11000000000001"/>
    <n v="9126.6"/>
    <n v="-829.6099999999999"/>
    <n v="0"/>
    <n v="1078.608794"/>
    <n v="9375.5987939999995"/>
  </r>
  <r>
    <x v="93"/>
    <x v="8"/>
    <s v="Q3"/>
    <x v="0"/>
    <s v="KEPL/01517/82-83"/>
    <s v="GORIN TRADING "/>
    <s v="Blends"/>
    <x v="9"/>
    <n v="0.5"/>
    <n v="90"/>
    <n v="70.989999999999995"/>
    <n v="6389.1"/>
    <n v="-580.77"/>
    <n v="0"/>
    <n v="755.08296600000006"/>
    <n v="6563.4129659999999"/>
  </r>
  <r>
    <x v="93"/>
    <x v="8"/>
    <s v="Q3"/>
    <x v="0"/>
    <s v="KEPL/01517/82-83"/>
    <s v="GORIN TRADING "/>
    <s v="Straight Pouch"/>
    <x v="6"/>
    <n v="0.5"/>
    <n v="50"/>
    <n v="162.26"/>
    <n v="8113"/>
    <n v="-737.47"/>
    <n v="0"/>
    <n v="958.818984"/>
    <n v="8334.3489840000002"/>
  </r>
  <r>
    <x v="93"/>
    <x v="8"/>
    <s v="Q3"/>
    <x v="0"/>
    <s v="KEPL/01517/82-83"/>
    <s v="GORIN TRADING "/>
    <s v="Hing"/>
    <x v="50"/>
    <n v="0.25"/>
    <n v="50"/>
    <n v="128.44999999999999"/>
    <n v="6422.5"/>
    <n v="-583.80999999999995"/>
    <n v="0"/>
    <n v="759.029766"/>
    <n v="6597.7197660000002"/>
  </r>
  <r>
    <x v="93"/>
    <x v="8"/>
    <s v="Q3"/>
    <x v="0"/>
    <s v="KEPL/01517/82-83"/>
    <s v="GORIN TRADING "/>
    <s v="Blends"/>
    <x v="32"/>
    <n v="0.5"/>
    <n v="60"/>
    <n v="64.23"/>
    <n v="3853.7999999999997"/>
    <n v="-350.31"/>
    <n v="0"/>
    <n v="455.45374000000004"/>
    <n v="3958.9437400000002"/>
  </r>
  <r>
    <x v="93"/>
    <x v="8"/>
    <s v="Q3"/>
    <x v="0"/>
    <s v="KEPL/01517/82-83"/>
    <s v="GORIN TRADING "/>
    <s v="Blends"/>
    <x v="10"/>
    <n v="0.5"/>
    <n v="90"/>
    <n v="60.84"/>
    <n v="5475.5999999999995"/>
    <n v="-497.73"/>
    <n v="0"/>
    <n v="647.12315599999999"/>
    <n v="5624.9931560000005"/>
  </r>
  <r>
    <x v="93"/>
    <x v="8"/>
    <s v="Q3"/>
    <x v="0"/>
    <s v="KEPL/01517/82-83"/>
    <s v="GORIN TRADING "/>
    <s v="Blends"/>
    <x v="2"/>
    <n v="0.5"/>
    <n v="90"/>
    <n v="64.23"/>
    <n v="5780.7"/>
    <n v="-525.47"/>
    <n v="0"/>
    <n v="683.17996000000005"/>
    <n v="5938.40996"/>
  </r>
  <r>
    <x v="93"/>
    <x v="8"/>
    <s v="Q3"/>
    <x v="0"/>
    <s v="KEPL/01518/82-83"/>
    <s v="MEGA MART PVT.LTD"/>
    <s v="Sprinkler"/>
    <x v="31"/>
    <n v="1.33"/>
    <n v="96"/>
    <n v="140.18"/>
    <n v="13457.28"/>
    <n v="0"/>
    <n v="0"/>
    <n v="1749.45"/>
    <n v="15206.73"/>
  </r>
  <r>
    <x v="94"/>
    <x v="8"/>
    <s v="Q3"/>
    <x v="0"/>
    <s v="KEPL/01527/82-83"/>
    <s v="DS SPICECO L &amp; D"/>
    <s v="Straight Pouch"/>
    <x v="1"/>
    <n v="0.01"/>
    <n v="1"/>
    <n v="88.5"/>
    <n v="88.5"/>
    <n v="0"/>
    <n v="0"/>
    <n v="11.505029"/>
    <n v="100.00502899999999"/>
  </r>
  <r>
    <x v="94"/>
    <x v="8"/>
    <s v="Q3"/>
    <x v="0"/>
    <s v="KEPL/01527/82-83"/>
    <s v="DS SPICECO L &amp; D"/>
    <s v="Straight Premium"/>
    <x v="5"/>
    <n v="0.01"/>
    <n v="2"/>
    <n v="78.540000000000006"/>
    <n v="157.08000000000001"/>
    <n v="0"/>
    <n v="0"/>
    <n v="20.420452000000001"/>
    <n v="177.500452"/>
  </r>
  <r>
    <x v="94"/>
    <x v="8"/>
    <s v="Q3"/>
    <x v="0"/>
    <s v="KEPL/01527/82-83"/>
    <s v="DS SPICECO L &amp; D"/>
    <s v="Straight Premium"/>
    <x v="28"/>
    <n v="0.03"/>
    <n v="2"/>
    <n v="131.63"/>
    <n v="263.26"/>
    <n v="0"/>
    <n v="0"/>
    <n v="34.223888000000002"/>
    <n v="297.48388799999998"/>
  </r>
  <r>
    <x v="94"/>
    <x v="8"/>
    <s v="Q3"/>
    <x v="0"/>
    <s v="KEPL/01527/82-83"/>
    <s v="DS SPICECO L &amp; D"/>
    <s v="Blends"/>
    <x v="11"/>
    <n v="0.01"/>
    <n v="2"/>
    <n v="52.58"/>
    <n v="105.16"/>
    <n v="0"/>
    <n v="0"/>
    <n v="13.670835"/>
    <n v="118.83083499999999"/>
  </r>
  <r>
    <x v="94"/>
    <x v="8"/>
    <s v="Q3"/>
    <x v="0"/>
    <s v="KEPL/01527/82-83"/>
    <s v="DS SPICECO L &amp; D"/>
    <s v="Blends"/>
    <x v="2"/>
    <n v="0.01"/>
    <n v="2"/>
    <n v="52.39"/>
    <n v="104.78"/>
    <n v="0"/>
    <n v="0"/>
    <n v="13.621435"/>
    <n v="118.40143500000001"/>
  </r>
  <r>
    <x v="94"/>
    <x v="8"/>
    <s v="Q3"/>
    <x v="0"/>
    <s v="KEPL/01527/82-83"/>
    <s v="DS SPICECO L &amp; D"/>
    <s v="Blends"/>
    <x v="0"/>
    <n v="0.01"/>
    <n v="1"/>
    <n v="52.16"/>
    <n v="52.16"/>
    <n v="0"/>
    <n v="0"/>
    <n v="6.7808169999999999"/>
    <n v="58.940817000000003"/>
  </r>
  <r>
    <x v="94"/>
    <x v="8"/>
    <s v="Q3"/>
    <x v="0"/>
    <s v="KEPL/01527/82-83"/>
    <s v="DS SPICECO L &amp; D"/>
    <s v="Straight Pouch"/>
    <x v="6"/>
    <n v="0.02"/>
    <n v="2"/>
    <n v="156.75"/>
    <n v="313.5"/>
    <n v="0"/>
    <n v="0"/>
    <n v="40.755104000000003"/>
    <n v="354.25510400000002"/>
  </r>
  <r>
    <x v="94"/>
    <x v="8"/>
    <s v="Q3"/>
    <x v="0"/>
    <s v="KEPL/01527/82-83"/>
    <s v="DS SPICECO L &amp; D"/>
    <s v="Straight Pouch"/>
    <x v="4"/>
    <n v="0.05"/>
    <n v="2"/>
    <n v="212.96"/>
    <n v="425.92"/>
    <n v="0"/>
    <n v="0"/>
    <n v="55.369742000000002"/>
    <n v="481.28974199999999"/>
  </r>
  <r>
    <x v="94"/>
    <x v="8"/>
    <s v="Q3"/>
    <x v="0"/>
    <s v="KEPL/01527/82-83"/>
    <s v="DS SPICECO L &amp; D"/>
    <s v="Blends"/>
    <x v="19"/>
    <n v="0.01"/>
    <n v="2"/>
    <n v="126.08"/>
    <n v="252.16"/>
    <n v="0"/>
    <n v="0"/>
    <n v="32.780884"/>
    <n v="284.94088399999998"/>
  </r>
  <r>
    <x v="94"/>
    <x v="8"/>
    <s v="Q3"/>
    <x v="0"/>
    <s v="KEPL/01527/82-83"/>
    <s v="DS SPICECO L &amp; D"/>
    <s v="Straight Premium"/>
    <x v="7"/>
    <n v="0.02"/>
    <n v="2"/>
    <n v="122.89"/>
    <n v="245.78"/>
    <n v="0"/>
    <n v="0"/>
    <n v="31.951481999999999"/>
    <n v="277.73148200000003"/>
  </r>
  <r>
    <x v="94"/>
    <x v="8"/>
    <s v="Q3"/>
    <x v="0"/>
    <s v="KEPL/01527/82-83"/>
    <s v="DS SPICECO L &amp; D"/>
    <s v="Blends"/>
    <x v="16"/>
    <n v="0.02"/>
    <n v="2"/>
    <n v="99.05"/>
    <n v="198.1"/>
    <n v="0"/>
    <n v="0"/>
    <n v="25.753066"/>
    <n v="223.85306600000001"/>
  </r>
  <r>
    <x v="94"/>
    <x v="8"/>
    <s v="Q3"/>
    <x v="0"/>
    <s v="KEPL/01527/82-83"/>
    <s v="DS SPICECO L &amp; D"/>
    <s v="Straight Pouch"/>
    <x v="3"/>
    <n v="0.05"/>
    <n v="2"/>
    <n v="380.66"/>
    <n v="761.32"/>
    <n v="0"/>
    <n v="0"/>
    <n v="98.971852999999996"/>
    <n v="860.29185299999995"/>
  </r>
  <r>
    <x v="94"/>
    <x v="8"/>
    <s v="Q3"/>
    <x v="0"/>
    <s v="KEPL/01527/82-83"/>
    <s v="DS SPICECO L &amp; D"/>
    <s v="Blends"/>
    <x v="15"/>
    <n v="0.01"/>
    <n v="2"/>
    <n v="93.7"/>
    <n v="187.4"/>
    <n v="0"/>
    <n v="0"/>
    <n v="24.362062000000002"/>
    <n v="211.76206199999999"/>
  </r>
  <r>
    <x v="94"/>
    <x v="8"/>
    <s v="Q3"/>
    <x v="0"/>
    <s v="KEPL/01527/82-83"/>
    <s v="DS SPICECO L &amp; D"/>
    <s v="Blends"/>
    <x v="0"/>
    <n v="0.01"/>
    <n v="1"/>
    <n v="52.16"/>
    <n v="52.16"/>
    <n v="0"/>
    <n v="0"/>
    <n v="6.7808169999999999"/>
    <n v="58.940817000000003"/>
  </r>
  <r>
    <x v="94"/>
    <x v="8"/>
    <s v="Q3"/>
    <x v="0"/>
    <s v="KEPL/01527/82-83"/>
    <s v="DS SPICECO L &amp; D"/>
    <s v="Straight Pouch"/>
    <x v="1"/>
    <n v="0.01"/>
    <n v="1"/>
    <n v="88.5"/>
    <n v="88.5"/>
    <n v="0"/>
    <n v="0"/>
    <n v="11.505029"/>
    <n v="100.00502899999999"/>
  </r>
  <r>
    <x v="94"/>
    <x v="8"/>
    <s v="Q3"/>
    <x v="0"/>
    <s v="KEPL/01527/82-83"/>
    <s v="DS SPICECO L &amp; D"/>
    <s v="Blends"/>
    <x v="18"/>
    <n v="0.02"/>
    <n v="2"/>
    <n v="114.26"/>
    <n v="228.52"/>
    <n v="0"/>
    <n v="0"/>
    <n v="29.707675999999999"/>
    <n v="258.22767599999997"/>
  </r>
  <r>
    <x v="94"/>
    <x v="8"/>
    <s v="Q3"/>
    <x v="0"/>
    <s v="KEPL/01527/82-83"/>
    <s v="DS SPICECO L &amp; D"/>
    <s v="Straight Premium"/>
    <x v="22"/>
    <n v="0.05"/>
    <n v="2"/>
    <n v="242.88"/>
    <n v="485.76"/>
    <n v="0"/>
    <n v="0"/>
    <n v="63.148961999999997"/>
    <n v="548.90896199999997"/>
  </r>
  <r>
    <x v="94"/>
    <x v="8"/>
    <s v="Q3"/>
    <x v="0"/>
    <s v="KEPL/01527/82-83"/>
    <s v="DS SPICECO L &amp; D"/>
    <s v="Blends"/>
    <x v="10"/>
    <n v="0.01"/>
    <n v="2"/>
    <n v="49.98"/>
    <n v="99.96"/>
    <n v="0"/>
    <n v="0"/>
    <n v="12.994833"/>
    <n v="112.95483299999999"/>
  </r>
  <r>
    <x v="94"/>
    <x v="8"/>
    <s v="Q3"/>
    <x v="0"/>
    <s v="KEPL/01527/82-83"/>
    <s v="DS SPICECO L &amp; D"/>
    <s v="Blends"/>
    <x v="21"/>
    <n v="0.03"/>
    <n v="2"/>
    <n v="154.26"/>
    <n v="308.52"/>
    <n v="0"/>
    <n v="0"/>
    <n v="40.107703000000001"/>
    <n v="348.627703"/>
  </r>
  <r>
    <x v="94"/>
    <x v="8"/>
    <s v="Q3"/>
    <x v="0"/>
    <s v="KEPL/01527/82-83"/>
    <s v="DS SPICECO L &amp; D"/>
    <s v="Blends"/>
    <x v="17"/>
    <n v="0.01"/>
    <n v="2"/>
    <n v="98.93"/>
    <n v="197.86"/>
    <n v="0"/>
    <n v="0"/>
    <n v="25.721865999999999"/>
    <n v="223.58186599999999"/>
  </r>
  <r>
    <x v="94"/>
    <x v="8"/>
    <s v="Q3"/>
    <x v="0"/>
    <s v="KEPL/01527/82-83"/>
    <s v="DS SPICECO L &amp; D"/>
    <s v="Blends"/>
    <x v="27"/>
    <n v="0.02"/>
    <n v="2"/>
    <n v="97.64"/>
    <n v="195.28"/>
    <n v="0"/>
    <n v="0"/>
    <n v="25.386465000000001"/>
    <n v="220.66646499999999"/>
  </r>
  <r>
    <x v="94"/>
    <x v="8"/>
    <s v="Q3"/>
    <x v="0"/>
    <s v="KEPL/01528/82-83"/>
    <s v="DS SPICECO L &amp; D"/>
    <s v="Straight Pouch"/>
    <x v="13"/>
    <n v="0.02"/>
    <n v="2"/>
    <n v="107.15"/>
    <n v="214.3"/>
    <s v=""/>
    <s v=""/>
    <s v=""/>
    <n v="214.3"/>
  </r>
  <r>
    <x v="94"/>
    <x v="8"/>
    <s v="Q3"/>
    <x v="0"/>
    <s v="KEPL/01528/82-83"/>
    <s v="DS SPICECO L &amp; D"/>
    <s v="Straight Pouch"/>
    <x v="12"/>
    <n v="0.05"/>
    <n v="2"/>
    <n v="253.25"/>
    <n v="506.5"/>
    <s v=""/>
    <s v=""/>
    <s v=""/>
    <n v="506.5"/>
  </r>
  <r>
    <x v="94"/>
    <x v="8"/>
    <s v="Q3"/>
    <x v="0"/>
    <s v="KEPL/01529/82-83"/>
    <s v="BHAT BHATENI SUPERMARKET &amp; DEPARTMENTAL STORE PVT. LTD."/>
    <s v="Straight Premium"/>
    <x v="28"/>
    <n v="2"/>
    <n v="160"/>
    <n v="154.87"/>
    <n v="24779.200000000001"/>
    <n v="0"/>
    <n v="0"/>
    <n v="3221.296151"/>
    <n v="28000.496150999999"/>
  </r>
  <r>
    <x v="94"/>
    <x v="8"/>
    <s v="Q3"/>
    <x v="0"/>
    <s v="KEPL/01529/82-83"/>
    <s v="BHAT BHATENI SUPERMARKET &amp; DEPARTMENTAL STORE PVT. LTD."/>
    <s v="Hing"/>
    <x v="49"/>
    <n v="1.17"/>
    <n v="140"/>
    <n v="229.2"/>
    <n v="32088.000000000004"/>
    <n v="0"/>
    <n v="0"/>
    <n v="4171.4401950000001"/>
    <n v="36259.440195000003"/>
  </r>
  <r>
    <x v="94"/>
    <x v="8"/>
    <s v="Q3"/>
    <x v="0"/>
    <s v="KEPL/01529/82-83"/>
    <s v="BHAT BHATENI SUPERMARKET &amp; DEPARTMENTAL STORE PVT. LTD."/>
    <s v="Straight Premium"/>
    <x v="22"/>
    <n v="6"/>
    <n v="240"/>
    <n v="260.18"/>
    <n v="62443.200000000004"/>
    <n v="0"/>
    <n v="0"/>
    <n v="8117.6163800000004"/>
    <n v="70560.816380000004"/>
  </r>
  <r>
    <x v="94"/>
    <x v="8"/>
    <s v="Q3"/>
    <x v="0"/>
    <s v="KEPL/01529/82-83"/>
    <s v="BHAT BHATENI SUPERMARKET &amp; DEPARTMENTAL STORE PVT. LTD."/>
    <s v="Straight Pouch"/>
    <x v="4"/>
    <n v="1"/>
    <n v="40"/>
    <n v="238.5"/>
    <n v="9539.9999999999982"/>
    <n v="0"/>
    <n v="0"/>
    <n v="1240.2000579999999"/>
    <n v="10780.200058"/>
  </r>
  <r>
    <x v="94"/>
    <x v="8"/>
    <s v="Q3"/>
    <x v="0"/>
    <s v="KEPL/01529/82-83"/>
    <s v="BHAT BHATENI SUPERMARKET &amp; DEPARTMENTAL STORE PVT. LTD."/>
    <s v="Straight Premium"/>
    <x v="7"/>
    <n v="4.5"/>
    <n v="540"/>
    <n v="136.28"/>
    <n v="73591.199999999997"/>
    <n v="0"/>
    <n v="0"/>
    <n v="9566.8564479999986"/>
    <n v="83158.056448000003"/>
  </r>
  <r>
    <x v="94"/>
    <x v="8"/>
    <s v="Q3"/>
    <x v="0"/>
    <s v="KEPL/01529/82-83"/>
    <s v="BHAT BHATENI SUPERMARKET &amp; DEPARTMENTAL STORE PVT. LTD."/>
    <s v="Blends"/>
    <x v="11"/>
    <n v="0.28000000000000003"/>
    <n v="50"/>
    <n v="56.99"/>
    <n v="2849.5"/>
    <n v="0"/>
    <n v="0"/>
    <n v="370.43501700000002"/>
    <n v="3219.9350169999998"/>
  </r>
  <r>
    <x v="94"/>
    <x v="8"/>
    <s v="Q3"/>
    <x v="0"/>
    <s v="KEPL/01529/82-83"/>
    <s v="BHAT BHATENI SUPERMARKET &amp; DEPARTMENTAL STORE PVT. LTD."/>
    <s v="Blends"/>
    <x v="9"/>
    <n v="0.28000000000000003"/>
    <n v="50"/>
    <n v="65.040000000000006"/>
    <n v="3252"/>
    <n v="0"/>
    <n v="0"/>
    <n v="422.76002"/>
    <n v="3674.7600200000002"/>
  </r>
  <r>
    <x v="94"/>
    <x v="8"/>
    <s v="Q3"/>
    <x v="0"/>
    <s v="KEPL/01529/82-83"/>
    <s v="BHAT BHATENI SUPERMARKET &amp; DEPARTMENTAL STORE PVT. LTD."/>
    <s v="Straight Premium"/>
    <x v="23"/>
    <n v="2"/>
    <n v="360"/>
    <n v="145.58000000000001"/>
    <n v="52408.799999999996"/>
    <n v="0"/>
    <n v="0"/>
    <n v="6813.144319"/>
    <n v="59221.944319000002"/>
  </r>
  <r>
    <x v="94"/>
    <x v="8"/>
    <s v="Q3"/>
    <x v="0"/>
    <s v="KEPL/01529/82-83"/>
    <s v="BHAT BHATENI SUPERMARKET &amp; DEPARTMENTAL STORE PVT. LTD."/>
    <s v="Straight Pouch"/>
    <x v="1"/>
    <n v="0.6"/>
    <n v="60"/>
    <n v="99.12"/>
    <n v="5947.2"/>
    <n v="0"/>
    <n v="0"/>
    <n v="773.13603599999999"/>
    <n v="6720.3360359999997"/>
  </r>
  <r>
    <x v="94"/>
    <x v="8"/>
    <s v="Q3"/>
    <x v="0"/>
    <s v="KEPL/01529/82-83"/>
    <s v="BHAT BHATENI SUPERMARKET &amp; DEPARTMENTAL STORE PVT. LTD."/>
    <s v="Blends"/>
    <x v="14"/>
    <n v="0.5"/>
    <n v="90"/>
    <n v="123.89"/>
    <n v="11150.1"/>
    <n v="0"/>
    <n v="0"/>
    <n v="1449.513068"/>
    <n v="12599.613068000001"/>
  </r>
  <r>
    <x v="94"/>
    <x v="8"/>
    <s v="Q3"/>
    <x v="0"/>
    <s v="KEPL/01529/82-83"/>
    <s v="BHAT BHATENI SUPERMARKET &amp; DEPARTMENTAL STORE PVT. LTD."/>
    <s v="Straight Premium"/>
    <x v="5"/>
    <n v="1"/>
    <n v="180"/>
    <n v="74.34"/>
    <n v="13381.199999999999"/>
    <n v="0"/>
    <n v="0"/>
    <n v="1739.5560809999999"/>
    <n v="15120.756081"/>
  </r>
  <r>
    <x v="94"/>
    <x v="8"/>
    <s v="Q3"/>
    <x v="0"/>
    <s v="KEPL/01529/82-83"/>
    <s v="BHAT BHATENI SUPERMARKET &amp; DEPARTMENTAL STORE PVT. LTD."/>
    <s v="Combo"/>
    <x v="43"/>
    <n v="2"/>
    <n v="120"/>
    <n v="136.28"/>
    <n v="16353.6"/>
    <n v="0"/>
    <n v="0"/>
    <n v="2125.9680989999997"/>
    <n v="18479.568099"/>
  </r>
  <r>
    <x v="94"/>
    <x v="8"/>
    <s v="Q3"/>
    <x v="0"/>
    <s v="KEPL/01529/82-83"/>
    <s v="BHAT BHATENI SUPERMARKET &amp; DEPARTMENTAL STORE PVT. LTD."/>
    <s v="Blends"/>
    <x v="44"/>
    <n v="0.17"/>
    <n v="30"/>
    <n v="111.5"/>
    <n v="3344.9999999999995"/>
    <n v="0"/>
    <n v="0"/>
    <n v="434.85001999999997"/>
    <n v="3779.8500199999999"/>
  </r>
  <r>
    <x v="94"/>
    <x v="8"/>
    <s v="Q3"/>
    <x v="0"/>
    <s v="KEPL/01529/82-83"/>
    <s v="BHAT BHATENI SUPERMARKET &amp; DEPARTMENTAL STORE PVT. LTD."/>
    <s v="Sprinkler"/>
    <x v="47"/>
    <n v="0.2"/>
    <n v="20"/>
    <n v="65.040000000000006"/>
    <n v="1300.8"/>
    <n v="0"/>
    <n v="0"/>
    <n v="169.10400799999999"/>
    <n v="1469.904008"/>
  </r>
  <r>
    <x v="94"/>
    <x v="8"/>
    <s v="Q3"/>
    <x v="0"/>
    <s v="KEPL/01529/82-83"/>
    <s v="BHAT BHATENI SUPERMARKET &amp; DEPARTMENTAL STORE PVT. LTD."/>
    <s v="Hing"/>
    <x v="50"/>
    <n v="0.35"/>
    <n v="70"/>
    <n v="117.7"/>
    <n v="8239"/>
    <n v="0"/>
    <n v="0"/>
    <n v="1071.07005"/>
    <n v="9310.0700500000003"/>
  </r>
  <r>
    <x v="94"/>
    <x v="8"/>
    <s v="Q3"/>
    <x v="0"/>
    <s v="KEPL/01529/82-83"/>
    <s v="BHAT BHATENI SUPERMARKET &amp; DEPARTMENTAL STORE PVT. LTD."/>
    <s v="Blends"/>
    <x v="18"/>
    <n v="0.5"/>
    <n v="60"/>
    <n v="136.28"/>
    <n v="8176.8"/>
    <n v="0"/>
    <n v="0"/>
    <n v="1062.98405"/>
    <n v="9239.7840500000002"/>
  </r>
  <r>
    <x v="94"/>
    <x v="8"/>
    <s v="Q3"/>
    <x v="0"/>
    <s v="KEPL/01530/82-83"/>
    <s v="BHAT BHATENI SUPERMARKET &amp; DEPARTMENTAL STORE PVT. LTD."/>
    <s v="Blends"/>
    <x v="27"/>
    <n v="0.5"/>
    <n v="60"/>
    <n v="105.31"/>
    <n v="6318.5999999999995"/>
    <n v="0"/>
    <n v="0"/>
    <n v="821.41819099999998"/>
    <n v="7140.0181910000001"/>
  </r>
  <r>
    <x v="94"/>
    <x v="8"/>
    <s v="Q3"/>
    <x v="0"/>
    <s v="KEPL/01530/82-83"/>
    <s v="BHAT BHATENI SUPERMARKET &amp; DEPARTMENTAL STORE PVT. LTD."/>
    <s v="Blends"/>
    <x v="0"/>
    <n v="0.28000000000000003"/>
    <n v="50"/>
    <n v="56.99"/>
    <n v="2849.5"/>
    <n v="0"/>
    <n v="0"/>
    <n v="370.43508600000001"/>
    <n v="3219.935086"/>
  </r>
  <r>
    <x v="94"/>
    <x v="8"/>
    <s v="Q3"/>
    <x v="0"/>
    <s v="KEPL/01530/82-83"/>
    <s v="BHAT BHATENI SUPERMARKET &amp; DEPARTMENTAL STORE PVT. LTD."/>
    <s v="Blends"/>
    <x v="2"/>
    <n v="0.5"/>
    <n v="90"/>
    <n v="56.99"/>
    <n v="5129.1000000000004"/>
    <n v="0"/>
    <n v="0"/>
    <n v="666.78315499999997"/>
    <n v="5795.8831550000004"/>
  </r>
  <r>
    <x v="94"/>
    <x v="8"/>
    <s v="Q3"/>
    <x v="0"/>
    <s v="KEPL/01530/82-83"/>
    <s v="BHAT BHATENI SUPERMARKET &amp; DEPARTMENTAL STORE PVT. LTD."/>
    <s v="Blends"/>
    <x v="32"/>
    <n v="0.5"/>
    <n v="60"/>
    <n v="58.85"/>
    <n v="3531.0000000000005"/>
    <n v="0"/>
    <n v="0"/>
    <n v="459.03010700000004"/>
    <n v="3990.030107"/>
  </r>
  <r>
    <x v="94"/>
    <x v="8"/>
    <s v="Q3"/>
    <x v="0"/>
    <s v="KEPL/01530/82-83"/>
    <s v="BHAT BHATENI SUPERMARKET &amp; DEPARTMENTAL STORE PVT. LTD."/>
    <s v="Straight Premium"/>
    <x v="24"/>
    <n v="1.5"/>
    <n v="60"/>
    <n v="402.65"/>
    <n v="24158.999999999996"/>
    <n v="0"/>
    <n v="0"/>
    <n v="3140.6707299999998"/>
    <n v="27299.670730000002"/>
  </r>
  <r>
    <x v="94"/>
    <x v="8"/>
    <s v="Q3"/>
    <x v="0"/>
    <s v="KEPL/01530/82-83"/>
    <s v="BHAT BHATENI SUPERMARKET &amp; DEPARTMENTAL STORE PVT. LTD."/>
    <s v="Sprinkler"/>
    <x v="31"/>
    <n v="2"/>
    <n v="144"/>
    <n v="136.28"/>
    <n v="19624.32"/>
    <n v="0"/>
    <n v="0"/>
    <n v="2551.1621929999997"/>
    <n v="22175.482193"/>
  </r>
  <r>
    <x v="94"/>
    <x v="8"/>
    <s v="Q3"/>
    <x v="0"/>
    <s v="KEPL/01530/82-83"/>
    <s v="BHAT BHATENI SUPERMARKET &amp; DEPARTMENTAL STORE PVT. LTD."/>
    <s v="Straight Pouch"/>
    <x v="6"/>
    <n v="1.6"/>
    <n v="160"/>
    <n v="148.66999999999999"/>
    <n v="23787.200000000001"/>
    <n v="0"/>
    <n v="0"/>
    <n v="3092.3367189999999"/>
    <n v="26879.536719"/>
  </r>
  <r>
    <x v="94"/>
    <x v="8"/>
    <s v="Q3"/>
    <x v="0"/>
    <s v="KEPL/01530/82-83"/>
    <s v="BHAT BHATENI SUPERMARKET &amp; DEPARTMENTAL STORE PVT. LTD."/>
    <s v="Blends"/>
    <x v="38"/>
    <n v="1"/>
    <n v="120"/>
    <n v="77.430000000000007"/>
    <n v="9291.6"/>
    <n v="0"/>
    <n v="0"/>
    <n v="1207.908281"/>
    <n v="10499.508281"/>
  </r>
  <r>
    <x v="94"/>
    <x v="8"/>
    <s v="Q3"/>
    <x v="0"/>
    <s v="KEPL/01530/82-83"/>
    <s v="BHAT BHATENI SUPERMARKET &amp; DEPARTMENTAL STORE PVT. LTD."/>
    <s v="Sprinkler"/>
    <x v="46"/>
    <n v="0.7"/>
    <n v="70"/>
    <n v="89.82"/>
    <n v="6287.4"/>
    <n v="0"/>
    <n v="0"/>
    <n v="817.36218999999994"/>
    <n v="7104.7621900000004"/>
  </r>
  <r>
    <x v="94"/>
    <x v="8"/>
    <s v="Q3"/>
    <x v="0"/>
    <s v="KEPL/01530/82-83"/>
    <s v="BHAT BHATENI SUPERMARKET &amp; DEPARTMENTAL STORE PVT. LTD."/>
    <s v="Blends"/>
    <x v="45"/>
    <n v="0.25"/>
    <n v="20"/>
    <n v="130.09"/>
    <n v="2601.7999999999997"/>
    <n v="0"/>
    <n v="0"/>
    <n v="338.23407900000001"/>
    <n v="2940.034079"/>
  </r>
  <r>
    <x v="94"/>
    <x v="8"/>
    <s v="Q3"/>
    <x v="0"/>
    <s v="KEPL/01530/82-83"/>
    <s v="BHAT BHATENI SUPERMARKET &amp; DEPARTMENTAL STORE PVT. LTD."/>
    <s v="Blends"/>
    <x v="36"/>
    <n v="0.25"/>
    <n v="20"/>
    <n v="142.47999999999999"/>
    <n v="2849.6"/>
    <n v="0"/>
    <n v="0"/>
    <n v="370.44808599999999"/>
    <n v="3220.0480859999998"/>
  </r>
  <r>
    <x v="94"/>
    <x v="8"/>
    <s v="Q3"/>
    <x v="0"/>
    <s v="KEPL/01530/82-83"/>
    <s v="BHAT BHATENI SUPERMARKET &amp; DEPARTMENTAL STORE PVT. LTD."/>
    <s v="Blends"/>
    <x v="21"/>
    <n v="0.25"/>
    <n v="20"/>
    <n v="170.35"/>
    <n v="3407.0000000000005"/>
    <n v="0"/>
    <n v="0"/>
    <n v="442.91010299999999"/>
    <n v="3849.9101030000002"/>
  </r>
  <r>
    <x v="94"/>
    <x v="8"/>
    <s v="Q3"/>
    <x v="0"/>
    <s v="KEPL/01530/82-83"/>
    <s v="BHAT BHATENI SUPERMARKET &amp; DEPARTMENTAL STORE PVT. LTD."/>
    <s v="Straight Premium"/>
    <x v="8"/>
    <n v="1.5"/>
    <n v="180"/>
    <n v="46.46"/>
    <n v="8362.8000000000011"/>
    <n v="0"/>
    <n v="0"/>
    <n v="1087.1642529999999"/>
    <n v="9449.9642530000001"/>
  </r>
  <r>
    <x v="94"/>
    <x v="8"/>
    <s v="Q3"/>
    <x v="0"/>
    <s v="KEPL/01530/82-83"/>
    <s v="BHAT BHATENI SUPERMARKET &amp; DEPARTMENTAL STORE PVT. LTD."/>
    <s v="Blends"/>
    <x v="15"/>
    <n v="0.11"/>
    <n v="20"/>
    <n v="105.31"/>
    <n v="2106.1999999999998"/>
    <n v="0"/>
    <n v="0"/>
    <n v="273.80606399999999"/>
    <n v="2380.0060640000002"/>
  </r>
  <r>
    <x v="94"/>
    <x v="8"/>
    <s v="Q3"/>
    <x v="0"/>
    <s v="KEPL/01530/82-83"/>
    <s v="BHAT BHATENI SUPERMARKET &amp; DEPARTMENTAL STORE PVT. LTD."/>
    <s v="Cooking Paste"/>
    <x v="29"/>
    <n v="0.67"/>
    <n v="80"/>
    <n v="52.65"/>
    <n v="4212"/>
    <n v="0"/>
    <n v="0"/>
    <n v="547.56012699999997"/>
    <n v="4759.5601269999997"/>
  </r>
  <r>
    <x v="94"/>
    <x v="8"/>
    <s v="Q3"/>
    <x v="0"/>
    <s v="KEPL/01530/82-83"/>
    <s v="BHAT BHATENI SUPERMARKET &amp; DEPARTMENTAL STORE PVT. LTD."/>
    <s v="Straight Premium"/>
    <x v="34"/>
    <n v="1.25"/>
    <n v="100"/>
    <n v="210.62"/>
    <n v="21062"/>
    <n v="0"/>
    <n v="0"/>
    <n v="2738.060637"/>
    <n v="23800.060636999999"/>
  </r>
  <r>
    <x v="95"/>
    <x v="8"/>
    <s v="Q3"/>
    <x v="0"/>
    <s v="KEPL/01536/82-83"/>
    <s v="BHAT BHATENI SUPERMARKET &amp; DEPARTMENTAL STORE PVT. LTD."/>
    <s v="Straight Pouch"/>
    <x v="13"/>
    <n v="2.4"/>
    <n v="240"/>
    <n v="126"/>
    <n v="30240"/>
    <s v=""/>
    <s v=""/>
    <s v=""/>
    <n v="30240"/>
  </r>
  <r>
    <x v="95"/>
    <x v="8"/>
    <s v="Q3"/>
    <x v="0"/>
    <s v="KEPL/01536/82-83"/>
    <s v="BHAT BHATENI SUPERMARKET &amp; DEPARTMENTAL STORE PVT. LTD."/>
    <s v="Straight Pouch"/>
    <x v="12"/>
    <n v="4"/>
    <n v="160"/>
    <n v="308"/>
    <n v="49280"/>
    <s v=""/>
    <s v=""/>
    <s v=""/>
    <n v="49280"/>
  </r>
  <r>
    <x v="95"/>
    <x v="8"/>
    <s v="Q3"/>
    <x v="0"/>
    <s v="KEPL/01537/82-83"/>
    <s v="GORIN TRADING "/>
    <s v="Straight Premium"/>
    <x v="8"/>
    <n v="1"/>
    <n v="120"/>
    <n v="50.7"/>
    <n v="6084"/>
    <n v="-553.04"/>
    <n v="0"/>
    <n v="719.02"/>
    <n v="6249.98"/>
  </r>
  <r>
    <x v="95"/>
    <x v="8"/>
    <s v="Q3"/>
    <x v="0"/>
    <s v="KEPL/01538/82-83"/>
    <s v="SAFAL MART PVT.LTD"/>
    <s v="Blends"/>
    <x v="19"/>
    <n v="1"/>
    <n v="180"/>
    <n v="155.49"/>
    <n v="27988.2"/>
    <n v="-2544.13"/>
    <n v="0"/>
    <n v="3307.729296"/>
    <n v="28751.799296000001"/>
  </r>
  <r>
    <x v="95"/>
    <x v="8"/>
    <s v="Q3"/>
    <x v="0"/>
    <s v="KEPL/01538/82-83"/>
    <s v="SAFAL MART PVT.LTD"/>
    <s v="Straight Premium"/>
    <x v="22"/>
    <n v="1"/>
    <n v="40"/>
    <n v="283.94"/>
    <n v="11357.599999999999"/>
    <n v="-1032.4099999999999"/>
    <n v="0"/>
    <n v="1342.27478"/>
    <n v="11667.46478"/>
  </r>
  <r>
    <x v="95"/>
    <x v="8"/>
    <s v="Q3"/>
    <x v="0"/>
    <s v="KEPL/01538/82-83"/>
    <s v="SAFAL MART PVT.LTD"/>
    <s v="Straight Premium"/>
    <x v="23"/>
    <n v="1"/>
    <n v="180"/>
    <n v="182.53"/>
    <n v="32855.4"/>
    <n v="-2986.56"/>
    <n v="0"/>
    <n v="3882.9494300000001"/>
    <n v="33751.789429999997"/>
  </r>
  <r>
    <x v="95"/>
    <x v="8"/>
    <s v="Q3"/>
    <x v="0"/>
    <s v="KEPL/01538/82-83"/>
    <s v="SAFAL MART PVT.LTD"/>
    <s v="Blends"/>
    <x v="41"/>
    <n v="1"/>
    <n v="120"/>
    <n v="158.86000000000001"/>
    <n v="19063.2"/>
    <n v="-1732.84"/>
    <n v="0"/>
    <n v="2252.9469340000001"/>
    <n v="19583.306934"/>
  </r>
  <r>
    <x v="95"/>
    <x v="8"/>
    <s v="Q3"/>
    <x v="0"/>
    <s v="KEPL/01538/82-83"/>
    <s v="SAFAL MART PVT.LTD"/>
    <s v="Blends"/>
    <x v="20"/>
    <n v="1"/>
    <n v="120"/>
    <n v="121.69"/>
    <n v="14602.800000000001"/>
    <n v="-1327.39"/>
    <n v="0"/>
    <n v="1725.803402"/>
    <n v="15001.213401999999"/>
  </r>
  <r>
    <x v="95"/>
    <x v="8"/>
    <s v="Q3"/>
    <x v="0"/>
    <s v="KEPL/01538/82-83"/>
    <s v="SAFAL MART PVT.LTD"/>
    <s v="Straight Premium"/>
    <x v="8"/>
    <n v="1"/>
    <n v="120"/>
    <n v="50.7"/>
    <n v="6084"/>
    <n v="-553.04"/>
    <n v="0"/>
    <n v="719.02484300000003"/>
    <n v="6249.9848430000002"/>
  </r>
  <r>
    <x v="95"/>
    <x v="8"/>
    <s v="Q3"/>
    <x v="0"/>
    <s v="KEPL/01538/82-83"/>
    <s v="SAFAL MART PVT.LTD"/>
    <s v="Blends"/>
    <x v="36"/>
    <n v="0.63"/>
    <n v="50"/>
    <n v="155.49"/>
    <n v="7774.5"/>
    <n v="-706.7"/>
    <n v="0"/>
    <n v="918.81405500000005"/>
    <n v="7986.614055"/>
  </r>
  <r>
    <x v="95"/>
    <x v="8"/>
    <s v="Q3"/>
    <x v="0"/>
    <s v="KEPL/01538/82-83"/>
    <s v="SAFAL MART PVT.LTD"/>
    <s v="Blends"/>
    <x v="15"/>
    <n v="0.28000000000000003"/>
    <n v="50"/>
    <n v="114.93"/>
    <n v="5746.5"/>
    <n v="-522.36"/>
    <n v="0"/>
    <n v="679.13824"/>
    <n v="5903.2782399999996"/>
  </r>
  <r>
    <x v="95"/>
    <x v="8"/>
    <s v="Q3"/>
    <x v="0"/>
    <s v="KEPL/01538/82-83"/>
    <s v="SAFAL MART PVT.LTD"/>
    <s v="Blends"/>
    <x v="45"/>
    <n v="0.25"/>
    <n v="20"/>
    <n v="141.97"/>
    <n v="2839.3999999999996"/>
    <n v="-258.10000000000002"/>
    <n v="0"/>
    <n v="335.56902000000002"/>
    <n v="2916.8690200000001"/>
  </r>
  <r>
    <x v="95"/>
    <x v="8"/>
    <s v="Q3"/>
    <x v="0"/>
    <s v="KEPL/01539/82-83"/>
    <s v="DS SPICECO L &amp; D"/>
    <s v="Straight Premium"/>
    <x v="7"/>
    <n v="0.17"/>
    <n v="20"/>
    <n v="152.11000000000001"/>
    <n v="3042.2000000000003"/>
    <n v="0"/>
    <n v="0"/>
    <n v="395.49"/>
    <n v="3437.69"/>
  </r>
  <r>
    <x v="96"/>
    <x v="8"/>
    <s v="Q3"/>
    <x v="0"/>
    <s v="KEPL/01543/82-83"/>
    <s v="SUBHARAMBHA TRADING"/>
    <s v="Straight Premium"/>
    <x v="7"/>
    <n v="2"/>
    <n v="240"/>
    <n v="152.11000000000001"/>
    <n v="36506.400000000001"/>
    <n v="-3318.43"/>
    <n v="0"/>
    <n v="4314.4359729999996"/>
    <n v="37502.405973000001"/>
  </r>
  <r>
    <x v="96"/>
    <x v="8"/>
    <s v="Q3"/>
    <x v="0"/>
    <s v="KEPL/01543/82-83"/>
    <s v="SUBHARAMBHA TRADING"/>
    <s v="Sprinkler"/>
    <x v="25"/>
    <n v="1"/>
    <n v="48"/>
    <n v="310.99"/>
    <n v="14927.519999999999"/>
    <n v="-1356.91"/>
    <n v="0"/>
    <n v="1764.1792480000001"/>
    <n v="15334.789247999999"/>
  </r>
  <r>
    <x v="96"/>
    <x v="8"/>
    <s v="Q3"/>
    <x v="0"/>
    <s v="KEPL/01543/82-83"/>
    <s v="SUBHARAMBHA TRADING"/>
    <s v="Straight Premium"/>
    <x v="8"/>
    <n v="1"/>
    <n v="120"/>
    <n v="50.7"/>
    <n v="6084"/>
    <n v="-553.04"/>
    <n v="0"/>
    <n v="719.02477899999997"/>
    <n v="6249.9847790000003"/>
  </r>
  <r>
    <x v="96"/>
    <x v="8"/>
    <s v="Q3"/>
    <x v="0"/>
    <s v="KESR/0036/82-83"/>
    <s v="SIMPEX SOLUTION PVT. LTD"/>
    <s v="Straight Pouch"/>
    <x v="3"/>
    <n v="-0.05"/>
    <n v="-2"/>
    <n v="462.93"/>
    <n v="-925.86"/>
    <n v="0"/>
    <n v="0"/>
    <n v="-120.362815"/>
    <n v="-1046.2228150000001"/>
  </r>
  <r>
    <x v="96"/>
    <x v="8"/>
    <s v="Q3"/>
    <x v="0"/>
    <s v="KESR/0036/82-83"/>
    <s v="SIMPEX SOLUTION PVT. LTD"/>
    <s v="Blends"/>
    <x v="14"/>
    <n v="-0.02"/>
    <n v="-3"/>
    <n v="136.15"/>
    <n v="-408.45"/>
    <n v="0"/>
    <n v="0"/>
    <n v="-53.098948"/>
    <n v="-461.548948"/>
  </r>
  <r>
    <x v="96"/>
    <x v="8"/>
    <s v="Q3"/>
    <x v="0"/>
    <s v="KESR/0036/82-83"/>
    <s v="SIMPEX SOLUTION PVT. LTD"/>
    <s v="Blends"/>
    <x v="20"/>
    <n v="-0.03"/>
    <n v="-3"/>
    <n v="126.71"/>
    <n v="-380.13"/>
    <n v="0"/>
    <n v="0"/>
    <n v="-49.417316999999997"/>
    <n v="-429.54731700000002"/>
  </r>
  <r>
    <x v="96"/>
    <x v="8"/>
    <s v="Q3"/>
    <x v="0"/>
    <s v="KESR/0036/82-83"/>
    <s v="SIMPEX SOLUTION PVT. LTD"/>
    <s v="Straight Premium"/>
    <x v="23"/>
    <n v="-0.03"/>
    <n v="-5"/>
    <n v="183.81"/>
    <n v="-919.05"/>
    <n v="0"/>
    <n v="0"/>
    <n v="-119.477507"/>
    <n v="-1038.527507"/>
  </r>
  <r>
    <x v="96"/>
    <x v="8"/>
    <s v="Q3"/>
    <x v="0"/>
    <s v="KESR/0036/82-83"/>
    <s v="SIMPEX SOLUTION PVT. LTD"/>
    <s v="Straight Pouch"/>
    <x v="12"/>
    <n v="-0.15"/>
    <n v="-6"/>
    <n v="275.72000000000003"/>
    <n v="-1654.32"/>
    <n v="0"/>
    <n v="0"/>
    <n v="-215.06341300000003"/>
    <n v="-1869.383413"/>
  </r>
  <r>
    <x v="96"/>
    <x v="8"/>
    <s v="Q3"/>
    <x v="0"/>
    <s v="KESR/0038/82-83"/>
    <s v="SIMPEX SOLUTION PVT. LTD"/>
    <s v="Sprinkler"/>
    <x v="46"/>
    <n v="-0.03"/>
    <n v="-3"/>
    <n v="102.65"/>
    <n v="-307.95"/>
    <n v="0"/>
    <n v="0"/>
    <n v="-40.033498000000002"/>
    <n v="-347.983498"/>
  </r>
  <r>
    <x v="96"/>
    <x v="8"/>
    <s v="Q3"/>
    <x v="0"/>
    <s v="KESR/0038/82-83"/>
    <s v="SIMPEX SOLUTION PVT. LTD"/>
    <s v="Straight Premium"/>
    <x v="24"/>
    <n v="-0.48"/>
    <n v="-19"/>
    <n v="442.51"/>
    <n v="-8407.69"/>
    <n v="0"/>
    <n v="0"/>
    <n v="-1092.999634"/>
    <n v="-9500.6896340000003"/>
  </r>
  <r>
    <x v="96"/>
    <x v="8"/>
    <s v="Q3"/>
    <x v="0"/>
    <s v="KESR/0038/82-83"/>
    <s v="SIMPEX SOLUTION PVT. LTD"/>
    <s v="Straight Pouch"/>
    <x v="3"/>
    <n v="-0.38"/>
    <n v="-15"/>
    <n v="462.93"/>
    <n v="-6943.9500000000007"/>
    <n v="0"/>
    <n v="0"/>
    <n v="-902.71344500000009"/>
    <n v="-7846.6634450000001"/>
  </r>
  <r>
    <x v="96"/>
    <x v="8"/>
    <s v="Q3"/>
    <x v="0"/>
    <s v="KESR/0038/82-83"/>
    <s v="SIMPEX SOLUTION PVT. LTD"/>
    <s v="Blends"/>
    <x v="37"/>
    <n v="-0.02"/>
    <n v="-4"/>
    <n v="102.65"/>
    <n v="-410.6"/>
    <n v="0"/>
    <n v="0"/>
    <n v="-53.377996999999993"/>
    <n v="-463.97799700000002"/>
  </r>
  <r>
    <x v="96"/>
    <x v="8"/>
    <s v="Q3"/>
    <x v="0"/>
    <s v="KESR/0038/82-83"/>
    <s v="SIMPEX SOLUTION PVT. LTD"/>
    <s v="Blends"/>
    <x v="16"/>
    <n v="-0.04"/>
    <n v="-5"/>
    <n v="127.43"/>
    <n v="-637.15000000000009"/>
    <n v="0"/>
    <n v="0"/>
    <n v="-82.829495000000009"/>
    <n v="-719.97949500000004"/>
  </r>
  <r>
    <x v="96"/>
    <x v="8"/>
    <s v="Q3"/>
    <x v="0"/>
    <s v="KESR/0038/82-83"/>
    <s v="SIMPEX SOLUTION PVT. LTD"/>
    <s v="Straight Premium"/>
    <x v="28"/>
    <n v="-0.16"/>
    <n v="-13"/>
    <n v="176.99"/>
    <n v="-2300.87"/>
    <n v="0"/>
    <n v="0"/>
    <n v="-299.11308200000002"/>
    <n v="-2599.9830820000002"/>
  </r>
  <r>
    <x v="96"/>
    <x v="8"/>
    <s v="Q3"/>
    <x v="0"/>
    <s v="KESR/0038/82-83"/>
    <s v="SIMPEX SOLUTION PVT. LTD"/>
    <s v="Straight Premium"/>
    <x v="22"/>
    <n v="-0.33"/>
    <n v="-13"/>
    <n v="299.54000000000002"/>
    <n v="-3894.02"/>
    <n v="0"/>
    <n v="0"/>
    <n v="-506.22256900000002"/>
    <n v="-4400.242569"/>
  </r>
  <r>
    <x v="96"/>
    <x v="8"/>
    <s v="Q3"/>
    <x v="0"/>
    <s v="KESR/0038/82-83"/>
    <s v="SIMPEX SOLUTION PVT. LTD"/>
    <s v="Sprinkler"/>
    <x v="25"/>
    <n v="-0.23"/>
    <n v="-11"/>
    <n v="313.14999999999998"/>
    <n v="-3444.65"/>
    <n v="0"/>
    <n v="0"/>
    <n v="-447.80447300000003"/>
    <n v="-3892.4544729999998"/>
  </r>
  <r>
    <x v="96"/>
    <x v="8"/>
    <s v="Q3"/>
    <x v="0"/>
    <s v="KESR/0038/82-83"/>
    <s v="SIMPEX SOLUTION PVT. LTD"/>
    <s v="Straight Pouch"/>
    <x v="6"/>
    <n v="-0.04"/>
    <n v="-4"/>
    <n v="190.62"/>
    <n v="-762.48"/>
    <n v="0"/>
    <n v="0"/>
    <n v="-99.122393999999986"/>
    <n v="-861.602394"/>
  </r>
  <r>
    <x v="96"/>
    <x v="8"/>
    <s v="Q3"/>
    <x v="0"/>
    <s v="KESR/0038/82-83"/>
    <s v="SIMPEX SOLUTION PVT. LTD"/>
    <s v="Straight Pouch"/>
    <x v="4"/>
    <n v="-0.48"/>
    <n v="-19"/>
    <n v="262.10000000000002"/>
    <n v="-4979.8999999999996"/>
    <n v="0"/>
    <n v="0"/>
    <n v="-647.38696100000004"/>
    <n v="-5627.2869609999998"/>
  </r>
  <r>
    <x v="96"/>
    <x v="8"/>
    <s v="Q3"/>
    <x v="0"/>
    <s v="KESR/0038/82-83"/>
    <s v="SIMPEX SOLUTION PVT. LTD"/>
    <s v="Blends"/>
    <x v="39"/>
    <n v="-0.06"/>
    <n v="-10"/>
    <n v="87.79"/>
    <n v="-877.9"/>
    <n v="0"/>
    <n v="0"/>
    <n v="-114.126993"/>
    <n v="-992.02699299999995"/>
  </r>
  <r>
    <x v="96"/>
    <x v="8"/>
    <s v="Q3"/>
    <x v="0"/>
    <s v="KESR/0038/82-83"/>
    <s v="SIMPEX SOLUTION PVT. LTD"/>
    <s v="Blends"/>
    <x v="44"/>
    <n v="-0.02"/>
    <n v="-4"/>
    <n v="134.51"/>
    <n v="-538.04"/>
    <n v="0"/>
    <n v="0"/>
    <n v="-69.945195999999996"/>
    <n v="-607.98519599999997"/>
  </r>
  <r>
    <x v="96"/>
    <x v="8"/>
    <s v="Q3"/>
    <x v="0"/>
    <s v="KESR/0038/82-83"/>
    <s v="SIMPEX SOLUTION PVT. LTD"/>
    <s v="Blends"/>
    <x v="21"/>
    <n v="-0.19"/>
    <n v="-15"/>
    <n v="190.62"/>
    <n v="-2859.2999999999997"/>
    <n v="0"/>
    <n v="0"/>
    <n v="-371.708977"/>
    <n v="-3231.008977"/>
  </r>
  <r>
    <x v="96"/>
    <x v="8"/>
    <s v="Q3"/>
    <x v="0"/>
    <s v="KESR/0038/82-83"/>
    <s v="SIMPEX SOLUTION PVT. LTD"/>
    <s v="Blends"/>
    <x v="15"/>
    <n v="-0.03"/>
    <n v="-5"/>
    <n v="120.35"/>
    <n v="-601.75000000000011"/>
    <n v="0"/>
    <n v="0"/>
    <n v="-78.227495000000005"/>
    <n v="-679.97749499999998"/>
  </r>
  <r>
    <x v="96"/>
    <x v="8"/>
    <s v="Q3"/>
    <x v="0"/>
    <s v="KESR/0038/82-83"/>
    <s v="SIMPEX SOLUTION PVT. LTD"/>
    <s v="Blends"/>
    <x v="19"/>
    <n v="-0.04"/>
    <n v="-7"/>
    <n v="156.58000000000001"/>
    <n v="-1096.06"/>
    <n v="0"/>
    <n v="0"/>
    <n v="-142.48779100000002"/>
    <n v="-1238.547791"/>
  </r>
  <r>
    <x v="96"/>
    <x v="8"/>
    <s v="Q3"/>
    <x v="0"/>
    <s v="KESR/0039/82-83"/>
    <s v="SIMPEX SOLUTION PVT. LTD"/>
    <s v="Straight Pouch"/>
    <x v="13"/>
    <n v="-0.17"/>
    <n v="-17"/>
    <n v="144"/>
    <n v="-2448"/>
    <s v=""/>
    <s v=""/>
    <s v=""/>
    <n v="-2448"/>
  </r>
  <r>
    <x v="97"/>
    <x v="8"/>
    <s v="Q3"/>
    <x v="0"/>
    <s v="KEPL/01553/82-83"/>
    <s v="MEGA MART PVT.LTD"/>
    <s v="Sprinkler"/>
    <x v="31"/>
    <n v="1.33"/>
    <n v="96"/>
    <n v="140.18"/>
    <n v="13457.28"/>
    <n v="0"/>
    <n v="0"/>
    <n v="1749.45"/>
    <n v="15206.73"/>
  </r>
  <r>
    <x v="97"/>
    <x v="8"/>
    <s v="Q3"/>
    <x v="0"/>
    <s v="KEPL/01555/82-83"/>
    <s v="SIMPEX SOLUTION PVT. LTD"/>
    <s v="Cooking Paste"/>
    <x v="30"/>
    <n v="0.17"/>
    <n v="10"/>
    <n v="102.65"/>
    <n v="1026.5"/>
    <n v="0"/>
    <n v="0"/>
    <n v="133.44536099999999"/>
    <n v="1159.945361"/>
  </r>
  <r>
    <x v="97"/>
    <x v="8"/>
    <s v="Q3"/>
    <x v="0"/>
    <s v="KEPL/01555/82-83"/>
    <s v="SIMPEX SOLUTION PVT. LTD"/>
    <s v="Straight Pouch"/>
    <x v="6"/>
    <n v="0.05"/>
    <n v="5"/>
    <n v="169.91"/>
    <n v="849.55000000000007"/>
    <n v="0"/>
    <n v="0"/>
    <n v="110.441799"/>
    <n v="959.99179900000001"/>
  </r>
  <r>
    <x v="97"/>
    <x v="8"/>
    <s v="Q3"/>
    <x v="0"/>
    <s v="KEPL/01555/82-83"/>
    <s v="SIMPEX SOLUTION PVT. LTD"/>
    <s v="Straight Premium"/>
    <x v="7"/>
    <n v="0.08"/>
    <n v="10"/>
    <n v="159.29"/>
    <n v="1592.8999999999999"/>
    <n v="0"/>
    <n v="0"/>
    <n v="207.07756000000001"/>
    <n v="1799.97756"/>
  </r>
  <r>
    <x v="97"/>
    <x v="8"/>
    <s v="Q3"/>
    <x v="0"/>
    <s v="KEPL/01555/82-83"/>
    <s v="SIMPEX SOLUTION PVT. LTD"/>
    <s v="Straight Premium"/>
    <x v="8"/>
    <n v="0.13"/>
    <n v="15"/>
    <n v="53.1"/>
    <n v="796.5"/>
    <n v="0"/>
    <n v="0"/>
    <n v="103.54528000000001"/>
    <n v="900.04528000000005"/>
  </r>
  <r>
    <x v="98"/>
    <x v="8"/>
    <s v="Q3"/>
    <x v="0"/>
    <s v="KEPL/01560/82-83"/>
    <s v="THREE STAR SHOP"/>
    <s v="Straight Premium"/>
    <x v="5"/>
    <n v="0.56000000000000005"/>
    <n v="100"/>
    <n v="94.65"/>
    <n v="9465"/>
    <n v="0"/>
    <n v="0"/>
    <n v="1230.45"/>
    <n v="10695.45"/>
  </r>
  <r>
    <x v="99"/>
    <x v="8"/>
    <s v="Q3"/>
    <x v="0"/>
    <s v="KEPL/01562/82-83"/>
    <s v="BEERA BARJEE INTERNATIONAL PVT.LTD"/>
    <s v="Sprinkler"/>
    <x v="26"/>
    <n v="1"/>
    <n v="72"/>
    <n v="131.83000000000001"/>
    <n v="9491.76"/>
    <n v="-862.8"/>
    <n v="0"/>
    <n v="1121.7645790000001"/>
    <n v="9750.7245789999997"/>
  </r>
  <r>
    <x v="99"/>
    <x v="8"/>
    <s v="Q3"/>
    <x v="0"/>
    <s v="KEPL/01562/82-83"/>
    <s v="BEERA BARJEE INTERNATIONAL PVT.LTD"/>
    <s v="Cooking Paste"/>
    <x v="30"/>
    <n v="3"/>
    <n v="180"/>
    <n v="98.03"/>
    <n v="17645.400000000001"/>
    <n v="-1603.97"/>
    <n v="0"/>
    <n v="2085.3854900000001"/>
    <n v="18126.815490000001"/>
  </r>
  <r>
    <x v="99"/>
    <x v="8"/>
    <s v="Q3"/>
    <x v="0"/>
    <s v="KEPL/01562/82-83"/>
    <s v="BEERA BARJEE INTERNATIONAL PVT.LTD"/>
    <s v="Hing"/>
    <x v="50"/>
    <n v="1"/>
    <n v="200"/>
    <n v="128.44999999999999"/>
    <n v="25690"/>
    <n v="-2335.2199999999998"/>
    <n v="0"/>
    <n v="3036.1208030000003"/>
    <n v="26390.900803"/>
  </r>
  <r>
    <x v="99"/>
    <x v="8"/>
    <s v="Q3"/>
    <x v="0"/>
    <s v="KEPL/01562/82-83"/>
    <s v="BEERA BARJEE INTERNATIONAL PVT.LTD"/>
    <s v="Blends"/>
    <x v="32"/>
    <n v="1"/>
    <n v="120"/>
    <n v="64.23"/>
    <n v="7707.5999999999995"/>
    <n v="-700.62"/>
    <n v="0"/>
    <n v="910.90722099999994"/>
    <n v="7917.887221"/>
  </r>
  <r>
    <x v="99"/>
    <x v="8"/>
    <s v="Q3"/>
    <x v="0"/>
    <s v="KEPL/01562/82-83"/>
    <s v="BEERA BARJEE INTERNATIONAL PVT.LTD"/>
    <s v="Sprinkler"/>
    <x v="31"/>
    <n v="2"/>
    <n v="144"/>
    <n v="148.72999999999999"/>
    <n v="21417.119999999999"/>
    <n v="-1946.82"/>
    <n v="0"/>
    <n v="2531.1385019999998"/>
    <n v="22001.438502000001"/>
  </r>
  <r>
    <x v="99"/>
    <x v="8"/>
    <s v="Q3"/>
    <x v="0"/>
    <s v="KEPL/01562/82-83"/>
    <s v="BEERA BARJEE INTERNATIONAL PVT.LTD"/>
    <s v="Sprinkler"/>
    <x v="47"/>
    <n v="1"/>
    <n v="100"/>
    <n v="70.989999999999995"/>
    <n v="7099"/>
    <n v="-645.29999999999995"/>
    <n v="0"/>
    <n v="838.98083500000007"/>
    <n v="7292.6808350000001"/>
  </r>
  <r>
    <x v="99"/>
    <x v="8"/>
    <s v="Q3"/>
    <x v="0"/>
    <s v="KEPL/01562/82-83"/>
    <s v="BEERA BARJEE INTERNATIONAL PVT.LTD"/>
    <s v="Blends"/>
    <x v="21"/>
    <n v="1"/>
    <n v="80"/>
    <n v="185.92"/>
    <n v="14873.6"/>
    <n v="-1352.01"/>
    <n v="0"/>
    <n v="1757.8063540000001"/>
    <n v="15279.396354"/>
  </r>
  <r>
    <x v="99"/>
    <x v="8"/>
    <s v="Q3"/>
    <x v="0"/>
    <s v="KEPL/01562/82-83"/>
    <s v="BEERA BARJEE INTERNATIONAL PVT.LTD"/>
    <s v="Combo"/>
    <x v="43"/>
    <n v="2"/>
    <n v="120"/>
    <n v="148.72999999999999"/>
    <n v="17847.600000000002"/>
    <n v="-1622.3500000000001"/>
    <n v="0"/>
    <n v="2109.2820849999998"/>
    <n v="18334.532084999999"/>
  </r>
  <r>
    <x v="99"/>
    <x v="8"/>
    <s v="Q3"/>
    <x v="0"/>
    <s v="KEPL/01562/82-83"/>
    <s v="BEERA BARJEE INTERNATIONAL PVT.LTD"/>
    <s v="Sprinkler"/>
    <x v="25"/>
    <n v="1"/>
    <n v="48"/>
    <n v="297.45999999999998"/>
    <n v="14278.08"/>
    <n v="-1297.8800000000001"/>
    <n v="0"/>
    <n v="1687.4256680000001"/>
    <n v="14667.625668000001"/>
  </r>
  <r>
    <x v="99"/>
    <x v="8"/>
    <s v="Q3"/>
    <x v="0"/>
    <s v="KEPL/01562/82-83"/>
    <s v="BEERA BARJEE INTERNATIONAL PVT.LTD"/>
    <s v="Straight Premium"/>
    <x v="5"/>
    <n v="1"/>
    <n v="180"/>
    <n v="94.65"/>
    <n v="17037"/>
    <n v="-1548.6599999999999"/>
    <n v="0"/>
    <n v="2013.483804"/>
    <n v="17501.823804"/>
  </r>
  <r>
    <x v="99"/>
    <x v="8"/>
    <s v="Q3"/>
    <x v="0"/>
    <s v="KEPL/01562/82-83"/>
    <s v="BEERA BARJEE INTERNATIONAL PVT.LTD"/>
    <s v="Straight Premium"/>
    <x v="8"/>
    <n v="1"/>
    <n v="120"/>
    <n v="50.7"/>
    <n v="6084"/>
    <n v="-553.04"/>
    <n v="0"/>
    <n v="719.02465900000004"/>
    <n v="6249.9846589999997"/>
  </r>
  <r>
    <x v="99"/>
    <x v="8"/>
    <s v="Q3"/>
    <x v="0"/>
    <s v="KEPL/01563/82-83"/>
    <s v="BEERA BARJEE INTERNATIONAL PVT.LTD"/>
    <s v="Straight Pouch"/>
    <x v="13"/>
    <n v="1"/>
    <n v="100"/>
    <n v="138"/>
    <n v="13800"/>
    <n v="-1254.4199999999998"/>
    <n v="0"/>
    <n v="0"/>
    <n v="12545.58"/>
  </r>
  <r>
    <x v="100"/>
    <x v="8"/>
    <s v="Q3"/>
    <x v="0"/>
    <s v="KEPL/01590/82-83"/>
    <s v="SIMPEX SOLUTION PVT. LTD"/>
    <s v="Blends"/>
    <x v="2"/>
    <n v="0.06"/>
    <n v="10"/>
    <n v="67.260000000000005"/>
    <n v="672.6"/>
    <n v="0"/>
    <n v="0"/>
    <n v="87.438000000000002"/>
    <n v="760.03800000000001"/>
  </r>
  <r>
    <x v="100"/>
    <x v="8"/>
    <s v="Q3"/>
    <x v="0"/>
    <s v="KEPL/01590/82-83"/>
    <s v="SIMPEX SOLUTION PVT. LTD"/>
    <s v="Blends"/>
    <x v="9"/>
    <n v="0.06"/>
    <n v="10"/>
    <n v="74.34"/>
    <n v="743.4"/>
    <n v="0"/>
    <n v="0"/>
    <n v="96.641999999999996"/>
    <n v="840.04200000000003"/>
  </r>
  <r>
    <x v="101"/>
    <x v="8"/>
    <s v="Q3"/>
    <x v="0"/>
    <s v="KEPL/01596/82-83"/>
    <s v="BEERA BARJEE INTERNATIONAL PVT.LTD"/>
    <s v="Blends"/>
    <x v="32"/>
    <n v="1"/>
    <n v="120"/>
    <n v="64.23"/>
    <n v="7707.5999999999995"/>
    <n v="-700.62"/>
    <n v="0"/>
    <n v="910.91000000000008"/>
    <n v="7917.89"/>
  </r>
  <r>
    <x v="101"/>
    <x v="8"/>
    <s v="Q3"/>
    <x v="0"/>
    <s v="KEPL/01598/82-83"/>
    <s v="DINESH TRADING HOUSE"/>
    <s v="Blends"/>
    <x v="18"/>
    <n v="0.17"/>
    <n v="20"/>
    <n v="141.97"/>
    <n v="2839.3999999999996"/>
    <n v="-258.10000000000002"/>
    <n v="0"/>
    <n v="335.569051"/>
    <n v="2916.8690510000001"/>
  </r>
  <r>
    <x v="101"/>
    <x v="8"/>
    <s v="Q3"/>
    <x v="0"/>
    <s v="KEPL/01598/82-83"/>
    <s v="DINESH TRADING HOUSE"/>
    <s v="Cooking Paste"/>
    <x v="30"/>
    <n v="0.33"/>
    <n v="20"/>
    <n v="98.03"/>
    <n v="1960.6"/>
    <n v="-178.22"/>
    <n v="0"/>
    <n v="231.70943499999998"/>
    <n v="2014.0894350000001"/>
  </r>
  <r>
    <x v="101"/>
    <x v="8"/>
    <s v="Q3"/>
    <x v="0"/>
    <s v="KEPL/01598/82-83"/>
    <s v="DINESH TRADING HOUSE"/>
    <s v="Blends"/>
    <x v="37"/>
    <n v="0.16"/>
    <n v="30"/>
    <n v="98.03"/>
    <n v="2940.9"/>
    <n v="-267.33"/>
    <n v="0"/>
    <n v="347.56415300000003"/>
    <n v="3021.134153"/>
  </r>
  <r>
    <x v="101"/>
    <x v="8"/>
    <s v="Q3"/>
    <x v="0"/>
    <s v="KEPL/01598/82-83"/>
    <s v="DINESH TRADING HOUSE"/>
    <s v="Blends"/>
    <x v="44"/>
    <n v="0.11"/>
    <n v="20"/>
    <n v="121.7"/>
    <n v="2434"/>
    <n v="-221.25"/>
    <n v="0"/>
    <n v="287.65754399999997"/>
    <n v="2500.4075440000001"/>
  </r>
  <r>
    <x v="101"/>
    <x v="8"/>
    <s v="Q3"/>
    <x v="0"/>
    <s v="KEPL/01598/82-83"/>
    <s v="DINESH TRADING HOUSE"/>
    <s v="Blends"/>
    <x v="42"/>
    <n v="0.08"/>
    <n v="10"/>
    <n v="94.65"/>
    <n v="946.5"/>
    <n v="-86.04"/>
    <n v="0"/>
    <n v="111.85981699999999"/>
    <n v="972.31981699999994"/>
  </r>
  <r>
    <x v="102"/>
    <x v="8"/>
    <s v="Q3"/>
    <x v="0"/>
    <s v="KEPL/01620/82-83"/>
    <s v="MEGA MART PVT.LTD"/>
    <s v="Sprinkler"/>
    <x v="31"/>
    <n v="2"/>
    <n v="144"/>
    <n v="140.18"/>
    <n v="20185.919999999998"/>
    <n v="0"/>
    <n v="0"/>
    <n v="2624.1699090000002"/>
    <n v="22810.089908999998"/>
  </r>
  <r>
    <x v="102"/>
    <x v="8"/>
    <s v="Q3"/>
    <x v="0"/>
    <s v="KEPL/01620/82-83"/>
    <s v="MEGA MART PVT.LTD"/>
    <s v="Sprinkler"/>
    <x v="26"/>
    <n v="0.67"/>
    <n v="48"/>
    <n v="124.25"/>
    <n v="5964"/>
    <n v="0"/>
    <n v="0"/>
    <n v="775.32009099999993"/>
    <n v="6739.3200909999996"/>
  </r>
  <r>
    <x v="102"/>
    <x v="8"/>
    <s v="Q3"/>
    <x v="0"/>
    <s v="KEPL/01622/82-83"/>
    <s v="GORIN TRADING "/>
    <s v="Hing"/>
    <x v="49"/>
    <n v="0.42"/>
    <n v="50"/>
    <n v="250.14"/>
    <n v="12507"/>
    <n v="-1136.8899999999999"/>
    <n v="0"/>
    <n v="1478.112783"/>
    <n v="12848.222782999999"/>
  </r>
  <r>
    <x v="102"/>
    <x v="8"/>
    <s v="Q3"/>
    <x v="0"/>
    <s v="KEPL/01622/82-83"/>
    <s v="GORIN TRADING "/>
    <s v="Straight Premium"/>
    <x v="8"/>
    <n v="0.5"/>
    <n v="60"/>
    <n v="50.7"/>
    <n v="3042"/>
    <n v="-276.52"/>
    <n v="0"/>
    <n v="359.51203099999998"/>
    <n v="3124.9920310000002"/>
  </r>
  <r>
    <x v="102"/>
    <x v="8"/>
    <s v="Q3"/>
    <x v="0"/>
    <s v="KEPL/01622/82-83"/>
    <s v="GORIN TRADING "/>
    <s v="Straight Premium"/>
    <x v="7"/>
    <n v="1"/>
    <n v="120"/>
    <n v="152.11000000000001"/>
    <n v="18253.2"/>
    <n v="-1659.2199999999998"/>
    <n v="0"/>
    <n v="2157.2151859999999"/>
    <n v="18751.195186000001"/>
  </r>
  <r>
    <x v="103"/>
    <x v="8"/>
    <s v="Q3"/>
    <x v="0"/>
    <s v="KEPL/01637/82-83"/>
    <s v="HORIZON INTERNATIONAL TRADERS"/>
    <s v="Straight Pouch"/>
    <x v="12"/>
    <n v="1"/>
    <n v="40"/>
    <n v="336.13"/>
    <n v="13445.199999999999"/>
    <n v="-1222.1699999999998"/>
    <n v="0"/>
    <n v="0"/>
    <n v="12223.03"/>
  </r>
  <r>
    <x v="103"/>
    <x v="8"/>
    <s v="Q3"/>
    <x v="0"/>
    <s v="KEPL/01637/82-83"/>
    <s v="HORIZON INTERNATIONAL TRADERS"/>
    <s v="Straight Pouch"/>
    <x v="13"/>
    <n v="1"/>
    <n v="100"/>
    <n v="137.5"/>
    <n v="13750"/>
    <n v="-1249.8800000000001"/>
    <n v="0"/>
    <n v="0"/>
    <n v="12500.12"/>
  </r>
  <r>
    <x v="103"/>
    <x v="8"/>
    <s v="Q3"/>
    <x v="0"/>
    <s v="KEPL/01638/82-83"/>
    <s v="HORIZON INTERNATIONAL TRADERS"/>
    <s v="Straight Pouch"/>
    <x v="4"/>
    <n v="1"/>
    <n v="40"/>
    <n v="260.27999999999997"/>
    <n v="10411.200000000001"/>
    <n v="-946.38"/>
    <n v="0"/>
    <n v="1230.426477"/>
    <n v="10695.246477000001"/>
  </r>
  <r>
    <x v="103"/>
    <x v="8"/>
    <s v="Q3"/>
    <x v="0"/>
    <s v="KEPL/01638/82-83"/>
    <s v="HORIZON INTERNATIONAL TRADERS"/>
    <s v="Straight Premium"/>
    <x v="23"/>
    <n v="1"/>
    <n v="180"/>
    <n v="158.87"/>
    <n v="28596.6"/>
    <n v="-2599.4300000000003"/>
    <n v="0"/>
    <n v="3379.6317629999999"/>
    <n v="29376.801762999999"/>
  </r>
  <r>
    <x v="103"/>
    <x v="8"/>
    <s v="Q3"/>
    <x v="0"/>
    <s v="KEPL/01638/82-83"/>
    <s v="HORIZON INTERNATIONAL TRADERS"/>
    <s v="Hing"/>
    <x v="50"/>
    <n v="1"/>
    <n v="200"/>
    <n v="128.44999999999999"/>
    <n v="25690"/>
    <n v="-2335.2199999999998"/>
    <n v="0"/>
    <n v="3036.1210970000002"/>
    <n v="26390.901097000002"/>
  </r>
  <r>
    <x v="103"/>
    <x v="8"/>
    <s v="Q3"/>
    <x v="0"/>
    <s v="KEPL/01638/82-83"/>
    <s v="HORIZON INTERNATIONAL TRADERS"/>
    <s v="Straight Pouch"/>
    <x v="1"/>
    <n v="1"/>
    <n v="100"/>
    <n v="108.17"/>
    <n v="10817"/>
    <n v="-983.2700000000001"/>
    <n v="0"/>
    <n v="1278.3847719999999"/>
    <n v="11112.114772000001"/>
  </r>
  <r>
    <x v="103"/>
    <x v="8"/>
    <s v="Q3"/>
    <x v="0"/>
    <s v="KEPL/01638/82-83"/>
    <s v="HORIZON INTERNATIONAL TRADERS"/>
    <s v="Straight Pouch"/>
    <x v="6"/>
    <n v="1"/>
    <n v="100"/>
    <n v="162.26"/>
    <n v="16226"/>
    <n v="-1474.94"/>
    <n v="0"/>
    <n v="1917.6376090000001"/>
    <n v="16668.697608999999"/>
  </r>
  <r>
    <x v="103"/>
    <x v="8"/>
    <s v="Q3"/>
    <x v="0"/>
    <s v="KEPL/01638/82-83"/>
    <s v="HORIZON INTERNATIONAL TRADERS"/>
    <s v="Straight Premium"/>
    <x v="5"/>
    <n v="1"/>
    <n v="180"/>
    <n v="81.14"/>
    <n v="14605.199999999999"/>
    <n v="-1327.61"/>
    <n v="0"/>
    <n v="1726.086528"/>
    <n v="15003.676528"/>
  </r>
  <r>
    <x v="103"/>
    <x v="8"/>
    <s v="Q3"/>
    <x v="0"/>
    <s v="KEPL/01638/82-83"/>
    <s v="HORIZON INTERNATIONAL TRADERS"/>
    <s v="Sprinkler"/>
    <x v="26"/>
    <n v="3"/>
    <n v="216"/>
    <n v="131.83000000000001"/>
    <n v="28475.280000000002"/>
    <n v="-2588.4"/>
    <n v="0"/>
    <n v="3365.2940640000002"/>
    <n v="29252.174063999999"/>
  </r>
  <r>
    <x v="103"/>
    <x v="8"/>
    <s v="Q3"/>
    <x v="0"/>
    <s v="KEPL/01638/82-83"/>
    <s v="HORIZON INTERNATIONAL TRADERS"/>
    <s v="Sprinkler"/>
    <x v="31"/>
    <n v="3"/>
    <n v="216"/>
    <n v="148.72999999999999"/>
    <n v="32125.679999999997"/>
    <n v="-2920.2200000000003"/>
    <n v="0"/>
    <n v="3796.7094209999996"/>
    <n v="33002.169420999999"/>
  </r>
  <r>
    <x v="103"/>
    <x v="8"/>
    <s v="Q3"/>
    <x v="0"/>
    <s v="KEPL/01638/82-83"/>
    <s v="HORIZON INTERNATIONAL TRADERS"/>
    <s v="Hing"/>
    <x v="49"/>
    <n v="1"/>
    <n v="120"/>
    <n v="250.14"/>
    <n v="30016.799999999999"/>
    <n v="-2728.53"/>
    <n v="0"/>
    <n v="3547.4747460000003"/>
    <n v="30835.744746"/>
  </r>
  <r>
    <x v="103"/>
    <x v="8"/>
    <s v="Q3"/>
    <x v="0"/>
    <s v="KEPL/01638/82-83"/>
    <s v="HORIZON INTERNATIONAL TRADERS"/>
    <s v="Sprinkler"/>
    <x v="47"/>
    <n v="2"/>
    <n v="200"/>
    <n v="70.989999999999995"/>
    <n v="14198"/>
    <n v="-1290.5999999999999"/>
    <n v="0"/>
    <n v="1677.9618330000001"/>
    <n v="14585.361833000001"/>
  </r>
  <r>
    <x v="103"/>
    <x v="8"/>
    <s v="Q3"/>
    <x v="0"/>
    <s v="KEPL/01638/82-83"/>
    <s v="HORIZON INTERNATIONAL TRADERS"/>
    <s v="Straight Pouch"/>
    <x v="3"/>
    <n v="1"/>
    <n v="40"/>
    <n v="393.46"/>
    <n v="15738.4"/>
    <n v="-1430.6200000000001"/>
    <n v="0"/>
    <n v="1860.0112140000001"/>
    <n v="16167.791214000001"/>
  </r>
  <r>
    <x v="103"/>
    <x v="8"/>
    <s v="Q3"/>
    <x v="0"/>
    <s v="KEPL/01638/82-83"/>
    <s v="HORIZON INTERNATIONAL TRADERS"/>
    <s v="Straight Premium"/>
    <x v="8"/>
    <n v="1"/>
    <n v="120"/>
    <n v="50.7"/>
    <n v="6084"/>
    <n v="-553.04"/>
    <n v="0"/>
    <n v="719.02472799999998"/>
    <n v="6249.9847280000004"/>
  </r>
  <r>
    <x v="103"/>
    <x v="8"/>
    <s v="Q3"/>
    <x v="0"/>
    <s v="KEPL/01638/82-83"/>
    <s v="HORIZON INTERNATIONAL TRADERS"/>
    <s v="Straight Premium"/>
    <x v="33"/>
    <n v="1"/>
    <n v="180"/>
    <n v="91.27"/>
    <n v="16428.599999999999"/>
    <n v="-1493.36"/>
    <n v="0"/>
    <n v="1941.5810060000001"/>
    <n v="16876.821005999998"/>
  </r>
  <r>
    <x v="103"/>
    <x v="8"/>
    <s v="Q3"/>
    <x v="0"/>
    <s v="KEPL/01638/82-83"/>
    <s v="HORIZON INTERNATIONAL TRADERS"/>
    <s v="Straight Premium"/>
    <x v="22"/>
    <n v="2"/>
    <n v="80"/>
    <n v="283.94"/>
    <n v="22715.199999999997"/>
    <n v="-2064.81"/>
    <n v="0"/>
    <n v="2684.550432"/>
    <n v="23334.940431999999"/>
  </r>
  <r>
    <x v="103"/>
    <x v="8"/>
    <s v="Q3"/>
    <x v="0"/>
    <s v="KEPL/01638/82-83"/>
    <s v="HORIZON INTERNATIONAL TRADERS"/>
    <s v="Straight Premium"/>
    <x v="7"/>
    <n v="2"/>
    <n v="240"/>
    <n v="152.11000000000001"/>
    <n v="36506.400000000001"/>
    <n v="-3318.43"/>
    <n v="0"/>
    <n v="4314.4356690000004"/>
    <n v="37502.405669"/>
  </r>
  <r>
    <x v="103"/>
    <x v="8"/>
    <s v="Q3"/>
    <x v="0"/>
    <s v="KEPL/01638/82-83"/>
    <s v="HORIZON INTERNATIONAL TRADERS"/>
    <s v="Straight Premium"/>
    <x v="28"/>
    <n v="1"/>
    <n v="80"/>
    <n v="169.01"/>
    <n v="13520.8"/>
    <n v="-1229.04"/>
    <n v="0"/>
    <n v="1597.928641"/>
    <n v="13889.688641000001"/>
  </r>
  <r>
    <x v="103"/>
    <x v="8"/>
    <s v="Q3"/>
    <x v="0"/>
    <s v="KEPL/01639/82-83"/>
    <s v="HORIZON INTERNATIONAL TRADERS"/>
    <s v="Blends"/>
    <x v="32"/>
    <n v="1"/>
    <n v="120"/>
    <n v="64.23"/>
    <n v="7707.5999999999995"/>
    <n v="-700.62"/>
    <n v="0"/>
    <n v="910.90751399999999"/>
    <n v="7917.887514"/>
  </r>
  <r>
    <x v="103"/>
    <x v="8"/>
    <s v="Q3"/>
    <x v="0"/>
    <s v="KEPL/01639/82-83"/>
    <s v="HORIZON INTERNATIONAL TRADERS"/>
    <s v="Blends"/>
    <x v="15"/>
    <n v="1"/>
    <n v="180"/>
    <n v="114.93"/>
    <n v="20687.400000000001"/>
    <n v="-1880.48"/>
    <n v="0"/>
    <n v="2444.8999060000001"/>
    <n v="21251.819906000001"/>
  </r>
  <r>
    <x v="103"/>
    <x v="8"/>
    <s v="Q3"/>
    <x v="0"/>
    <s v="KEPL/01639/82-83"/>
    <s v="HORIZON INTERNATIONAL TRADERS"/>
    <s v="Blends"/>
    <x v="27"/>
    <n v="1"/>
    <n v="120"/>
    <n v="114.93"/>
    <n v="13791.6"/>
    <n v="-1253.6600000000001"/>
    <n v="0"/>
    <n v="1629.9324040000001"/>
    <n v="14167.872404"/>
  </r>
  <r>
    <x v="103"/>
    <x v="8"/>
    <s v="Q3"/>
    <x v="0"/>
    <s v="KEPL/01639/82-83"/>
    <s v="HORIZON INTERNATIONAL TRADERS"/>
    <s v="Blends"/>
    <x v="10"/>
    <n v="1"/>
    <n v="180"/>
    <n v="60.84"/>
    <n v="10951.199999999999"/>
    <n v="-995.46"/>
    <n v="0"/>
    <n v="1294.2463620000001"/>
    <n v="11249.986362"/>
  </r>
  <r>
    <x v="103"/>
    <x v="8"/>
    <s v="Q3"/>
    <x v="0"/>
    <s v="KEPL/01639/82-83"/>
    <s v="HORIZON INTERNATIONAL TRADERS"/>
    <s v="Blends"/>
    <x v="0"/>
    <n v="1"/>
    <n v="180"/>
    <n v="62.21"/>
    <n v="11197.8"/>
    <n v="-1017.88"/>
    <n v="0"/>
    <n v="1323.389766"/>
    <n v="11503.309766"/>
  </r>
  <r>
    <x v="103"/>
    <x v="8"/>
    <s v="Q3"/>
    <x v="0"/>
    <s v="KEPL/01639/82-83"/>
    <s v="HORIZON INTERNATIONAL TRADERS"/>
    <s v="Blends"/>
    <x v="11"/>
    <n v="1"/>
    <n v="180"/>
    <n v="62.21"/>
    <n v="11197.8"/>
    <n v="-1017.88"/>
    <n v="0"/>
    <n v="1323.389766"/>
    <n v="11503.309766"/>
  </r>
  <r>
    <x v="103"/>
    <x v="8"/>
    <s v="Q3"/>
    <x v="0"/>
    <s v="KEPL/01639/82-83"/>
    <s v="HORIZON INTERNATIONAL TRADERS"/>
    <s v="Blends"/>
    <x v="16"/>
    <n v="1"/>
    <n v="120"/>
    <n v="118.3"/>
    <n v="14195.999999999998"/>
    <n v="-1290.4199999999998"/>
    <n v="0"/>
    <n v="1677.72561"/>
    <n v="14583.305609999999"/>
  </r>
  <r>
    <x v="103"/>
    <x v="8"/>
    <s v="Q3"/>
    <x v="0"/>
    <s v="KEPL/01639/82-83"/>
    <s v="HORIZON INTERNATIONAL TRADERS"/>
    <s v="Blends"/>
    <x v="20"/>
    <n v="1"/>
    <n v="120"/>
    <n v="118.3"/>
    <n v="14195.999999999998"/>
    <n v="-1290.4199999999998"/>
    <n v="0"/>
    <n v="1677.72561"/>
    <n v="14583.305609999999"/>
  </r>
  <r>
    <x v="103"/>
    <x v="8"/>
    <s v="Q3"/>
    <x v="0"/>
    <s v="KEPL/01639/82-83"/>
    <s v="HORIZON INTERNATIONAL TRADERS"/>
    <s v="Blends"/>
    <x v="14"/>
    <n v="1"/>
    <n v="180"/>
    <n v="135.21"/>
    <n v="24337.8"/>
    <n v="-2212.31"/>
    <n v="0"/>
    <n v="2876.3140600000002"/>
    <n v="25001.804059999999"/>
  </r>
  <r>
    <x v="103"/>
    <x v="8"/>
    <s v="Q3"/>
    <x v="0"/>
    <s v="KEPL/01639/82-83"/>
    <s v="HORIZON INTERNATIONAL TRADERS"/>
    <s v="Blends"/>
    <x v="18"/>
    <n v="1"/>
    <n v="120"/>
    <n v="148.72999999999999"/>
    <n v="17847.600000000002"/>
    <n v="-1622.3500000000001"/>
    <n v="0"/>
    <n v="2109.282764"/>
    <n v="18334.532764"/>
  </r>
  <r>
    <x v="103"/>
    <x v="8"/>
    <s v="Q3"/>
    <x v="0"/>
    <s v="KEPL/01639/82-83"/>
    <s v="HORIZON INTERNATIONAL TRADERS"/>
    <s v="Blends"/>
    <x v="42"/>
    <n v="1"/>
    <n v="120"/>
    <n v="94.65"/>
    <n v="11358"/>
    <n v="-1032.44"/>
    <n v="0"/>
    <n v="1342.3229679999999"/>
    <n v="11667.882968"/>
  </r>
  <r>
    <x v="103"/>
    <x v="8"/>
    <s v="Q3"/>
    <x v="0"/>
    <s v="KEPL/01639/82-83"/>
    <s v="HORIZON INTERNATIONAL TRADERS"/>
    <s v="Blends"/>
    <x v="9"/>
    <n v="1"/>
    <n v="180"/>
    <n v="70.989999999999995"/>
    <n v="12778.2"/>
    <n v="-1161.54"/>
    <n v="0"/>
    <n v="1510.1659890000001"/>
    <n v="13126.825989000001"/>
  </r>
  <r>
    <x v="103"/>
    <x v="8"/>
    <s v="Q3"/>
    <x v="0"/>
    <s v="KEPL/01639/82-83"/>
    <s v="HORIZON INTERNATIONAL TRADERS"/>
    <s v="Blends"/>
    <x v="2"/>
    <n v="1"/>
    <n v="180"/>
    <n v="62.21"/>
    <n v="11197.8"/>
    <n v="-1017.88"/>
    <n v="0"/>
    <n v="1323.389766"/>
    <n v="11503.309766"/>
  </r>
  <r>
    <x v="103"/>
    <x v="8"/>
    <s v="Q3"/>
    <x v="0"/>
    <s v="KEPL/01639/82-83"/>
    <s v="HORIZON INTERNATIONAL TRADERS"/>
    <s v="Cooking Paste"/>
    <x v="30"/>
    <n v="5"/>
    <n v="300"/>
    <n v="98.03"/>
    <n v="29409.000000000004"/>
    <n v="-2673.28"/>
    <n v="0"/>
    <n v="3475.6440350000003"/>
    <n v="30211.364034999999"/>
  </r>
  <r>
    <x v="103"/>
    <x v="8"/>
    <s v="Q3"/>
    <x v="0"/>
    <s v="KEPL/01639/82-83"/>
    <s v="HORIZON INTERNATIONAL TRADERS"/>
    <s v="Blends"/>
    <x v="17"/>
    <n v="1"/>
    <n v="180"/>
    <n v="118.3"/>
    <n v="21294"/>
    <n v="-1935.62"/>
    <n v="0"/>
    <n v="2516.5897150000001"/>
    <n v="21874.969714999999"/>
  </r>
  <r>
    <x v="103"/>
    <x v="8"/>
    <s v="Q3"/>
    <x v="0"/>
    <s v="KEPL/01639/82-83"/>
    <s v="HORIZON INTERNATIONAL TRADERS"/>
    <s v="Cooking Paste"/>
    <x v="29"/>
    <n v="1.61"/>
    <n v="193"/>
    <n v="57.46"/>
    <n v="11089.78"/>
    <n v="-1008.06"/>
    <n v="0"/>
    <n v="1310.6237639999999"/>
    <n v="11392.343763999999"/>
  </r>
  <r>
    <x v="103"/>
    <x v="8"/>
    <s v="Q3"/>
    <x v="0"/>
    <s v="KEPL/01643/82-83"/>
    <s v="GORIN TRADING "/>
    <s v="Blends"/>
    <x v="42"/>
    <n v="0.42"/>
    <n v="50"/>
    <n v="94.65"/>
    <n v="4732.5"/>
    <n v="-430.18"/>
    <n v="0"/>
    <n v="559.30158800000004"/>
    <n v="4861.621588"/>
  </r>
  <r>
    <x v="103"/>
    <x v="8"/>
    <s v="Q3"/>
    <x v="0"/>
    <s v="KEPL/01643/82-83"/>
    <s v="GORIN TRADING "/>
    <s v="Sprinkler"/>
    <x v="31"/>
    <n v="1"/>
    <n v="72"/>
    <n v="148.72999999999999"/>
    <n v="10708.56"/>
    <n v="-973.41"/>
    <n v="0"/>
    <n v="1265.5694719999999"/>
    <n v="11000.719472000001"/>
  </r>
  <r>
    <x v="103"/>
    <x v="8"/>
    <s v="Q3"/>
    <x v="0"/>
    <s v="KEPL/01643/82-83"/>
    <s v="GORIN TRADING "/>
    <s v="Straight Premium"/>
    <x v="7"/>
    <n v="1"/>
    <n v="120"/>
    <n v="152.11000000000001"/>
    <n v="18253.2"/>
    <n v="-1659.2199999999998"/>
    <n v="0"/>
    <n v="2157.217353"/>
    <n v="18751.197353"/>
  </r>
  <r>
    <x v="103"/>
    <x v="8"/>
    <s v="Q3"/>
    <x v="0"/>
    <s v="KEPL/01643/82-83"/>
    <s v="GORIN TRADING "/>
    <s v="Blends"/>
    <x v="48"/>
    <n v="0.33"/>
    <n v="60"/>
    <n v="81.13"/>
    <n v="4867.8"/>
    <n v="-442.48"/>
    <n v="0"/>
    <n v="575.29158699999994"/>
    <n v="5000.6115870000003"/>
  </r>
  <r>
    <x v="103"/>
    <x v="8"/>
    <s v="Q3"/>
    <x v="0"/>
    <s v="KEPL/01644/82-83"/>
    <s v="GORIN TRADING "/>
    <s v="Straight Pouch"/>
    <x v="13"/>
    <n v="0.5"/>
    <n v="50"/>
    <n v="137.5"/>
    <n v="6875"/>
    <n v="-624.94000000000005"/>
    <n v="0"/>
    <n v="0"/>
    <n v="6250.06"/>
  </r>
  <r>
    <x v="103"/>
    <x v="8"/>
    <s v="Q3"/>
    <x v="0"/>
    <s v="KEPL/01644/82-83"/>
    <s v="GORIN TRADING "/>
    <s v="Straight Pouch"/>
    <x v="12"/>
    <n v="0.5"/>
    <n v="20"/>
    <n v="336.13"/>
    <n v="6722.5999999999995"/>
    <n v="-611.08000000000004"/>
    <n v="0"/>
    <n v="0"/>
    <n v="6111.52"/>
  </r>
  <r>
    <x v="104"/>
    <x v="8"/>
    <s v="Q3"/>
    <x v="0"/>
    <s v="KEPL/01648/82-83"/>
    <s v="BEERA BARJEE INTERNATIONAL PVT.LTD"/>
    <s v="Straight Premium"/>
    <x v="22"/>
    <n v="1"/>
    <n v="40"/>
    <n v="283.94"/>
    <n v="11357.599999999999"/>
    <n v="-1032.4099999999999"/>
    <n v="0"/>
    <n v="1342.2749650000001"/>
    <n v="11667.464964999999"/>
  </r>
  <r>
    <x v="104"/>
    <x v="8"/>
    <s v="Q3"/>
    <x v="0"/>
    <s v="KEPL/01648/82-83"/>
    <s v="BEERA BARJEE INTERNATIONAL PVT.LTD"/>
    <s v="Blends"/>
    <x v="0"/>
    <n v="1"/>
    <n v="180"/>
    <n v="64.23"/>
    <n v="11561.4"/>
    <n v="-1050.9299999999998"/>
    <n v="0"/>
    <n v="1366.3613700000001"/>
    <n v="11876.83137"/>
  </r>
  <r>
    <x v="104"/>
    <x v="8"/>
    <s v="Q3"/>
    <x v="0"/>
    <s v="KEPL/01648/82-83"/>
    <s v="BEERA BARJEE INTERNATIONAL PVT.LTD"/>
    <s v="Blends"/>
    <x v="11"/>
    <n v="1"/>
    <n v="180"/>
    <n v="64.23"/>
    <n v="11561.4"/>
    <n v="-1050.9299999999998"/>
    <n v="0"/>
    <n v="1366.3613700000001"/>
    <n v="11876.83137"/>
  </r>
  <r>
    <x v="104"/>
    <x v="8"/>
    <s v="Q3"/>
    <x v="0"/>
    <s v="KEPL/01648/82-83"/>
    <s v="BEERA BARJEE INTERNATIONAL PVT.LTD"/>
    <s v="Straight Premium"/>
    <x v="23"/>
    <n v="1"/>
    <n v="180"/>
    <n v="182.53"/>
    <n v="32855.4"/>
    <n v="-2986.56"/>
    <n v="0"/>
    <n v="3882.949967"/>
    <n v="33751.789966999997"/>
  </r>
  <r>
    <x v="104"/>
    <x v="8"/>
    <s v="Q3"/>
    <x v="0"/>
    <s v="KEPL/01648/82-83"/>
    <s v="BEERA BARJEE INTERNATIONAL PVT.LTD"/>
    <s v="Blends"/>
    <x v="37"/>
    <n v="1"/>
    <n v="180"/>
    <n v="98.03"/>
    <n v="17645.400000000001"/>
    <n v="-1603.97"/>
    <n v="0"/>
    <n v="2085.3863120000001"/>
    <n v="18126.816311999999"/>
  </r>
  <r>
    <x v="104"/>
    <x v="8"/>
    <s v="Q3"/>
    <x v="0"/>
    <s v="KEPL/01648/82-83"/>
    <s v="BEERA BARJEE INTERNATIONAL PVT.LTD"/>
    <s v="Straight Pouch"/>
    <x v="6"/>
    <n v="1"/>
    <n v="100"/>
    <n v="162.26"/>
    <n v="16226"/>
    <n v="-1474.94"/>
    <n v="0"/>
    <n v="1917.6381789999998"/>
    <n v="16668.698178999999"/>
  </r>
  <r>
    <x v="104"/>
    <x v="8"/>
    <s v="Q3"/>
    <x v="0"/>
    <s v="KEPL/01648/82-83"/>
    <s v="BEERA BARJEE INTERNATIONAL PVT.LTD"/>
    <s v="Blends"/>
    <x v="17"/>
    <n v="1"/>
    <n v="180"/>
    <n v="118.3"/>
    <n v="21294"/>
    <n v="-1935.62"/>
    <n v="0"/>
    <n v="2516.5898969999998"/>
    <n v="21874.969896999999"/>
  </r>
  <r>
    <x v="104"/>
    <x v="8"/>
    <s v="Q3"/>
    <x v="0"/>
    <s v="KEPL/01648/82-83"/>
    <s v="BEERA BARJEE INTERNATIONAL PVT.LTD"/>
    <s v="Blends"/>
    <x v="2"/>
    <n v="1"/>
    <n v="180"/>
    <n v="64.23"/>
    <n v="11561.4"/>
    <n v="-1050.9299999999998"/>
    <n v="0"/>
    <n v="1366.3613700000001"/>
    <n v="11876.83137"/>
  </r>
  <r>
    <x v="104"/>
    <x v="8"/>
    <s v="Q3"/>
    <x v="0"/>
    <s v="KEPL/01648/82-83"/>
    <s v="BEERA BARJEE INTERNATIONAL PVT.LTD"/>
    <s v="Sprinkler"/>
    <x v="31"/>
    <n v="1"/>
    <n v="72"/>
    <n v="148.72999999999999"/>
    <n v="10708.56"/>
    <n v="-973.41"/>
    <n v="0"/>
    <n v="1265.5697500000001"/>
    <n v="11000.71975"/>
  </r>
  <r>
    <x v="104"/>
    <x v="8"/>
    <s v="Q3"/>
    <x v="0"/>
    <s v="KEPL/01648/82-83"/>
    <s v="BEERA BARJEE INTERNATIONAL PVT.LTD"/>
    <s v="Straight Premium"/>
    <x v="7"/>
    <n v="1"/>
    <n v="120"/>
    <n v="148.74"/>
    <n v="17848.8"/>
    <n v="-1622.46"/>
    <n v="0"/>
    <n v="2109.4246170000001"/>
    <n v="18335.764617000001"/>
  </r>
  <r>
    <x v="104"/>
    <x v="8"/>
    <s v="Q3"/>
    <x v="0"/>
    <s v="KEPL/01648/82-83"/>
    <s v="BEERA BARJEE INTERNATIONAL PVT.LTD"/>
    <s v="Cooking Paste"/>
    <x v="30"/>
    <n v="2"/>
    <n v="120"/>
    <n v="98.03"/>
    <n v="11763.6"/>
    <n v="-1069.3100000000002"/>
    <n v="0"/>
    <n v="1390.2579750000002"/>
    <n v="12084.547974999999"/>
  </r>
  <r>
    <x v="104"/>
    <x v="8"/>
    <s v="Q3"/>
    <x v="0"/>
    <s v="KEPL/01648/82-83"/>
    <s v="BEERA BARJEE INTERNATIONAL PVT.LTD"/>
    <s v="Straight Premium"/>
    <x v="34"/>
    <n v="1"/>
    <n v="80"/>
    <n v="229.86"/>
    <n v="18388.8"/>
    <n v="-1671.54"/>
    <n v="0"/>
    <n v="2173.2442289999999"/>
    <n v="18890.504228999998"/>
  </r>
  <r>
    <x v="104"/>
    <x v="8"/>
    <s v="Q3"/>
    <x v="0"/>
    <s v="KEPL/01649/82-83"/>
    <s v="BEERA BARJEE INTERNATIONAL PVT.LTD"/>
    <s v="Straight Pouch"/>
    <x v="13"/>
    <n v="1"/>
    <n v="100"/>
    <n v="137.5"/>
    <n v="13750"/>
    <n v="-1249.8800000000001"/>
    <n v="0"/>
    <n v="0"/>
    <n v="12500.12"/>
  </r>
  <r>
    <x v="104"/>
    <x v="8"/>
    <s v="Q3"/>
    <x v="0"/>
    <s v="KEPL/01658/82-83"/>
    <s v="DINESH TRADING HOUSE"/>
    <s v="Straight Premium"/>
    <x v="7"/>
    <n v="0.25"/>
    <n v="30"/>
    <n v="152.11000000000001"/>
    <n v="4563.3"/>
    <n v="-414.8"/>
    <n v="0"/>
    <n v="539.30508999999995"/>
    <n v="4687.8050899999998"/>
  </r>
  <r>
    <x v="104"/>
    <x v="8"/>
    <s v="Q3"/>
    <x v="0"/>
    <s v="KEPL/01658/82-83"/>
    <s v="DINESH TRADING HOUSE"/>
    <s v="Blends"/>
    <x v="35"/>
    <n v="0.25"/>
    <n v="20"/>
    <n v="169.01"/>
    <n v="3380.2"/>
    <n v="-307.26"/>
    <n v="0"/>
    <n v="399.48226700000004"/>
    <n v="3472.4222669999999"/>
  </r>
  <r>
    <x v="104"/>
    <x v="8"/>
    <s v="Q3"/>
    <x v="0"/>
    <s v="KEPL/01658/82-83"/>
    <s v="DINESH TRADING HOUSE"/>
    <s v="Blends"/>
    <x v="45"/>
    <n v="0.13"/>
    <n v="10"/>
    <n v="141.97"/>
    <n v="1419.6999999999998"/>
    <n v="-129.05000000000001"/>
    <n v="0"/>
    <n v="167.78452799999999"/>
    <n v="1458.434528"/>
  </r>
  <r>
    <x v="104"/>
    <x v="8"/>
    <s v="Q3"/>
    <x v="0"/>
    <s v="KEPL/01658/82-83"/>
    <s v="DINESH TRADING HOUSE"/>
    <s v="Blends"/>
    <x v="42"/>
    <n v="0.17"/>
    <n v="20"/>
    <n v="94.65"/>
    <n v="1893"/>
    <n v="-172.07"/>
    <n v="0"/>
    <n v="223.72093699999999"/>
    <n v="1944.6509370000001"/>
  </r>
  <r>
    <x v="104"/>
    <x v="8"/>
    <s v="Q3"/>
    <x v="0"/>
    <s v="KEPL/01658/82-83"/>
    <s v="DINESH TRADING HOUSE"/>
    <s v="Blends"/>
    <x v="9"/>
    <n v="0.22"/>
    <n v="40"/>
    <n v="70.989999999999995"/>
    <n v="2839.6"/>
    <n v="-258.12"/>
    <n v="0"/>
    <n v="335.59245599999997"/>
    <n v="2917.0724559999999"/>
  </r>
  <r>
    <x v="104"/>
    <x v="8"/>
    <s v="Q3"/>
    <x v="0"/>
    <s v="KEPL/01658/82-83"/>
    <s v="DINESH TRADING HOUSE"/>
    <s v="Blends"/>
    <x v="32"/>
    <n v="0.17"/>
    <n v="20"/>
    <n v="64.23"/>
    <n v="1284.5999999999999"/>
    <n v="-116.77"/>
    <n v="0"/>
    <n v="151.817925"/>
    <n v="1319.647925"/>
  </r>
  <r>
    <x v="104"/>
    <x v="8"/>
    <s v="Q3"/>
    <x v="0"/>
    <s v="KEPL/01658/82-83"/>
    <s v="DINESH TRADING HOUSE"/>
    <s v="Blends"/>
    <x v="2"/>
    <n v="0.22"/>
    <n v="40"/>
    <n v="64.23"/>
    <n v="2569.1999999999998"/>
    <n v="-233.54"/>
    <n v="0"/>
    <n v="303.635851"/>
    <n v="2639.2958509999999"/>
  </r>
  <r>
    <x v="104"/>
    <x v="8"/>
    <s v="Q3"/>
    <x v="0"/>
    <s v="KEPL/01658/82-83"/>
    <s v="DINESH TRADING HOUSE"/>
    <s v="Straight Premium"/>
    <x v="33"/>
    <n v="0.17"/>
    <n v="30"/>
    <n v="91.27"/>
    <n v="2738.1"/>
    <n v="-248.89"/>
    <n v="0"/>
    <n v="323.59735400000005"/>
    <n v="2812.807354"/>
  </r>
  <r>
    <x v="104"/>
    <x v="8"/>
    <s v="Q3"/>
    <x v="0"/>
    <s v="KEPL/01658/82-83"/>
    <s v="DINESH TRADING HOUSE"/>
    <s v="Blends"/>
    <x v="38"/>
    <n v="0.08"/>
    <n v="10"/>
    <n v="84.51"/>
    <n v="845.1"/>
    <n v="-76.819999999999993"/>
    <n v="0"/>
    <n v="99.876416999999989"/>
    <n v="868.15641700000003"/>
  </r>
  <r>
    <x v="104"/>
    <x v="8"/>
    <s v="Q3"/>
    <x v="0"/>
    <s v="KEPL/01658/82-83"/>
    <s v="DINESH TRADING HOUSE"/>
    <s v="Straight Premium"/>
    <x v="34"/>
    <n v="0.13"/>
    <n v="10"/>
    <n v="229.86"/>
    <n v="2298.6"/>
    <n v="-208.94"/>
    <n v="0"/>
    <n v="271.655846"/>
    <n v="2361.315846"/>
  </r>
  <r>
    <x v="104"/>
    <x v="8"/>
    <s v="Q3"/>
    <x v="0"/>
    <s v="KEPL/01658/82-83"/>
    <s v="DINESH TRADING HOUSE"/>
    <s v="Blends"/>
    <x v="39"/>
    <n v="0.23"/>
    <n v="40"/>
    <n v="83.82"/>
    <n v="3352.9"/>
    <n v="-304.77999999999997"/>
    <n v="0"/>
    <n v="396.25566600000002"/>
    <n v="3444.3756659999999"/>
  </r>
  <r>
    <x v="104"/>
    <x v="8"/>
    <s v="Q3"/>
    <x v="0"/>
    <s v="KEPL/01658/82-83"/>
    <s v="DINESH TRADING HOUSE"/>
    <s v="Blends"/>
    <x v="36"/>
    <n v="0.25"/>
    <n v="20"/>
    <n v="155.49"/>
    <n v="3109.7999999999997"/>
    <n v="-282.68"/>
    <n v="0"/>
    <n v="367.52566200000001"/>
    <n v="3194.6456619999999"/>
  </r>
  <r>
    <x v="105"/>
    <x v="8"/>
    <s v="Q3"/>
    <x v="0"/>
    <s v="KEPL/01661/82-83"/>
    <s v="MEGA MART PVT.LTD"/>
    <s v="Sprinkler"/>
    <x v="31"/>
    <n v="1.33"/>
    <n v="96"/>
    <n v="140.18"/>
    <n v="13457.28"/>
    <n v="0"/>
    <n v="0"/>
    <n v="1749.4488939999999"/>
    <n v="15206.728894"/>
  </r>
  <r>
    <x v="105"/>
    <x v="8"/>
    <s v="Q3"/>
    <x v="0"/>
    <s v="KEPL/01661/82-83"/>
    <s v="MEGA MART PVT.LTD"/>
    <s v="Sprinkler"/>
    <x v="26"/>
    <n v="0.67"/>
    <n v="48"/>
    <n v="124.25"/>
    <n v="5964"/>
    <n v="0"/>
    <n v="0"/>
    <n v="775.3211060000001"/>
    <n v="6739.3211060000003"/>
  </r>
  <r>
    <x v="105"/>
    <x v="8"/>
    <s v="Q3"/>
    <x v="0"/>
    <s v="KEPL/01666/82-83"/>
    <s v="DINESH TRADING HOUSE"/>
    <s v="Straight Premium"/>
    <x v="5"/>
    <n v="0.17"/>
    <n v="30"/>
    <n v="94.65"/>
    <n v="2839.5"/>
    <n v="-258.11"/>
    <n v="0"/>
    <n v="335.58"/>
    <n v="2916.97"/>
  </r>
  <r>
    <x v="105"/>
    <x v="8"/>
    <s v="Q3"/>
    <x v="0"/>
    <s v="KEPL/01668/82-83"/>
    <s v="DS SPICECO L &amp; D"/>
    <s v="Blends"/>
    <x v="44"/>
    <n v="0.01"/>
    <n v="1"/>
    <n v="128.44999999999999"/>
    <n v="128.44999999999999"/>
    <n v="-11.68"/>
    <n v="0"/>
    <n v="15.180720000000001"/>
    <n v="131.95071999999999"/>
  </r>
  <r>
    <x v="105"/>
    <x v="8"/>
    <s v="Q3"/>
    <x v="0"/>
    <s v="KEPL/01668/82-83"/>
    <s v="DS SPICECO L &amp; D"/>
    <s v="Blends"/>
    <x v="21"/>
    <n v="0.01"/>
    <n v="1"/>
    <n v="185.92"/>
    <n v="185.92"/>
    <n v="-16.899999999999999"/>
    <n v="0"/>
    <n v="21.973496999999998"/>
    <n v="190.99349699999999"/>
  </r>
  <r>
    <x v="105"/>
    <x v="8"/>
    <s v="Q3"/>
    <x v="0"/>
    <s v="KEPL/01668/82-83"/>
    <s v="DS SPICECO L &amp; D"/>
    <s v="Blends"/>
    <x v="41"/>
    <n v="0.01"/>
    <n v="1"/>
    <n v="162.25"/>
    <n v="162.25"/>
    <n v="-14.75"/>
    <n v="0"/>
    <n v="19.175782999999999"/>
    <n v="166.675783"/>
  </r>
  <r>
    <x v="106"/>
    <x v="8"/>
    <s v="Q3"/>
    <x v="0"/>
    <s v="KEPL/01672/82-83"/>
    <s v="SALEWAYS CASH AND CARRY PVT LTD "/>
    <s v="Straight Pouch"/>
    <x v="12"/>
    <n v="5"/>
    <n v="200"/>
    <n v="330"/>
    <n v="66000"/>
    <s v=""/>
    <s v=""/>
    <s v=""/>
    <n v="66000"/>
  </r>
  <r>
    <x v="106"/>
    <x v="8"/>
    <s v="Q3"/>
    <x v="0"/>
    <s v="KEPL/01672/82-83"/>
    <s v="SALEWAYS CASH AND CARRY PVT LTD "/>
    <s v="Straight Pouch"/>
    <x v="13"/>
    <n v="4"/>
    <n v="400"/>
    <n v="135"/>
    <n v="54000.000000000007"/>
    <s v=""/>
    <s v=""/>
    <s v=""/>
    <n v="54000"/>
  </r>
  <r>
    <x v="106"/>
    <x v="8"/>
    <s v="Q3"/>
    <x v="0"/>
    <s v="KEPL/01673/82-83"/>
    <s v="SALEWAYS CASH AND CARRY PVT LTD "/>
    <s v="Blends"/>
    <x v="21"/>
    <n v="1"/>
    <n v="80"/>
    <n v="182.52"/>
    <n v="14601.6"/>
    <n v="0"/>
    <n v="0"/>
    <n v="1898.2081209999999"/>
    <n v="16499.808120999998"/>
  </r>
  <r>
    <x v="106"/>
    <x v="8"/>
    <s v="Q3"/>
    <x v="0"/>
    <s v="KEPL/01673/82-83"/>
    <s v="SALEWAYS CASH AND CARRY PVT LTD "/>
    <s v="Blends"/>
    <x v="15"/>
    <n v="3"/>
    <n v="540"/>
    <n v="112.83"/>
    <n v="60928.2"/>
    <n v="0"/>
    <n v="0"/>
    <n v="7920.6665060000005"/>
    <n v="68848.866506000006"/>
  </r>
  <r>
    <x v="106"/>
    <x v="8"/>
    <s v="Q3"/>
    <x v="0"/>
    <s v="KEPL/01673/82-83"/>
    <s v="SALEWAYS CASH AND CARRY PVT LTD "/>
    <s v="Straight Pouch"/>
    <x v="3"/>
    <n v="5"/>
    <n v="200"/>
    <n v="386.28"/>
    <n v="77256"/>
    <n v="0"/>
    <n v="0"/>
    <n v="10043.280642"/>
    <n v="87299.280641999998"/>
  </r>
  <r>
    <x v="106"/>
    <x v="8"/>
    <s v="Q3"/>
    <x v="0"/>
    <s v="KEPL/01673/82-83"/>
    <s v="SALEWAYS CASH AND CARRY PVT LTD "/>
    <s v="Blends"/>
    <x v="45"/>
    <n v="1"/>
    <n v="80"/>
    <n v="139.38"/>
    <n v="11150.4"/>
    <n v="0"/>
    <n v="0"/>
    <n v="1449.552093"/>
    <n v="12599.952093"/>
  </r>
  <r>
    <x v="106"/>
    <x v="8"/>
    <s v="Q3"/>
    <x v="0"/>
    <s v="KEPL/01673/82-83"/>
    <s v="SALEWAYS CASH AND CARRY PVT LTD "/>
    <s v="Blends"/>
    <x v="10"/>
    <n v="3"/>
    <n v="540"/>
    <n v="59.73"/>
    <n v="32254.2"/>
    <n v="0"/>
    <n v="0"/>
    <n v="4193.0462680000001"/>
    <n v="36447.246268000003"/>
  </r>
  <r>
    <x v="106"/>
    <x v="8"/>
    <s v="Q3"/>
    <x v="0"/>
    <s v="KEPL/01673/82-83"/>
    <s v="SALEWAYS CASH AND CARRY PVT LTD "/>
    <s v="Straight Premium"/>
    <x v="34"/>
    <n v="1"/>
    <n v="80"/>
    <n v="225.66"/>
    <n v="18052.8"/>
    <n v="0"/>
    <n v="0"/>
    <n v="2346.8641499999999"/>
    <n v="20399.664150000001"/>
  </r>
  <r>
    <x v="106"/>
    <x v="8"/>
    <s v="Q3"/>
    <x v="0"/>
    <s v="KEPL/01673/82-83"/>
    <s v="SALEWAYS CASH AND CARRY PVT LTD "/>
    <s v="Blends"/>
    <x v="40"/>
    <n v="1"/>
    <n v="120"/>
    <n v="76.33"/>
    <n v="9159.6"/>
    <n v="0"/>
    <n v="0"/>
    <n v="1190.7480760000001"/>
    <n v="10350.348076"/>
  </r>
  <r>
    <x v="106"/>
    <x v="8"/>
    <s v="Q3"/>
    <x v="0"/>
    <s v="KEPL/01673/82-83"/>
    <s v="SALEWAYS CASH AND CARRY PVT LTD "/>
    <s v="Straight Premium"/>
    <x v="24"/>
    <n v="1"/>
    <n v="40"/>
    <n v="431.42"/>
    <n v="17256.8"/>
    <n v="0"/>
    <n v="0"/>
    <n v="2243.3841430000002"/>
    <n v="19500.184142999999"/>
  </r>
  <r>
    <x v="106"/>
    <x v="8"/>
    <s v="Q3"/>
    <x v="0"/>
    <s v="KEPL/01674/82-83"/>
    <s v="SALEWAYS CASH AND CARRY PVT LTD "/>
    <s v="Combo"/>
    <x v="43"/>
    <n v="5"/>
    <n v="300"/>
    <n v="146.02000000000001"/>
    <n v="43805.999999999993"/>
    <n v="0"/>
    <n v="0"/>
    <n v="5694.7801340000005"/>
    <n v="49500.780134000001"/>
  </r>
  <r>
    <x v="106"/>
    <x v="8"/>
    <s v="Q3"/>
    <x v="0"/>
    <s v="KEPL/01674/82-83"/>
    <s v="SALEWAYS CASH AND CARRY PVT LTD "/>
    <s v="Blends"/>
    <x v="44"/>
    <n v="2"/>
    <n v="360"/>
    <n v="126.11"/>
    <n v="45399.6"/>
    <n v="0"/>
    <n v="0"/>
    <n v="5901.9481389999992"/>
    <n v="51301.548138999999"/>
  </r>
  <r>
    <x v="106"/>
    <x v="8"/>
    <s v="Q3"/>
    <x v="0"/>
    <s v="KEPL/01674/82-83"/>
    <s v="SALEWAYS CASH AND CARRY PVT LTD "/>
    <s v="Sprinkler"/>
    <x v="31"/>
    <n v="3"/>
    <n v="216"/>
    <n v="146.02000000000001"/>
    <n v="31540.32"/>
    <n v="0"/>
    <n v="0"/>
    <n v="4100.2416970000004"/>
    <n v="35640.561696999997"/>
  </r>
  <r>
    <x v="106"/>
    <x v="8"/>
    <s v="Q3"/>
    <x v="0"/>
    <s v="KEPL/01674/82-83"/>
    <s v="SALEWAYS CASH AND CARRY PVT LTD "/>
    <s v="Sprinkler"/>
    <x v="46"/>
    <n v="1"/>
    <n v="100"/>
    <n v="96.24"/>
    <n v="9624"/>
    <n v="0"/>
    <n v="0"/>
    <n v="1251.12003"/>
    <n v="10875.12003"/>
  </r>
  <r>
    <x v="106"/>
    <x v="8"/>
    <s v="Q3"/>
    <x v="0"/>
    <s v="KEPL/01674/82-83"/>
    <s v="SALEWAYS CASH AND CARRY PVT LTD "/>
    <s v="Straight Premium"/>
    <x v="5"/>
    <n v="5"/>
    <n v="900"/>
    <n v="79.650000000000006"/>
    <n v="71685"/>
    <n v="0"/>
    <n v="0"/>
    <n v="9319.050220000001"/>
    <n v="81004.050220000005"/>
  </r>
  <r>
    <x v="106"/>
    <x v="8"/>
    <s v="Q3"/>
    <x v="0"/>
    <s v="KEPL/01674/82-83"/>
    <s v="SALEWAYS CASH AND CARRY PVT LTD "/>
    <s v="Blends"/>
    <x v="19"/>
    <n v="2"/>
    <n v="360"/>
    <n v="152.65"/>
    <n v="54954"/>
    <n v="0"/>
    <n v="0"/>
    <n v="7144.020168"/>
    <n v="62098.020168000003"/>
  </r>
  <r>
    <x v="106"/>
    <x v="8"/>
    <s v="Q3"/>
    <x v="0"/>
    <s v="KEPL/01674/82-83"/>
    <s v="SALEWAYS CASH AND CARRY PVT LTD "/>
    <s v="Blends"/>
    <x v="17"/>
    <n v="5"/>
    <n v="900"/>
    <n v="116.15"/>
    <n v="104535"/>
    <n v="0"/>
    <n v="0"/>
    <n v="13589.550321000001"/>
    <n v="118124.550321"/>
  </r>
  <r>
    <x v="106"/>
    <x v="8"/>
    <s v="Q3"/>
    <x v="0"/>
    <s v="KEPL/01674/82-83"/>
    <s v="SALEWAYS CASH AND CARRY PVT LTD "/>
    <s v="Blends"/>
    <x v="27"/>
    <n v="3"/>
    <n v="360"/>
    <n v="112.83"/>
    <n v="40618.799999999996"/>
    <n v="0"/>
    <n v="0"/>
    <n v="5280.444125"/>
    <n v="45899.244124999997"/>
  </r>
  <r>
    <x v="106"/>
    <x v="8"/>
    <s v="Q3"/>
    <x v="0"/>
    <s v="KEPL/01674/82-83"/>
    <s v="SALEWAYS CASH AND CARRY PVT LTD "/>
    <s v="Blends"/>
    <x v="38"/>
    <n v="2"/>
    <n v="240"/>
    <n v="82.96"/>
    <n v="19910.400000000001"/>
    <n v="0"/>
    <n v="0"/>
    <n v="2588.352061"/>
    <n v="22498.752060999999"/>
  </r>
  <r>
    <x v="106"/>
    <x v="8"/>
    <s v="Q3"/>
    <x v="0"/>
    <s v="KEPL/01674/82-83"/>
    <s v="SALEWAYS CASH AND CARRY PVT LTD "/>
    <s v="Blends"/>
    <x v="35"/>
    <n v="1"/>
    <n v="80"/>
    <n v="165.93"/>
    <n v="13274.4"/>
    <n v="0"/>
    <n v="0"/>
    <n v="1725.672041"/>
    <n v="15000.072040999999"/>
  </r>
  <r>
    <x v="106"/>
    <x v="8"/>
    <s v="Q3"/>
    <x v="0"/>
    <s v="KEPL/01674/82-83"/>
    <s v="SALEWAYS CASH AND CARRY PVT LTD "/>
    <s v="Straight Premium"/>
    <x v="8"/>
    <n v="3"/>
    <n v="360"/>
    <n v="49.78"/>
    <n v="17920.8"/>
    <n v="0"/>
    <n v="0"/>
    <n v="2329.7040550000002"/>
    <n v="20250.504055000001"/>
  </r>
  <r>
    <x v="106"/>
    <x v="8"/>
    <s v="Q3"/>
    <x v="0"/>
    <s v="KEPL/01674/82-83"/>
    <s v="SALEWAYS CASH AND CARRY PVT LTD "/>
    <s v="Blends"/>
    <x v="36"/>
    <n v="2"/>
    <n v="160"/>
    <n v="152.65"/>
    <n v="24423.999999999996"/>
    <n v="0"/>
    <n v="0"/>
    <n v="3175.1200749999998"/>
    <n v="27599.120074999999"/>
  </r>
  <r>
    <x v="106"/>
    <x v="8"/>
    <s v="Q3"/>
    <x v="0"/>
    <s v="KEPL/01674/82-83"/>
    <s v="SALEWAYS CASH AND CARRY PVT LTD "/>
    <s v="Straight Premium"/>
    <x v="23"/>
    <n v="5"/>
    <n v="900"/>
    <n v="155.97"/>
    <n v="140373"/>
    <n v="0"/>
    <n v="0"/>
    <n v="18248.490430000002"/>
    <n v="158621.49043000001"/>
  </r>
  <r>
    <x v="106"/>
    <x v="8"/>
    <s v="Q3"/>
    <x v="0"/>
    <s v="KEPL/01674/82-83"/>
    <s v="SALEWAYS CASH AND CARRY PVT LTD "/>
    <s v="Straight Pouch"/>
    <x v="6"/>
    <n v="4"/>
    <n v="400"/>
    <n v="159.29"/>
    <n v="63716"/>
    <n v="0"/>
    <n v="0"/>
    <n v="8283.0801950000005"/>
    <n v="71999.080195000002"/>
  </r>
  <r>
    <x v="106"/>
    <x v="8"/>
    <s v="Q3"/>
    <x v="0"/>
    <s v="KEPL/01674/82-83"/>
    <s v="SALEWAYS CASH AND CARRY PVT LTD "/>
    <s v="Blends"/>
    <x v="2"/>
    <n v="5"/>
    <n v="900"/>
    <n v="61.06"/>
    <n v="54954"/>
    <n v="0"/>
    <n v="0"/>
    <n v="7144.020168"/>
    <n v="62098.020168000003"/>
  </r>
  <r>
    <x v="106"/>
    <x v="8"/>
    <s v="Q3"/>
    <x v="0"/>
    <s v="KEPL/01674/82-83"/>
    <s v="SALEWAYS CASH AND CARRY PVT LTD "/>
    <s v="Blends"/>
    <x v="48"/>
    <n v="2"/>
    <n v="360"/>
    <n v="79.650000000000006"/>
    <n v="28674"/>
    <n v="0"/>
    <n v="0"/>
    <n v="3727.6200880000001"/>
    <n v="32401.620088"/>
  </r>
  <r>
    <x v="106"/>
    <x v="8"/>
    <s v="Q3"/>
    <x v="0"/>
    <s v="KEPL/01674/82-83"/>
    <s v="SALEWAYS CASH AND CARRY PVT LTD "/>
    <s v="Blends"/>
    <x v="37"/>
    <n v="1"/>
    <n v="180"/>
    <n v="96.24"/>
    <n v="17323.2"/>
    <n v="0"/>
    <n v="0"/>
    <n v="2252.0160529999998"/>
    <n v="19575.216053"/>
  </r>
  <r>
    <x v="106"/>
    <x v="8"/>
    <s v="Q3"/>
    <x v="0"/>
    <s v="KEPL/01675/82-83"/>
    <s v="SALEWAYS CASH AND CARRY PVT LTD "/>
    <s v="Blends"/>
    <x v="11"/>
    <n v="5"/>
    <n v="900"/>
    <n v="63.05"/>
    <n v="56745"/>
    <n v="0"/>
    <n v="0"/>
    <n v="7376.8500360000007"/>
    <n v="64121.850036000003"/>
  </r>
  <r>
    <x v="106"/>
    <x v="8"/>
    <s v="Q3"/>
    <x v="0"/>
    <s v="KEPL/01675/82-83"/>
    <s v="SALEWAYS CASH AND CARRY PVT LTD "/>
    <s v="Straight Pouch"/>
    <x v="4"/>
    <n v="3"/>
    <n v="120"/>
    <n v="255.53"/>
    <n v="30663.600000000002"/>
    <n v="0"/>
    <n v="0"/>
    <n v="3986.2680190000001"/>
    <n v="34649.868019000001"/>
  </r>
  <r>
    <x v="106"/>
    <x v="8"/>
    <s v="Q3"/>
    <x v="0"/>
    <s v="KEPL/01675/82-83"/>
    <s v="SALEWAYS CASH AND CARRY PVT LTD "/>
    <s v="Blends"/>
    <x v="14"/>
    <n v="5"/>
    <n v="900"/>
    <n v="132.74"/>
    <n v="119466"/>
    <n v="0"/>
    <n v="0"/>
    <n v="15530.580075"/>
    <n v="134996.58007500001"/>
  </r>
  <r>
    <x v="106"/>
    <x v="8"/>
    <s v="Q3"/>
    <x v="0"/>
    <s v="KEPL/01675/82-83"/>
    <s v="SALEWAYS CASH AND CARRY PVT LTD "/>
    <s v="Sprinkler"/>
    <x v="26"/>
    <n v="3"/>
    <n v="216"/>
    <n v="129.41999999999999"/>
    <n v="27954.719999999998"/>
    <n v="0"/>
    <n v="0"/>
    <n v="3634.1136179999999"/>
    <n v="31588.833618000001"/>
  </r>
  <r>
    <x v="106"/>
    <x v="8"/>
    <s v="Q3"/>
    <x v="0"/>
    <s v="KEPL/01675/82-83"/>
    <s v="SALEWAYS CASH AND CARRY PVT LTD "/>
    <s v="Blends"/>
    <x v="16"/>
    <n v="3"/>
    <n v="360"/>
    <n v="116.15"/>
    <n v="41814"/>
    <n v="0"/>
    <n v="0"/>
    <n v="5435.8200260000003"/>
    <n v="47249.820026000001"/>
  </r>
  <r>
    <x v="106"/>
    <x v="8"/>
    <s v="Q3"/>
    <x v="0"/>
    <s v="KEPL/01675/82-83"/>
    <s v="SALEWAYS CASH AND CARRY PVT LTD "/>
    <s v="Straight Premium"/>
    <x v="28"/>
    <n v="1"/>
    <n v="80"/>
    <n v="165.93"/>
    <n v="13274.4"/>
    <n v="0"/>
    <n v="0"/>
    <n v="1725.672008"/>
    <n v="15000.072007999999"/>
  </r>
  <r>
    <x v="106"/>
    <x v="8"/>
    <s v="Q3"/>
    <x v="0"/>
    <s v="KEPL/01675/82-83"/>
    <s v="SALEWAYS CASH AND CARRY PVT LTD "/>
    <s v="Blends"/>
    <x v="18"/>
    <n v="1"/>
    <n v="120"/>
    <n v="146.02000000000001"/>
    <n v="17522.400000000001"/>
    <n v="0"/>
    <n v="0"/>
    <n v="2277.9120109999999"/>
    <n v="19800.312011000002"/>
  </r>
  <r>
    <x v="106"/>
    <x v="8"/>
    <s v="Q3"/>
    <x v="0"/>
    <s v="KEPL/01675/82-83"/>
    <s v="SALEWAYS CASH AND CARRY PVT LTD "/>
    <s v="Blends"/>
    <x v="9"/>
    <n v="5"/>
    <n v="900"/>
    <n v="69.69"/>
    <n v="62721"/>
    <n v="0"/>
    <n v="0"/>
    <n v="8153.730039"/>
    <n v="70874.730039000002"/>
  </r>
  <r>
    <x v="106"/>
    <x v="8"/>
    <s v="Q3"/>
    <x v="0"/>
    <s v="KEPL/01675/82-83"/>
    <s v="SALEWAYS CASH AND CARRY PVT LTD "/>
    <s v="Blends"/>
    <x v="41"/>
    <n v="1"/>
    <n v="120"/>
    <n v="155.97"/>
    <n v="18716.400000000001"/>
    <n v="0"/>
    <n v="0"/>
    <n v="2433.132012"/>
    <n v="21149.532012"/>
  </r>
  <r>
    <x v="106"/>
    <x v="8"/>
    <s v="Q3"/>
    <x v="0"/>
    <s v="KEPL/01675/82-83"/>
    <s v="SALEWAYS CASH AND CARRY PVT LTD "/>
    <s v="Straight Premium"/>
    <x v="22"/>
    <n v="3"/>
    <n v="120"/>
    <n v="278.76"/>
    <n v="33451.200000000004"/>
    <n v="0"/>
    <n v="0"/>
    <n v="4348.6560209999998"/>
    <n v="37799.856021"/>
  </r>
  <r>
    <x v="106"/>
    <x v="8"/>
    <s v="Q3"/>
    <x v="0"/>
    <s v="KEPL/01675/82-83"/>
    <s v="SALEWAYS CASH AND CARRY PVT LTD "/>
    <s v="Blends"/>
    <x v="42"/>
    <n v="1"/>
    <n v="120"/>
    <n v="92.92"/>
    <n v="11150.4"/>
    <n v="0"/>
    <n v="0"/>
    <n v="1449.552007"/>
    <n v="12599.952007"/>
  </r>
  <r>
    <x v="106"/>
    <x v="8"/>
    <s v="Q3"/>
    <x v="0"/>
    <s v="KEPL/01675/82-83"/>
    <s v="SALEWAYS CASH AND CARRY PVT LTD "/>
    <s v="Blends"/>
    <x v="0"/>
    <n v="3"/>
    <n v="540"/>
    <n v="61.06"/>
    <n v="32972.400000000001"/>
    <n v="0"/>
    <n v="0"/>
    <n v="4286.4120210000001"/>
    <n v="37258.812020999998"/>
  </r>
  <r>
    <x v="106"/>
    <x v="8"/>
    <s v="Q3"/>
    <x v="0"/>
    <s v="KEPL/01675/82-83"/>
    <s v="SALEWAYS CASH AND CARRY PVT LTD "/>
    <s v="Straight Premium"/>
    <x v="33"/>
    <n v="1"/>
    <n v="180"/>
    <n v="89.6"/>
    <n v="16128"/>
    <n v="0"/>
    <n v="0"/>
    <n v="2096.6400100000001"/>
    <n v="18224.640009999999"/>
  </r>
  <r>
    <x v="106"/>
    <x v="8"/>
    <s v="Q3"/>
    <x v="0"/>
    <s v="KEPL/01675/82-83"/>
    <s v="SALEWAYS CASH AND CARRY PVT LTD "/>
    <s v="Cooking Paste"/>
    <x v="30"/>
    <n v="6"/>
    <n v="360"/>
    <n v="96.24"/>
    <n v="34646.400000000001"/>
    <n v="0"/>
    <n v="0"/>
    <n v="4504.0320220000003"/>
    <n v="39150.432022000001"/>
  </r>
  <r>
    <x v="106"/>
    <x v="8"/>
    <s v="Q3"/>
    <x v="0"/>
    <s v="KEPL/01675/82-83"/>
    <s v="SALEWAYS CASH AND CARRY PVT LTD "/>
    <s v="Sprinkler"/>
    <x v="47"/>
    <n v="2"/>
    <n v="200"/>
    <n v="69.69"/>
    <n v="13938"/>
    <n v="0"/>
    <n v="0"/>
    <n v="1811.9400089999999"/>
    <n v="15749.940009"/>
  </r>
  <r>
    <x v="106"/>
    <x v="8"/>
    <s v="Q3"/>
    <x v="0"/>
    <s v="KEPL/01675/82-83"/>
    <s v="SALEWAYS CASH AND CARRY PVT LTD "/>
    <s v="Straight Pouch"/>
    <x v="1"/>
    <n v="2"/>
    <n v="200"/>
    <n v="106.19"/>
    <n v="21238"/>
    <n v="0"/>
    <n v="0"/>
    <n v="2760.9400129999999"/>
    <n v="23998.940012999999"/>
  </r>
  <r>
    <x v="106"/>
    <x v="8"/>
    <s v="Q3"/>
    <x v="0"/>
    <s v="KEPL/01675/82-83"/>
    <s v="SALEWAYS CASH AND CARRY PVT LTD "/>
    <s v="Blends"/>
    <x v="39"/>
    <n v="1"/>
    <n v="180"/>
    <n v="82.3"/>
    <n v="14814"/>
    <n v="0"/>
    <n v="0"/>
    <n v="1925.820009"/>
    <n v="16739.820008999999"/>
  </r>
  <r>
    <x v="106"/>
    <x v="8"/>
    <s v="Q3"/>
    <x v="0"/>
    <s v="KEPL/01675/82-83"/>
    <s v="SALEWAYS CASH AND CARRY PVT LTD "/>
    <s v="Blends"/>
    <x v="20"/>
    <n v="5"/>
    <n v="600"/>
    <n v="116.15"/>
    <n v="69690"/>
    <n v="0"/>
    <n v="0"/>
    <n v="9059.7000439999993"/>
    <n v="78749.700043999997"/>
  </r>
  <r>
    <x v="106"/>
    <x v="8"/>
    <s v="Q3"/>
    <x v="0"/>
    <s v="KEPL/01677/82-83"/>
    <s v="EMERALD TRADE LINK"/>
    <s v="Sprinkler"/>
    <x v="26"/>
    <n v="2"/>
    <n v="144"/>
    <n v="131.83000000000001"/>
    <n v="18983.52"/>
    <n v="-1725.6"/>
    <n v="0"/>
    <n v="2243.5295449999999"/>
    <n v="19501.449544999999"/>
  </r>
  <r>
    <x v="106"/>
    <x v="8"/>
    <s v="Q3"/>
    <x v="0"/>
    <s v="KEPL/01677/82-83"/>
    <s v="EMERALD TRADE LINK"/>
    <s v="Blends"/>
    <x v="11"/>
    <n v="0.44"/>
    <n v="80"/>
    <n v="64.23"/>
    <n v="5138.3999999999996"/>
    <n v="-467.08"/>
    <n v="0"/>
    <n v="607.27158500000007"/>
    <n v="5278.5915850000001"/>
  </r>
  <r>
    <x v="106"/>
    <x v="8"/>
    <s v="Q3"/>
    <x v="0"/>
    <s v="KEPL/01677/82-83"/>
    <s v="EMERALD TRADE LINK"/>
    <s v="Straight Premium"/>
    <x v="7"/>
    <n v="0.5"/>
    <n v="60"/>
    <n v="152.11000000000001"/>
    <n v="9126.6"/>
    <n v="-829.6099999999999"/>
    <n v="0"/>
    <n v="1078.608673"/>
    <n v="9375.5986730000004"/>
  </r>
  <r>
    <x v="106"/>
    <x v="8"/>
    <s v="Q3"/>
    <x v="0"/>
    <s v="KEPL/01677/82-83"/>
    <s v="EMERALD TRADE LINK"/>
    <s v="Sprinkler"/>
    <x v="47"/>
    <n v="1"/>
    <n v="100"/>
    <n v="70.989999999999995"/>
    <n v="7099"/>
    <n v="-645.29999999999995"/>
    <n v="0"/>
    <n v="838.98097899999993"/>
    <n v="7292.6809789999998"/>
  </r>
  <r>
    <x v="106"/>
    <x v="8"/>
    <s v="Q3"/>
    <x v="0"/>
    <s v="KEPL/01677/82-83"/>
    <s v="EMERALD TRADE LINK"/>
    <s v="Straight Premium"/>
    <x v="22"/>
    <n v="1"/>
    <n v="40"/>
    <n v="283.94"/>
    <n v="11357.599999999999"/>
    <n v="-1032.4099999999999"/>
    <n v="0"/>
    <n v="1342.2746669999999"/>
    <n v="11667.464667"/>
  </r>
  <r>
    <x v="106"/>
    <x v="8"/>
    <s v="Q3"/>
    <x v="0"/>
    <s v="KEPL/01677/82-83"/>
    <s v="EMERALD TRADE LINK"/>
    <s v="Blends"/>
    <x v="9"/>
    <n v="0.5"/>
    <n v="90"/>
    <n v="70.989999999999995"/>
    <n v="6389.1"/>
    <n v="-580.77"/>
    <n v="0"/>
    <n v="755.08288100000004"/>
    <n v="6563.4128810000002"/>
  </r>
  <r>
    <x v="106"/>
    <x v="8"/>
    <s v="Q3"/>
    <x v="0"/>
    <s v="KEPL/01677/82-83"/>
    <s v="EMERALD TRADE LINK"/>
    <s v="Straight Pouch"/>
    <x v="3"/>
    <n v="1"/>
    <n v="40"/>
    <n v="393.46"/>
    <n v="15738.4"/>
    <n v="-1430.6200000000001"/>
    <n v="0"/>
    <n v="1860.011354"/>
    <n v="16167.791354000001"/>
  </r>
  <r>
    <x v="106"/>
    <x v="8"/>
    <s v="Q3"/>
    <x v="0"/>
    <s v="KEPL/01677/82-83"/>
    <s v="EMERALD TRADE LINK"/>
    <s v="Straight Premium"/>
    <x v="5"/>
    <n v="0.5"/>
    <n v="90"/>
    <n v="81.14"/>
    <n v="7302.5999999999995"/>
    <n v="-663.81"/>
    <n v="0"/>
    <n v="863.04267900000002"/>
    <n v="7501.8326790000001"/>
  </r>
  <r>
    <x v="106"/>
    <x v="8"/>
    <s v="Q3"/>
    <x v="0"/>
    <s v="KEPL/01677/82-83"/>
    <s v="EMERALD TRADE LINK"/>
    <s v="Sprinkler"/>
    <x v="31"/>
    <n v="2"/>
    <n v="144"/>
    <n v="148.72999999999999"/>
    <n v="21417.119999999999"/>
    <n v="-1946.82"/>
    <n v="0"/>
    <n v="2531.1389380000001"/>
    <n v="22001.438937999999"/>
  </r>
  <r>
    <x v="106"/>
    <x v="8"/>
    <s v="Q3"/>
    <x v="0"/>
    <s v="KEPL/01677/82-83"/>
    <s v="EMERALD TRADE LINK"/>
    <s v="Straight Pouch"/>
    <x v="1"/>
    <n v="1"/>
    <n v="100"/>
    <n v="108.17"/>
    <n v="10817"/>
    <n v="-983.2700000000001"/>
    <n v="0"/>
    <n v="1278.384869"/>
    <n v="11112.114869000001"/>
  </r>
  <r>
    <x v="106"/>
    <x v="8"/>
    <s v="Q3"/>
    <x v="0"/>
    <s v="KEPL/01677/82-83"/>
    <s v="EMERALD TRADE LINK"/>
    <s v="Straight Premium"/>
    <x v="8"/>
    <n v="0.5"/>
    <n v="60"/>
    <n v="50.7"/>
    <n v="3042"/>
    <n v="-276.52"/>
    <n v="0"/>
    <n v="359.51239099999998"/>
    <n v="3124.9923910000002"/>
  </r>
  <r>
    <x v="106"/>
    <x v="8"/>
    <s v="Q3"/>
    <x v="0"/>
    <s v="KEPL/01677/82-83"/>
    <s v="EMERALD TRADE LINK"/>
    <s v="Blends"/>
    <x v="2"/>
    <n v="0.5"/>
    <n v="90"/>
    <n v="64.23"/>
    <n v="5780.7"/>
    <n v="-525.47"/>
    <n v="0"/>
    <n v="683.17988300000002"/>
    <n v="5938.4098830000003"/>
  </r>
  <r>
    <x v="106"/>
    <x v="8"/>
    <s v="Q3"/>
    <x v="0"/>
    <s v="KEPL/01677/82-83"/>
    <s v="EMERALD TRADE LINK"/>
    <s v="Straight Pouch"/>
    <x v="4"/>
    <n v="1"/>
    <n v="40"/>
    <n v="260.27999999999997"/>
    <n v="10411.200000000001"/>
    <n v="-946.38"/>
    <n v="0"/>
    <n v="1230.4265700000001"/>
    <n v="10695.246569999999"/>
  </r>
  <r>
    <x v="106"/>
    <x v="8"/>
    <s v="Q3"/>
    <x v="0"/>
    <s v="KEPL/01677/82-83"/>
    <s v="EMERALD TRADE LINK"/>
    <s v="Straight Premium"/>
    <x v="23"/>
    <n v="0.5"/>
    <n v="90"/>
    <n v="158.87"/>
    <n v="14298.3"/>
    <n v="-1299.72"/>
    <n v="0"/>
    <n v="1689.8153579999998"/>
    <n v="14688.395358"/>
  </r>
  <r>
    <x v="106"/>
    <x v="8"/>
    <s v="Q3"/>
    <x v="0"/>
    <s v="KEPL/01677/82-83"/>
    <s v="EMERALD TRADE LINK"/>
    <s v="Straight Pouch"/>
    <x v="6"/>
    <n v="1"/>
    <n v="100"/>
    <n v="162.26"/>
    <n v="16226"/>
    <n v="-1474.94"/>
    <n v="0"/>
    <n v="1917.637753"/>
    <n v="16668.697753"/>
  </r>
  <r>
    <x v="106"/>
    <x v="8"/>
    <s v="Q3"/>
    <x v="0"/>
    <s v="KEPL/01677/82-83"/>
    <s v="EMERALD TRADE LINK"/>
    <s v="Blends"/>
    <x v="18"/>
    <n v="0.5"/>
    <n v="60"/>
    <n v="148.72999999999999"/>
    <n v="8923.8000000000011"/>
    <n v="-811.17"/>
    <n v="0"/>
    <n v="1054.6418740000001"/>
    <n v="9167.271874"/>
  </r>
  <r>
    <x v="106"/>
    <x v="8"/>
    <s v="Q3"/>
    <x v="0"/>
    <s v="KEPL/01678/82-83"/>
    <s v="EMERALD TRADE LINK"/>
    <s v="Straight Pouch"/>
    <x v="13"/>
    <n v="1"/>
    <n v="100"/>
    <n v="137.5"/>
    <n v="13750"/>
    <n v="-1249.8800000000001"/>
    <n v="0"/>
    <n v="0"/>
    <n v="12500.12"/>
  </r>
  <r>
    <x v="106"/>
    <x v="8"/>
    <s v="Q3"/>
    <x v="0"/>
    <s v="KEPL/01678/82-83"/>
    <s v="EMERALD TRADE LINK"/>
    <s v="Straight Pouch"/>
    <x v="12"/>
    <n v="1"/>
    <n v="40"/>
    <n v="336.13"/>
    <n v="13445.199999999999"/>
    <n v="-1222.1699999999998"/>
    <n v="0"/>
    <n v="0"/>
    <n v="12223.03"/>
  </r>
  <r>
    <x v="107"/>
    <x v="9"/>
    <s v="Q4"/>
    <x v="0"/>
    <s v="KEPL/01776/82-83"/>
    <s v="MEGA MART PVT.LTD"/>
    <s v="Blends"/>
    <x v="18"/>
    <n v="2.25"/>
    <n v="270"/>
    <n v="140.18"/>
    <n v="37848.6"/>
    <n v="0"/>
    <n v="0"/>
    <n v="4920.3179190000001"/>
    <n v="42768.917919"/>
  </r>
  <r>
    <x v="107"/>
    <x v="9"/>
    <s v="Q4"/>
    <x v="0"/>
    <s v="KEPL/01776/82-83"/>
    <s v="MEGA MART PVT.LTD"/>
    <s v="Blends"/>
    <x v="42"/>
    <n v="2.25"/>
    <n v="270"/>
    <n v="89.2"/>
    <n v="24084"/>
    <n v="0"/>
    <n v="0"/>
    <n v="3130.9199480000002"/>
    <n v="27214.919947999999"/>
  </r>
  <r>
    <x v="107"/>
    <x v="9"/>
    <s v="Q4"/>
    <x v="0"/>
    <s v="KEPL/01776/82-83"/>
    <s v="MEGA MART PVT.LTD"/>
    <s v="Straight Premium"/>
    <x v="23"/>
    <n v="3"/>
    <n v="540"/>
    <n v="149.72999999999999"/>
    <n v="80854.200000000012"/>
    <n v="0"/>
    <n v="0"/>
    <n v="10511.045826000001"/>
    <n v="91365.245825999998"/>
  </r>
  <r>
    <x v="107"/>
    <x v="9"/>
    <s v="Q4"/>
    <x v="0"/>
    <s v="KEPL/01776/82-83"/>
    <s v="MEGA MART PVT.LTD"/>
    <s v="Blends"/>
    <x v="15"/>
    <n v="1.5"/>
    <n v="270"/>
    <n v="108.32"/>
    <n v="29246.400000000001"/>
    <n v="0"/>
    <n v="0"/>
    <n v="3802.0319369999997"/>
    <n v="33048.431937000001"/>
  </r>
  <r>
    <x v="107"/>
    <x v="9"/>
    <s v="Q4"/>
    <x v="0"/>
    <s v="KEPL/01776/82-83"/>
    <s v="MEGA MART PVT.LTD"/>
    <s v="Blends"/>
    <x v="21"/>
    <n v="3.38"/>
    <n v="270"/>
    <n v="175.22"/>
    <n v="47309.399999999994"/>
    <n v="0"/>
    <n v="0"/>
    <n v="6150.2218979999998"/>
    <n v="53459.621897999998"/>
  </r>
  <r>
    <x v="107"/>
    <x v="9"/>
    <s v="Q4"/>
    <x v="0"/>
    <s v="KEPL/01776/82-83"/>
    <s v="MEGA MART PVT.LTD"/>
    <s v="Blends"/>
    <x v="27"/>
    <n v="2.25"/>
    <n v="270"/>
    <n v="108.32"/>
    <n v="29246.400000000001"/>
    <n v="0"/>
    <n v="0"/>
    <n v="3802.0319369999997"/>
    <n v="33048.431937000001"/>
  </r>
  <r>
    <x v="107"/>
    <x v="9"/>
    <s v="Q4"/>
    <x v="0"/>
    <s v="KEPL/01776/82-83"/>
    <s v="MEGA MART PVT.LTD"/>
    <s v="Blends"/>
    <x v="36"/>
    <n v="1.5"/>
    <n v="120"/>
    <n v="146.55000000000001"/>
    <n v="17586"/>
    <n v="0"/>
    <n v="0"/>
    <n v="2286.1799619999997"/>
    <n v="19872.179961999998"/>
  </r>
  <r>
    <x v="107"/>
    <x v="9"/>
    <s v="Q4"/>
    <x v="0"/>
    <s v="KEPL/01776/82-83"/>
    <s v="MEGA MART PVT.LTD"/>
    <s v="Blends"/>
    <x v="14"/>
    <n v="1.5"/>
    <n v="270"/>
    <n v="127.43"/>
    <n v="34406.1"/>
    <n v="0"/>
    <n v="0"/>
    <n v="4472.7929260000001"/>
    <n v="38878.892926"/>
  </r>
  <r>
    <x v="107"/>
    <x v="9"/>
    <s v="Q4"/>
    <x v="0"/>
    <s v="KEPL/01776/82-83"/>
    <s v="MEGA MART PVT.LTD"/>
    <s v="Straight Premium"/>
    <x v="24"/>
    <n v="6.75"/>
    <n v="270"/>
    <n v="414.16"/>
    <n v="111823.2"/>
    <n v="0"/>
    <n v="0"/>
    <n v="14537.015759999998"/>
    <n v="126360.21576000001"/>
  </r>
  <r>
    <x v="107"/>
    <x v="9"/>
    <s v="Q4"/>
    <x v="0"/>
    <s v="KEPL/01776/82-83"/>
    <s v="MEGA MART PVT.LTD"/>
    <s v="Blends"/>
    <x v="17"/>
    <n v="3"/>
    <n v="540"/>
    <n v="111.5"/>
    <n v="60210"/>
    <n v="0"/>
    <n v="0"/>
    <n v="7827.2998710000002"/>
    <n v="68037.299870999996"/>
  </r>
  <r>
    <x v="107"/>
    <x v="9"/>
    <s v="Q4"/>
    <x v="0"/>
    <s v="KEPL/01776/82-83"/>
    <s v="MEGA MART PVT.LTD"/>
    <s v="Blends"/>
    <x v="38"/>
    <n v="2.25"/>
    <n v="270"/>
    <n v="79.650000000000006"/>
    <n v="21505.5"/>
    <n v="0"/>
    <n v="0"/>
    <n v="2795.714954"/>
    <n v="24301.214953999999"/>
  </r>
  <r>
    <x v="107"/>
    <x v="9"/>
    <s v="Q4"/>
    <x v="0"/>
    <s v="KEPL/01776/82-83"/>
    <s v="MEGA MART PVT.LTD"/>
    <s v="Straight Pouch"/>
    <x v="6"/>
    <n v="1.65"/>
    <n v="165"/>
    <n v="152.91999999999999"/>
    <n v="25231.800000000003"/>
    <n v="0"/>
    <n v="0"/>
    <n v="3280.1339460000004"/>
    <n v="28511.933946000001"/>
  </r>
  <r>
    <x v="107"/>
    <x v="9"/>
    <s v="Q4"/>
    <x v="0"/>
    <s v="KEPL/01776/82-83"/>
    <s v="MEGA MART PVT.LTD"/>
    <s v="Blends"/>
    <x v="19"/>
    <n v="1.5"/>
    <n v="270"/>
    <n v="146.55000000000001"/>
    <n v="39568.5"/>
    <n v="0"/>
    <n v="0"/>
    <n v="5143.9049150000001"/>
    <n v="44712.404914999999"/>
  </r>
  <r>
    <x v="107"/>
    <x v="9"/>
    <s v="Q4"/>
    <x v="0"/>
    <s v="KEPL/01776/82-83"/>
    <s v="MEGA MART PVT.LTD"/>
    <s v="Blends"/>
    <x v="45"/>
    <n v="2"/>
    <n v="160"/>
    <n v="133.81"/>
    <n v="21409.599999999999"/>
    <n v="0"/>
    <n v="0"/>
    <n v="2783.2479539999999"/>
    <n v="24192.847954000001"/>
  </r>
  <r>
    <x v="107"/>
    <x v="9"/>
    <s v="Q4"/>
    <x v="0"/>
    <s v="KEPL/01776/82-83"/>
    <s v="MEGA MART PVT.LTD"/>
    <s v="Blends"/>
    <x v="16"/>
    <n v="2.25"/>
    <n v="270"/>
    <n v="111.5"/>
    <n v="30105"/>
    <n v="0"/>
    <n v="0"/>
    <n v="3913.6499349999999"/>
    <n v="34018.649935000001"/>
  </r>
  <r>
    <x v="107"/>
    <x v="9"/>
    <s v="Q4"/>
    <x v="0"/>
    <s v="KEPL/01776/82-83"/>
    <s v="MEGA MART PVT.LTD"/>
    <s v="Straight Pouch"/>
    <x v="1"/>
    <n v="1.65"/>
    <n v="165"/>
    <n v="101.95"/>
    <n v="16821.75"/>
    <n v="0"/>
    <n v="0"/>
    <n v="2186.827464"/>
    <n v="19008.577464000002"/>
  </r>
  <r>
    <x v="107"/>
    <x v="9"/>
    <s v="Q4"/>
    <x v="0"/>
    <s v="KEPL/01776/82-83"/>
    <s v="MEGA MART PVT.LTD"/>
    <s v="Blends"/>
    <x v="41"/>
    <n v="2.25"/>
    <n v="270"/>
    <n v="149.72999999999999"/>
    <n v="40427.100000000006"/>
    <n v="0"/>
    <n v="0"/>
    <n v="5255.5229130000007"/>
    <n v="45682.622912999999"/>
  </r>
  <r>
    <x v="107"/>
    <x v="9"/>
    <s v="Q4"/>
    <x v="0"/>
    <s v="KEPL/01776/82-83"/>
    <s v="MEGA MART PVT.LTD"/>
    <s v="Blends"/>
    <x v="20"/>
    <n v="2.25"/>
    <n v="270"/>
    <n v="111.5"/>
    <n v="30105"/>
    <n v="0"/>
    <n v="0"/>
    <n v="3913.6499349999999"/>
    <n v="34018.649935000001"/>
  </r>
  <r>
    <x v="107"/>
    <x v="9"/>
    <s v="Q4"/>
    <x v="0"/>
    <s v="KEPL/01777/82-83"/>
    <s v="MEGA MART PVT.LTD"/>
    <s v="Straight Pouch"/>
    <x v="13"/>
    <n v="1.65"/>
    <n v="165"/>
    <n v="129.6"/>
    <n v="21383.999999999996"/>
    <s v=""/>
    <s v=""/>
    <s v=""/>
    <n v="21384"/>
  </r>
  <r>
    <x v="108"/>
    <x v="9"/>
    <s v="Q4"/>
    <x v="0"/>
    <s v="KEPL/01780/82-83"/>
    <s v="SIMPEX SOLUTION PVT. LTD"/>
    <s v="Blends"/>
    <x v="9"/>
    <n v="0.06"/>
    <n v="10"/>
    <n v="74.34"/>
    <n v="743.4"/>
    <n v="0"/>
    <n v="0"/>
    <n v="96.641999999999996"/>
    <n v="840.04200000000003"/>
  </r>
  <r>
    <x v="108"/>
    <x v="9"/>
    <s v="Q4"/>
    <x v="0"/>
    <s v="KEPL/01780/82-83"/>
    <s v="SIMPEX SOLUTION PVT. LTD"/>
    <s v="Blends"/>
    <x v="2"/>
    <n v="0.06"/>
    <n v="10"/>
    <n v="67.260000000000005"/>
    <n v="672.6"/>
    <n v="0"/>
    <n v="0"/>
    <n v="87.438000000000002"/>
    <n v="760.03800000000001"/>
  </r>
  <r>
    <x v="109"/>
    <x v="9"/>
    <s v="Q4"/>
    <x v="0"/>
    <s v="KEPL/01783/82-83"/>
    <s v="DINESH TRADING HOUSE"/>
    <s v="Blends"/>
    <x v="11"/>
    <n v="0.22"/>
    <n v="40"/>
    <n v="62.21"/>
    <n v="2488.4"/>
    <n v="-226.2"/>
    <n v="0"/>
    <n v="294.08999999999997"/>
    <n v="2556.29"/>
  </r>
  <r>
    <x v="110"/>
    <x v="9"/>
    <s v="Q4"/>
    <x v="0"/>
    <s v="KEPL/01790/82-83"/>
    <s v="BEERA BARJEE INTERNATIONAL PVT.LTD"/>
    <s v="Straight Pouch"/>
    <x v="1"/>
    <n v="1"/>
    <n v="100"/>
    <n v="108.17"/>
    <n v="10817"/>
    <n v="-983.2700000000001"/>
    <n v="0"/>
    <n v="1278.385401"/>
    <n v="11112.115400999999"/>
  </r>
  <r>
    <x v="110"/>
    <x v="9"/>
    <s v="Q4"/>
    <x v="0"/>
    <s v="KEPL/01790/82-83"/>
    <s v="BEERA BARJEE INTERNATIONAL PVT.LTD"/>
    <s v="Straight Pouch"/>
    <x v="4"/>
    <n v="1"/>
    <n v="40"/>
    <n v="260.27999999999997"/>
    <n v="10411.200000000001"/>
    <n v="-946.38"/>
    <n v="0"/>
    <n v="1230.4270820000002"/>
    <n v="10695.247082"/>
  </r>
  <r>
    <x v="110"/>
    <x v="9"/>
    <s v="Q4"/>
    <x v="0"/>
    <s v="KEPL/01790/82-83"/>
    <s v="BEERA BARJEE INTERNATIONAL PVT.LTD"/>
    <s v="Blends"/>
    <x v="42"/>
    <n v="1"/>
    <n v="120"/>
    <n v="94.65"/>
    <n v="11358"/>
    <n v="-1032.44"/>
    <n v="0"/>
    <n v="1342.323326"/>
    <n v="11667.883325999999"/>
  </r>
  <r>
    <x v="110"/>
    <x v="9"/>
    <s v="Q4"/>
    <x v="0"/>
    <s v="KEPL/01790/82-83"/>
    <s v="BEERA BARJEE INTERNATIONAL PVT.LTD"/>
    <s v="Straight Pouch"/>
    <x v="3"/>
    <n v="1"/>
    <n v="40"/>
    <n v="393.46"/>
    <n v="15738.4"/>
    <n v="-1430.6200000000001"/>
    <n v="0"/>
    <n v="1860.012129"/>
    <n v="16167.792128999999"/>
  </r>
  <r>
    <x v="110"/>
    <x v="9"/>
    <s v="Q4"/>
    <x v="0"/>
    <s v="KEPL/01790/82-83"/>
    <s v="BEERA BARJEE INTERNATIONAL PVT.LTD"/>
    <s v="Blends"/>
    <x v="48"/>
    <n v="1"/>
    <n v="180"/>
    <n v="81.13"/>
    <n v="14604.000000000002"/>
    <n v="-1327.5000000000002"/>
    <n v="0"/>
    <n v="1725.945676"/>
    <n v="15002.445675999999"/>
  </r>
  <r>
    <x v="110"/>
    <x v="9"/>
    <s v="Q4"/>
    <x v="0"/>
    <s v="KEPL/01790/82-83"/>
    <s v="BEERA BARJEE INTERNATIONAL PVT.LTD"/>
    <s v="Blends"/>
    <x v="9"/>
    <n v="1"/>
    <n v="180"/>
    <n v="70.989999999999995"/>
    <n v="12778.2"/>
    <n v="-1161.54"/>
    <n v="0"/>
    <n v="1510.1663910000002"/>
    <n v="13126.826391000001"/>
  </r>
  <r>
    <x v="110"/>
    <x v="9"/>
    <s v="Q4"/>
    <x v="0"/>
    <s v="KEPL/01790/82-83"/>
    <s v="BEERA BARJEE INTERNATIONAL PVT.LTD"/>
    <s v="Sprinkler"/>
    <x v="31"/>
    <n v="1"/>
    <n v="72"/>
    <n v="148.72999999999999"/>
    <n v="10708.56"/>
    <n v="-973.41"/>
    <n v="0"/>
    <n v="1265.5699959999999"/>
    <n v="11000.719996"/>
  </r>
  <r>
    <x v="110"/>
    <x v="9"/>
    <s v="Q4"/>
    <x v="0"/>
    <s v="KEPL/01791/82-83"/>
    <s v="MEGA MART PVT.LTD"/>
    <s v="Straight Pouch"/>
    <x v="1"/>
    <n v="1"/>
    <n v="100"/>
    <n v="101.95"/>
    <n v="10195"/>
    <n v="0"/>
    <n v="0"/>
    <n v="1325.350062"/>
    <n v="11520.350062"/>
  </r>
  <r>
    <x v="110"/>
    <x v="9"/>
    <s v="Q4"/>
    <x v="0"/>
    <s v="KEPL/01791/82-83"/>
    <s v="MEGA MART PVT.LTD"/>
    <s v="Blends"/>
    <x v="14"/>
    <n v="0.67"/>
    <n v="120"/>
    <n v="127.43"/>
    <n v="15291.6"/>
    <n v="0"/>
    <n v="0"/>
    <n v="1987.9080939999999"/>
    <n v="17279.508094000001"/>
  </r>
  <r>
    <x v="110"/>
    <x v="9"/>
    <s v="Q4"/>
    <x v="0"/>
    <s v="KEPL/01791/82-83"/>
    <s v="MEGA MART PVT.LTD"/>
    <s v="Blends"/>
    <x v="44"/>
    <n v="1"/>
    <n v="180"/>
    <n v="114.69"/>
    <n v="20644.2"/>
    <n v="0"/>
    <n v="0"/>
    <n v="2683.746126"/>
    <n v="23327.946125999999"/>
  </r>
  <r>
    <x v="110"/>
    <x v="9"/>
    <s v="Q4"/>
    <x v="0"/>
    <s v="KEPL/01791/82-83"/>
    <s v="MEGA MART PVT.LTD"/>
    <s v="Blends"/>
    <x v="17"/>
    <n v="0.67"/>
    <n v="120"/>
    <n v="111.5"/>
    <n v="13379.999999999998"/>
    <n v="0"/>
    <n v="0"/>
    <n v="1739.4000820000001"/>
    <n v="15119.400082"/>
  </r>
  <r>
    <x v="110"/>
    <x v="9"/>
    <s v="Q4"/>
    <x v="0"/>
    <s v="KEPL/01791/82-83"/>
    <s v="MEGA MART PVT.LTD"/>
    <s v="Blends"/>
    <x v="27"/>
    <n v="1"/>
    <n v="120"/>
    <n v="108.32"/>
    <n v="12998.4"/>
    <n v="0"/>
    <n v="0"/>
    <n v="1689.7920799999999"/>
    <n v="14688.192080000001"/>
  </r>
  <r>
    <x v="110"/>
    <x v="9"/>
    <s v="Q4"/>
    <x v="0"/>
    <s v="KEPL/01791/82-83"/>
    <s v="MEGA MART PVT.LTD"/>
    <s v="Straight Pouch"/>
    <x v="6"/>
    <n v="1"/>
    <n v="100"/>
    <n v="152.91999999999999"/>
    <n v="15292.000000000002"/>
    <n v="0"/>
    <n v="0"/>
    <n v="1987.960094"/>
    <n v="17279.960093999998"/>
  </r>
  <r>
    <x v="110"/>
    <x v="9"/>
    <s v="Q4"/>
    <x v="0"/>
    <s v="KEPL/01791/82-83"/>
    <s v="MEGA MART PVT.LTD"/>
    <s v="Blends"/>
    <x v="21"/>
    <n v="1"/>
    <n v="80"/>
    <n v="175.22"/>
    <n v="14017.6"/>
    <n v="0"/>
    <n v="0"/>
    <n v="1822.288086"/>
    <n v="15839.888086000001"/>
  </r>
  <r>
    <x v="110"/>
    <x v="9"/>
    <s v="Q4"/>
    <x v="0"/>
    <s v="KEPL/01791/82-83"/>
    <s v="MEGA MART PVT.LTD"/>
    <s v="Blends"/>
    <x v="18"/>
    <n v="1"/>
    <n v="120"/>
    <n v="140.18"/>
    <n v="16821.600000000002"/>
    <n v="0"/>
    <n v="0"/>
    <n v="2186.8081029999998"/>
    <n v="19008.408103000002"/>
  </r>
  <r>
    <x v="110"/>
    <x v="9"/>
    <s v="Q4"/>
    <x v="0"/>
    <s v="KEPL/01791/82-83"/>
    <s v="MEGA MART PVT.LTD"/>
    <s v="Blends"/>
    <x v="16"/>
    <n v="1"/>
    <n v="120"/>
    <n v="111.5"/>
    <n v="13379.999999999998"/>
    <n v="0"/>
    <n v="0"/>
    <n v="1739.4000820000001"/>
    <n v="15119.400082"/>
  </r>
  <r>
    <x v="110"/>
    <x v="9"/>
    <s v="Q4"/>
    <x v="0"/>
    <s v="KEPL/01791/82-83"/>
    <s v="MEGA MART PVT.LTD"/>
    <s v="Straight Premium"/>
    <x v="24"/>
    <n v="1"/>
    <n v="40"/>
    <n v="414.16"/>
    <n v="16566.400000000001"/>
    <n v="0"/>
    <n v="0"/>
    <n v="2153.6321010000001"/>
    <n v="18720.032101000001"/>
  </r>
  <r>
    <x v="110"/>
    <x v="9"/>
    <s v="Q4"/>
    <x v="0"/>
    <s v="KEPL/01791/82-83"/>
    <s v="MEGA MART PVT.LTD"/>
    <s v="Blends"/>
    <x v="42"/>
    <n v="1"/>
    <n v="120"/>
    <n v="89.2"/>
    <n v="10704"/>
    <n v="0"/>
    <n v="0"/>
    <n v="1391.5200649999999"/>
    <n v="12095.520065000001"/>
  </r>
  <r>
    <x v="110"/>
    <x v="9"/>
    <s v="Q4"/>
    <x v="0"/>
    <s v="KEPL/01791/82-83"/>
    <s v="MEGA MART PVT.LTD"/>
    <s v="Sprinkler"/>
    <x v="31"/>
    <n v="1.33"/>
    <n v="96"/>
    <n v="140.18"/>
    <n v="13457.28"/>
    <n v="0"/>
    <n v="0"/>
    <n v="1749.4464820000001"/>
    <n v="15206.726482"/>
  </r>
  <r>
    <x v="110"/>
    <x v="9"/>
    <s v="Q4"/>
    <x v="0"/>
    <s v="KEPL/01791/82-83"/>
    <s v="MEGA MART PVT.LTD"/>
    <s v="Straight Premium"/>
    <x v="23"/>
    <n v="0.67"/>
    <n v="120"/>
    <n v="149.72999999999999"/>
    <n v="17967.600000000002"/>
    <n v="0"/>
    <n v="0"/>
    <n v="2335.78811"/>
    <n v="20303.38811"/>
  </r>
  <r>
    <x v="110"/>
    <x v="9"/>
    <s v="Q4"/>
    <x v="0"/>
    <s v="KEPL/01791/82-83"/>
    <s v="MEGA MART PVT.LTD"/>
    <s v="Blends"/>
    <x v="19"/>
    <n v="0.67"/>
    <n v="120"/>
    <n v="146.55000000000001"/>
    <n v="17586"/>
    <n v="0"/>
    <n v="0"/>
    <n v="2286.180108"/>
    <n v="19872.180108"/>
  </r>
  <r>
    <x v="110"/>
    <x v="9"/>
    <s v="Q4"/>
    <x v="0"/>
    <s v="KEPL/01791/82-83"/>
    <s v="MEGA MART PVT.LTD"/>
    <s v="Sprinkler"/>
    <x v="26"/>
    <n v="1"/>
    <n v="72"/>
    <n v="124.25"/>
    <n v="8946"/>
    <n v="0"/>
    <n v="0"/>
    <n v="1162.980055"/>
    <n v="10108.980055"/>
  </r>
  <r>
    <x v="110"/>
    <x v="9"/>
    <s v="Q4"/>
    <x v="0"/>
    <s v="KEPL/01791/82-83"/>
    <s v="MEGA MART PVT.LTD"/>
    <s v="Blends"/>
    <x v="41"/>
    <n v="1"/>
    <n v="120"/>
    <n v="149.72999999999999"/>
    <n v="17967.600000000002"/>
    <n v="0"/>
    <n v="0"/>
    <n v="2335.78811"/>
    <n v="20303.38811"/>
  </r>
  <r>
    <x v="110"/>
    <x v="9"/>
    <s v="Q4"/>
    <x v="0"/>
    <s v="KEPL/01791/82-83"/>
    <s v="MEGA MART PVT.LTD"/>
    <s v="Blends"/>
    <x v="20"/>
    <n v="1"/>
    <n v="120"/>
    <n v="111.5"/>
    <n v="13379.999999999998"/>
    <n v="0"/>
    <n v="0"/>
    <n v="1739.4000820000001"/>
    <n v="15119.400082"/>
  </r>
  <r>
    <x v="110"/>
    <x v="9"/>
    <s v="Q4"/>
    <x v="0"/>
    <s v="KEPL/01791/82-83"/>
    <s v="MEGA MART PVT.LTD"/>
    <s v="Blends"/>
    <x v="15"/>
    <n v="0.67"/>
    <n v="120"/>
    <n v="108.32"/>
    <n v="12998.4"/>
    <n v="0"/>
    <n v="0"/>
    <n v="1689.7920799999999"/>
    <n v="14688.192080000001"/>
  </r>
  <r>
    <x v="110"/>
    <x v="9"/>
    <s v="Q4"/>
    <x v="0"/>
    <s v="KEPL/01792/82-83"/>
    <s v="MEGA MART PVT.LTD"/>
    <s v="Straight Pouch"/>
    <x v="13"/>
    <n v="1"/>
    <n v="100"/>
    <n v="129.6"/>
    <n v="12960"/>
    <s v=""/>
    <s v=""/>
    <s v=""/>
    <n v="12960"/>
  </r>
  <r>
    <x v="111"/>
    <x v="9"/>
    <s v="Q4"/>
    <x v="0"/>
    <s v="KESR/0044/82-83"/>
    <s v="SIMPEX SOLUTION PVT. LTD"/>
    <s v="Blends"/>
    <x v="2"/>
    <n v="-0.06"/>
    <n v="-10"/>
    <n v="67.260000000000005"/>
    <n v="-672.6"/>
    <n v="0"/>
    <n v="0"/>
    <n v="-87.438000000000002"/>
    <n v="-760.03800000000001"/>
  </r>
  <r>
    <x v="111"/>
    <x v="9"/>
    <s v="Q4"/>
    <x v="0"/>
    <s v="KESR/0044/82-83"/>
    <s v="SIMPEX SOLUTION PVT. LTD"/>
    <s v="Blends"/>
    <x v="9"/>
    <n v="-0.06"/>
    <n v="-10"/>
    <n v="74.34"/>
    <n v="-743.4"/>
    <n v="0"/>
    <n v="0"/>
    <n v="-96.641999999999996"/>
    <n v="-840.04200000000003"/>
  </r>
  <r>
    <x v="112"/>
    <x v="9"/>
    <s v="Q4"/>
    <x v="0"/>
    <s v="KEPL/01803/82-83"/>
    <s v="SUBHARAMBHA TRADING"/>
    <s v="Blends"/>
    <x v="9"/>
    <n v="1"/>
    <n v="180"/>
    <n v="70.989999999999995"/>
    <n v="12778.2"/>
    <n v="-1161.54"/>
    <n v="0"/>
    <n v="1510.165747"/>
    <n v="13126.825747000001"/>
  </r>
  <r>
    <x v="112"/>
    <x v="9"/>
    <s v="Q4"/>
    <x v="0"/>
    <s v="KEPL/01803/82-83"/>
    <s v="SUBHARAMBHA TRADING"/>
    <s v="Straight Premium"/>
    <x v="5"/>
    <n v="1"/>
    <n v="180"/>
    <n v="94.65"/>
    <n v="17037"/>
    <n v="-1548.6599999999999"/>
    <n v="0"/>
    <n v="2013.4841300000001"/>
    <n v="17501.824130000001"/>
  </r>
  <r>
    <x v="112"/>
    <x v="9"/>
    <s v="Q4"/>
    <x v="0"/>
    <s v="KEPL/01803/82-83"/>
    <s v="SUBHARAMBHA TRADING"/>
    <s v="Blends"/>
    <x v="0"/>
    <n v="1"/>
    <n v="180"/>
    <n v="64.23"/>
    <n v="11561.4"/>
    <n v="-1050.9299999999998"/>
    <n v="0"/>
    <n v="1366.361052"/>
    <n v="11876.831052"/>
  </r>
  <r>
    <x v="112"/>
    <x v="9"/>
    <s v="Q4"/>
    <x v="0"/>
    <s v="KEPL/01803/82-83"/>
    <s v="SUBHARAMBHA TRADING"/>
    <s v="Sprinkler"/>
    <x v="31"/>
    <n v="1"/>
    <n v="72"/>
    <n v="148.72999999999999"/>
    <n v="10708.56"/>
    <n v="-973.41"/>
    <n v="0"/>
    <n v="1265.5694560000002"/>
    <n v="11000.719456000001"/>
  </r>
  <r>
    <x v="112"/>
    <x v="9"/>
    <s v="Q4"/>
    <x v="0"/>
    <s v="KEPL/01803/82-83"/>
    <s v="SUBHARAMBHA TRADING"/>
    <s v="Blends"/>
    <x v="11"/>
    <n v="1"/>
    <n v="180"/>
    <n v="62.21"/>
    <n v="11197.8"/>
    <n v="-1017.88"/>
    <n v="0"/>
    <n v="1323.3895539999999"/>
    <n v="11503.309553999999"/>
  </r>
  <r>
    <x v="112"/>
    <x v="9"/>
    <s v="Q4"/>
    <x v="0"/>
    <s v="KEPL/01803/82-83"/>
    <s v="SUBHARAMBHA TRADING"/>
    <s v="Blends"/>
    <x v="42"/>
    <n v="1"/>
    <n v="120"/>
    <n v="94.65"/>
    <n v="11358"/>
    <n v="-1032.44"/>
    <n v="0"/>
    <n v="1342.3227529999999"/>
    <n v="11667.882753"/>
  </r>
  <r>
    <x v="112"/>
    <x v="9"/>
    <s v="Q4"/>
    <x v="0"/>
    <s v="KEPL/01803/82-83"/>
    <s v="SUBHARAMBHA TRADING"/>
    <s v="Sprinkler"/>
    <x v="26"/>
    <n v="1"/>
    <n v="72"/>
    <n v="131.83000000000001"/>
    <n v="9491.76"/>
    <n v="-862.8"/>
    <n v="0"/>
    <n v="1121.7647609999999"/>
    <n v="9750.7247609999995"/>
  </r>
  <r>
    <x v="112"/>
    <x v="9"/>
    <s v="Q4"/>
    <x v="0"/>
    <s v="KEPL/01803/82-83"/>
    <s v="SUBHARAMBHA TRADING"/>
    <s v="Blends"/>
    <x v="32"/>
    <n v="1"/>
    <n v="120"/>
    <n v="64.23"/>
    <n v="7707.5999999999995"/>
    <n v="-700.62"/>
    <n v="0"/>
    <n v="910.90736800000002"/>
    <n v="7917.8873679999997"/>
  </r>
  <r>
    <x v="112"/>
    <x v="9"/>
    <s v="Q4"/>
    <x v="0"/>
    <s v="KEPL/01803/82-83"/>
    <s v="SUBHARAMBHA TRADING"/>
    <s v="Straight Premium"/>
    <x v="7"/>
    <n v="1"/>
    <n v="120"/>
    <n v="148.74"/>
    <n v="17848.8"/>
    <n v="-1622.46"/>
    <n v="0"/>
    <n v="2109.4241259999999"/>
    <n v="18335.764125999998"/>
  </r>
  <r>
    <x v="112"/>
    <x v="9"/>
    <s v="Q4"/>
    <x v="0"/>
    <s v="KEPL/01803/82-83"/>
    <s v="SUBHARAMBHA TRADING"/>
    <s v="Blends"/>
    <x v="2"/>
    <n v="1"/>
    <n v="180"/>
    <n v="64.23"/>
    <n v="11561.4"/>
    <n v="-1050.9299999999998"/>
    <n v="0"/>
    <n v="1366.361052"/>
    <n v="11876.831052"/>
  </r>
  <r>
    <x v="113"/>
    <x v="9"/>
    <s v="Q4"/>
    <x v="0"/>
    <s v="KEPL/01806/82-83"/>
    <s v="GORIN TRADING "/>
    <s v="Straight Premium"/>
    <x v="8"/>
    <n v="0.5"/>
    <n v="60"/>
    <n v="50.7"/>
    <n v="3042"/>
    <n v="-276.52"/>
    <n v="0"/>
    <n v="359.512832"/>
    <n v="3124.9928319999999"/>
  </r>
  <r>
    <x v="113"/>
    <x v="9"/>
    <s v="Q4"/>
    <x v="0"/>
    <s v="KEPL/01806/82-83"/>
    <s v="GORIN TRADING "/>
    <s v="Sprinkler"/>
    <x v="26"/>
    <n v="1"/>
    <n v="72"/>
    <n v="131.83000000000001"/>
    <n v="9491.76"/>
    <n v="-862.8"/>
    <n v="0"/>
    <n v="1121.7661479999999"/>
    <n v="9750.7261479999997"/>
  </r>
  <r>
    <x v="113"/>
    <x v="9"/>
    <s v="Q4"/>
    <x v="0"/>
    <s v="KEPL/01806/82-83"/>
    <s v="GORIN TRADING "/>
    <s v="Sprinkler"/>
    <x v="31"/>
    <n v="1"/>
    <n v="72"/>
    <n v="148.72999999999999"/>
    <n v="10708.56"/>
    <n v="-973.41"/>
    <n v="0"/>
    <n v="1265.5710199999999"/>
    <n v="11000.721020000001"/>
  </r>
  <r>
    <x v="113"/>
    <x v="9"/>
    <s v="Q4"/>
    <x v="0"/>
    <s v="KEPL/01807/82-83"/>
    <s v="DINESH TRADING HOUSE"/>
    <s v="Blends"/>
    <x v="48"/>
    <n v="0.23"/>
    <n v="40"/>
    <n v="81.13"/>
    <n v="3245.2999999999997"/>
    <n v="-295"/>
    <n v="0"/>
    <n v="383.538612"/>
    <n v="3333.838612"/>
  </r>
  <r>
    <x v="113"/>
    <x v="9"/>
    <s v="Q4"/>
    <x v="0"/>
    <s v="KEPL/01807/82-83"/>
    <s v="DINESH TRADING HOUSE"/>
    <s v="Blends"/>
    <x v="32"/>
    <n v="0.25"/>
    <n v="30"/>
    <n v="64.23"/>
    <n v="1926.8999999999999"/>
    <n v="-175.16"/>
    <n v="0"/>
    <n v="227.72596999999999"/>
    <n v="1979.46597"/>
  </r>
  <r>
    <x v="113"/>
    <x v="9"/>
    <s v="Q4"/>
    <x v="0"/>
    <s v="KEPL/01807/82-83"/>
    <s v="DINESH TRADING HOUSE"/>
    <s v="Blends"/>
    <x v="42"/>
    <n v="0.33"/>
    <n v="40"/>
    <n v="94.65"/>
    <n v="3786"/>
    <n v="-344.15"/>
    <n v="0"/>
    <n v="447.44004699999999"/>
    <n v="3889.290047"/>
  </r>
  <r>
    <x v="113"/>
    <x v="9"/>
    <s v="Q4"/>
    <x v="0"/>
    <s v="KEPL/01807/82-83"/>
    <s v="DINESH TRADING HOUSE"/>
    <s v="Blends"/>
    <x v="9"/>
    <n v="0.17"/>
    <n v="30"/>
    <n v="70.989999999999995"/>
    <n v="2129.6999999999998"/>
    <n v="-193.59"/>
    <n v="0"/>
    <n v="251.69404500000002"/>
    <n v="2187.8040449999999"/>
  </r>
  <r>
    <x v="113"/>
    <x v="9"/>
    <s v="Q4"/>
    <x v="0"/>
    <s v="KEPL/01807/82-83"/>
    <s v="DINESH TRADING HOUSE"/>
    <s v="Blends"/>
    <x v="37"/>
    <n v="0.28000000000000003"/>
    <n v="50"/>
    <n v="98.03"/>
    <n v="4901.5"/>
    <n v="-445.55"/>
    <n v="0"/>
    <n v="579.27291400000001"/>
    <n v="5035.2229139999999"/>
  </r>
  <r>
    <x v="113"/>
    <x v="9"/>
    <s v="Q4"/>
    <x v="0"/>
    <s v="KEPL/01807/82-83"/>
    <s v="DINESH TRADING HOUSE"/>
    <s v="Blends"/>
    <x v="38"/>
    <n v="0.17"/>
    <n v="20"/>
    <n v="84.51"/>
    <n v="1690.2"/>
    <n v="-153.63999999999999"/>
    <n v="0"/>
    <n v="199.75259800000001"/>
    <n v="1736.312598"/>
  </r>
  <r>
    <x v="113"/>
    <x v="9"/>
    <s v="Q4"/>
    <x v="0"/>
    <s v="KEPL/01807/82-83"/>
    <s v="DINESH TRADING HOUSE"/>
    <s v="Blends"/>
    <x v="36"/>
    <n v="0.25"/>
    <n v="20"/>
    <n v="155.49"/>
    <n v="3109.7999999999997"/>
    <n v="-282.68"/>
    <n v="0"/>
    <n v="367.52522800000003"/>
    <n v="3194.6452279999999"/>
  </r>
  <r>
    <x v="113"/>
    <x v="9"/>
    <s v="Q4"/>
    <x v="0"/>
    <s v="KEPL/01807/82-83"/>
    <s v="DINESH TRADING HOUSE"/>
    <s v="Blends"/>
    <x v="35"/>
    <n v="0.37"/>
    <n v="30"/>
    <n v="169.01"/>
    <n v="5070.2999999999993"/>
    <n v="-460.89"/>
    <n v="0"/>
    <n v="599.22269300000005"/>
    <n v="5208.6326929999996"/>
  </r>
  <r>
    <x v="113"/>
    <x v="9"/>
    <s v="Q4"/>
    <x v="0"/>
    <s v="KEPL/01807/82-83"/>
    <s v="DINESH TRADING HOUSE"/>
    <s v="Blends"/>
    <x v="10"/>
    <n v="0.28000000000000003"/>
    <n v="50"/>
    <n v="60.84"/>
    <n v="3042"/>
    <n v="-276.52"/>
    <n v="0"/>
    <n v="359.51203599999997"/>
    <n v="3124.9920360000001"/>
  </r>
  <r>
    <x v="113"/>
    <x v="9"/>
    <s v="Q4"/>
    <x v="0"/>
    <s v="KEPL/01807/82-83"/>
    <s v="DINESH TRADING HOUSE"/>
    <s v="Blends"/>
    <x v="11"/>
    <n v="0.22"/>
    <n v="40"/>
    <n v="62.21"/>
    <n v="2488.4"/>
    <n v="-226.2"/>
    <n v="0"/>
    <n v="294.08570200000003"/>
    <n v="2556.2857020000001"/>
  </r>
  <r>
    <x v="113"/>
    <x v="9"/>
    <s v="Q4"/>
    <x v="0"/>
    <s v="KEPL/01807/82-83"/>
    <s v="DINESH TRADING HOUSE"/>
    <s v="Blends"/>
    <x v="44"/>
    <n v="0.22"/>
    <n v="40"/>
    <n v="128.44999999999999"/>
    <n v="5137.9999999999991"/>
    <n v="-467.04"/>
    <n v="0"/>
    <n v="607.22418499999992"/>
    <n v="5278.1841850000001"/>
  </r>
  <r>
    <x v="113"/>
    <x v="9"/>
    <s v="Q4"/>
    <x v="0"/>
    <s v="KEPL/01807/82-83"/>
    <s v="DINESH TRADING HOUSE"/>
    <s v="Blends"/>
    <x v="2"/>
    <n v="0.17"/>
    <n v="30"/>
    <n v="64.23"/>
    <n v="1926.8999999999999"/>
    <n v="-175.16"/>
    <n v="0"/>
    <n v="227.72596999999999"/>
    <n v="1979.46597"/>
  </r>
  <r>
    <x v="113"/>
    <x v="9"/>
    <s v="Q4"/>
    <x v="0"/>
    <s v="KEPL/01809/82-83"/>
    <s v="MEGA MART PVT.LTD"/>
    <s v="Sprinkler"/>
    <x v="31"/>
    <n v="1.33"/>
    <n v="96"/>
    <n v="140.18"/>
    <n v="13457.28"/>
    <n v="0"/>
    <n v="0"/>
    <n v="1749.45"/>
    <n v="15206.73"/>
  </r>
  <r>
    <x v="114"/>
    <x v="9"/>
    <s v="Q4"/>
    <x v="0"/>
    <s v="KEPL/01831/82-83"/>
    <s v="BEERA BARJEE INTERNATIONAL PVT.LTD"/>
    <s v="Blends"/>
    <x v="18"/>
    <n v="1"/>
    <n v="120"/>
    <n v="148.72999999999999"/>
    <n v="17847.600000000002"/>
    <n v="-1622.3500000000001"/>
    <n v="0"/>
    <n v="2109.2821549999999"/>
    <n v="18334.532155000001"/>
  </r>
  <r>
    <x v="114"/>
    <x v="9"/>
    <s v="Q4"/>
    <x v="0"/>
    <s v="KEPL/01831/82-83"/>
    <s v="BEERA BARJEE INTERNATIONAL PVT.LTD"/>
    <s v="Blends"/>
    <x v="27"/>
    <n v="1"/>
    <n v="120"/>
    <n v="114.93"/>
    <n v="13791.6"/>
    <n v="-1253.6600000000001"/>
    <n v="0"/>
    <n v="1629.9319330000001"/>
    <n v="14167.871933"/>
  </r>
  <r>
    <x v="114"/>
    <x v="9"/>
    <s v="Q4"/>
    <x v="0"/>
    <s v="KEPL/01831/82-83"/>
    <s v="BEERA BARJEE INTERNATIONAL PVT.LTD"/>
    <s v="Blends"/>
    <x v="20"/>
    <n v="1"/>
    <n v="120"/>
    <n v="121.69"/>
    <n v="14602.800000000001"/>
    <n v="-1327.39"/>
    <n v="0"/>
    <n v="1725.8030180000001"/>
    <n v="15001.213018"/>
  </r>
  <r>
    <x v="114"/>
    <x v="9"/>
    <s v="Q4"/>
    <x v="0"/>
    <s v="KEPL/01831/82-83"/>
    <s v="BEERA BARJEE INTERNATIONAL PVT.LTD"/>
    <s v="Straight Pouch"/>
    <x v="6"/>
    <n v="1"/>
    <n v="100"/>
    <n v="162.26"/>
    <n v="16226"/>
    <n v="-1474.94"/>
    <n v="0"/>
    <n v="1917.6374859999999"/>
    <n v="16668.697486000001"/>
  </r>
  <r>
    <x v="114"/>
    <x v="9"/>
    <s v="Q4"/>
    <x v="0"/>
    <s v="KEPL/01831/82-83"/>
    <s v="BEERA BARJEE INTERNATIONAL PVT.LTD"/>
    <s v="Blends"/>
    <x v="14"/>
    <n v="1"/>
    <n v="180"/>
    <n v="135.22"/>
    <n v="24339.34"/>
    <n v="-2212.4499999999998"/>
    <n v="0"/>
    <n v="2876.4952290000001"/>
    <n v="25003.385229"/>
  </r>
  <r>
    <x v="114"/>
    <x v="9"/>
    <s v="Q4"/>
    <x v="0"/>
    <s v="KEPL/01831/82-83"/>
    <s v="BEERA BARJEE INTERNATIONAL PVT.LTD"/>
    <s v="Blends"/>
    <x v="44"/>
    <n v="1"/>
    <n v="180"/>
    <n v="128.44999999999999"/>
    <n v="23121.000000000004"/>
    <n v="-2101.6999999999998"/>
    <n v="0"/>
    <n v="2732.5085530000001"/>
    <n v="23751.808552999999"/>
  </r>
  <r>
    <x v="114"/>
    <x v="9"/>
    <s v="Q4"/>
    <x v="0"/>
    <s v="KEPL/01831/82-83"/>
    <s v="BEERA BARJEE INTERNATIONAL PVT.LTD"/>
    <s v="Straight Premium"/>
    <x v="5"/>
    <n v="1"/>
    <n v="180"/>
    <n v="94.65"/>
    <n v="17037"/>
    <n v="-1548.6599999999999"/>
    <n v="0"/>
    <n v="2013.4838709999999"/>
    <n v="17501.823871000001"/>
  </r>
  <r>
    <x v="114"/>
    <x v="9"/>
    <s v="Q4"/>
    <x v="0"/>
    <s v="KEPL/01831/82-83"/>
    <s v="BEERA BARJEE INTERNATIONAL PVT.LTD"/>
    <s v="Blends"/>
    <x v="2"/>
    <n v="1"/>
    <n v="180"/>
    <n v="64.23"/>
    <n v="11561.4"/>
    <n v="-1050.9299999999998"/>
    <n v="0"/>
    <n v="1366.3608760000002"/>
    <n v="11876.830876"/>
  </r>
  <r>
    <x v="114"/>
    <x v="9"/>
    <s v="Q4"/>
    <x v="0"/>
    <s v="KEPL/01831/82-83"/>
    <s v="BEERA BARJEE INTERNATIONAL PVT.LTD"/>
    <s v="Straight Premium"/>
    <x v="22"/>
    <n v="0.98"/>
    <n v="39"/>
    <n v="283.94"/>
    <n v="11073.66"/>
    <n v="-1006.6"/>
    <n v="0"/>
    <n v="1308.717586"/>
    <n v="11375.777586"/>
  </r>
  <r>
    <x v="114"/>
    <x v="9"/>
    <s v="Q4"/>
    <x v="0"/>
    <s v="KEPL/01831/82-83"/>
    <s v="BEERA BARJEE INTERNATIONAL PVT.LTD"/>
    <s v="Sprinkler"/>
    <x v="31"/>
    <n v="1"/>
    <n v="72"/>
    <n v="148.72999999999999"/>
    <n v="10708.56"/>
    <n v="-973.41"/>
    <n v="0"/>
    <n v="1265.5692929999998"/>
    <n v="11000.719293"/>
  </r>
  <r>
    <x v="114"/>
    <x v="9"/>
    <s v="Q4"/>
    <x v="0"/>
    <s v="KESR/0048/82-83"/>
    <s v="BEERA BARJEE INTERNATIONAL PVT.LTD"/>
    <s v="Blends"/>
    <x v="11"/>
    <n v="-1"/>
    <n v="-180"/>
    <n v="64.23"/>
    <n v="-11561.4"/>
    <n v="1050.9299999999998"/>
    <n v="0"/>
    <n v="-1366.3613740000001"/>
    <n v="-11876.831373999999"/>
  </r>
  <r>
    <x v="114"/>
    <x v="9"/>
    <s v="Q4"/>
    <x v="0"/>
    <s v="KESR/0048/82-83"/>
    <s v="BEERA BARJEE INTERNATIONAL PVT.LTD"/>
    <s v="Blends"/>
    <x v="16"/>
    <n v="-0.25"/>
    <n v="-30"/>
    <n v="121.69"/>
    <n v="-3650.7000000000003"/>
    <n v="331.85"/>
    <n v="0"/>
    <n v="-431.45058600000004"/>
    <n v="-3750.3005859999998"/>
  </r>
  <r>
    <x v="114"/>
    <x v="9"/>
    <s v="Q4"/>
    <x v="0"/>
    <s v="KESR/0048/82-83"/>
    <s v="BEERA BARJEE INTERNATIONAL PVT.LTD"/>
    <s v="Blends"/>
    <x v="27"/>
    <n v="-2.25"/>
    <n v="-270"/>
    <n v="118.31"/>
    <n v="-31943.7"/>
    <n v="2903.68"/>
    <n v="0"/>
    <n v="-3775.203356"/>
    <n v="-32815.223356000002"/>
  </r>
  <r>
    <x v="114"/>
    <x v="9"/>
    <s v="Q4"/>
    <x v="0"/>
    <s v="KESR/0048/82-83"/>
    <s v="BEERA BARJEE INTERNATIONAL PVT.LTD"/>
    <s v="Straight Pouch"/>
    <x v="3"/>
    <n v="-0.05"/>
    <n v="-2"/>
    <n v="459.72"/>
    <n v="-919.44"/>
    <n v="83.58"/>
    <n v="0"/>
    <n v="-108.66182200000002"/>
    <n v="-944.52182200000004"/>
  </r>
  <r>
    <x v="114"/>
    <x v="9"/>
    <s v="Q4"/>
    <x v="0"/>
    <s v="KESR/0048/82-83"/>
    <s v="BEERA BARJEE INTERNATIONAL PVT.LTD"/>
    <s v="Blends"/>
    <x v="21"/>
    <n v="-0.75"/>
    <n v="-60"/>
    <n v="189.3"/>
    <n v="-11358"/>
    <n v="1032.44"/>
    <n v="0"/>
    <n v="-1342.323069"/>
    <n v="-11667.883069"/>
  </r>
  <r>
    <x v="114"/>
    <x v="9"/>
    <s v="Q4"/>
    <x v="0"/>
    <s v="KESR/0048/82-83"/>
    <s v="BEERA BARJEE INTERNATIONAL PVT.LTD"/>
    <s v="Blends"/>
    <x v="19"/>
    <n v="-0.5"/>
    <n v="-90"/>
    <n v="155.49"/>
    <n v="-13994.1"/>
    <n v="1272.0600000000002"/>
    <n v="0"/>
    <n v="-1653.8655310000001"/>
    <n v="-14375.905531"/>
  </r>
  <r>
    <x v="114"/>
    <x v="9"/>
    <s v="Q4"/>
    <x v="0"/>
    <s v="KESR/0048/82-83"/>
    <s v="BEERA BARJEE INTERNATIONAL PVT.LTD"/>
    <s v="Straight Premium"/>
    <x v="8"/>
    <n v="-0.33"/>
    <n v="-40"/>
    <n v="50.7"/>
    <n v="-2028"/>
    <n v="184.35"/>
    <n v="0"/>
    <n v="-239.67454799999999"/>
    <n v="-2083.324548"/>
  </r>
  <r>
    <x v="114"/>
    <x v="9"/>
    <s v="Q4"/>
    <x v="0"/>
    <s v="KESR/0048/82-83"/>
    <s v="BEERA BARJEE INTERNATIONAL PVT.LTD"/>
    <s v="Blends"/>
    <x v="0"/>
    <n v="-0.06"/>
    <n v="-10"/>
    <n v="64.23"/>
    <n v="-642.29999999999995"/>
    <n v="58.39"/>
    <n v="0"/>
    <n v="-75.908315000000002"/>
    <n v="-659.81831499999998"/>
  </r>
  <r>
    <x v="114"/>
    <x v="9"/>
    <s v="Q4"/>
    <x v="0"/>
    <s v="KESR/0048/82-83"/>
    <s v="BEERA BARJEE INTERNATIONAL PVT.LTD"/>
    <s v="Blends"/>
    <x v="15"/>
    <n v="-0.39"/>
    <n v="-70"/>
    <n v="114.93"/>
    <n v="-8045.1"/>
    <n v="731.3"/>
    <n v="0"/>
    <n v="-950.79418999999996"/>
    <n v="-8264.5941899999998"/>
  </r>
  <r>
    <x v="114"/>
    <x v="9"/>
    <s v="Q4"/>
    <x v="0"/>
    <s v="KESR/0048/82-83"/>
    <s v="BEERA BARJEE INTERNATIONAL PVT.LTD"/>
    <s v="Straight Premium"/>
    <x v="24"/>
    <n v="-0.5"/>
    <n v="-20"/>
    <n v="439.44"/>
    <n v="-8788.7999999999993"/>
    <n v="798.9"/>
    <n v="0"/>
    <n v="-1038.6872080000001"/>
    <n v="-9028.5872080000008"/>
  </r>
  <r>
    <x v="114"/>
    <x v="9"/>
    <s v="Q4"/>
    <x v="0"/>
    <s v="KESR/0049/82-83"/>
    <s v="BEERA BARJEE INTERNATIONAL PVT.LTD"/>
    <s v="Straight Pouch"/>
    <x v="12"/>
    <n v="-0.25"/>
    <n v="-10"/>
    <n v="309.39999999999998"/>
    <n v="-3094"/>
    <n v="281.24"/>
    <n v="0"/>
    <n v="0"/>
    <n v="-2812.76"/>
  </r>
  <r>
    <x v="115"/>
    <x v="9"/>
    <s v="Q4"/>
    <x v="0"/>
    <s v="KEPL/01835/82-83"/>
    <s v="SIMPEX SOLUTION PVT. LTD"/>
    <s v="Cooking Paste"/>
    <x v="30"/>
    <n v="0.17"/>
    <n v="10"/>
    <n v="102.65"/>
    <n v="1026.5"/>
    <n v="0"/>
    <n v="0"/>
    <n v="133.44401100000002"/>
    <n v="1159.944011"/>
  </r>
  <r>
    <x v="115"/>
    <x v="9"/>
    <s v="Q4"/>
    <x v="0"/>
    <s v="KEPL/01835/82-83"/>
    <s v="SIMPEX SOLUTION PVT. LTD"/>
    <s v="Blends"/>
    <x v="11"/>
    <n v="0.06"/>
    <n v="10"/>
    <n v="67.260000000000005"/>
    <n v="672.6"/>
    <n v="0"/>
    <n v="0"/>
    <n v="87.437352000000004"/>
    <n v="760.03735200000006"/>
  </r>
  <r>
    <x v="115"/>
    <x v="9"/>
    <s v="Q4"/>
    <x v="0"/>
    <s v="KEPL/01835/82-83"/>
    <s v="SIMPEX SOLUTION PVT. LTD"/>
    <s v="Blends"/>
    <x v="2"/>
    <n v="0.06"/>
    <n v="10"/>
    <n v="67.260000000000005"/>
    <n v="672.6"/>
    <n v="0"/>
    <n v="0"/>
    <n v="87.437352000000004"/>
    <n v="760.03735200000006"/>
  </r>
  <r>
    <x v="115"/>
    <x v="9"/>
    <s v="Q4"/>
    <x v="0"/>
    <s v="KEPL/01835/82-83"/>
    <s v="SIMPEX SOLUTION PVT. LTD"/>
    <s v="Blends"/>
    <x v="9"/>
    <n v="0.06"/>
    <n v="10"/>
    <n v="74.34"/>
    <n v="743.4"/>
    <n v="0"/>
    <n v="0"/>
    <n v="96.641283999999999"/>
    <n v="840.04128400000002"/>
  </r>
  <r>
    <x v="115"/>
    <x v="9"/>
    <s v="Q4"/>
    <x v="0"/>
    <s v="KEPL/01838/82-83"/>
    <s v="BHAT BHATENI SUPERMARKET &amp; DEPARTMENTAL STORE PVT. LTD."/>
    <s v="Straight Pouch"/>
    <x v="12"/>
    <n v="1"/>
    <n v="40"/>
    <n v="308"/>
    <n v="12320"/>
    <n v="0"/>
    <n v="-1232"/>
    <n v="0"/>
    <n v="11088"/>
  </r>
  <r>
    <x v="115"/>
    <x v="9"/>
    <s v="Q4"/>
    <x v="0"/>
    <s v="KEPL/01838/82-83"/>
    <s v="BHAT BHATENI SUPERMARKET &amp; DEPARTMENTAL STORE PVT. LTD."/>
    <s v="Straight Pouch"/>
    <x v="13"/>
    <n v="1"/>
    <n v="100"/>
    <n v="126"/>
    <n v="12600"/>
    <n v="0"/>
    <n v="-1260"/>
    <n v="0"/>
    <n v="11340"/>
  </r>
  <r>
    <x v="115"/>
    <x v="9"/>
    <s v="Q4"/>
    <x v="0"/>
    <s v="KEPL/01839/82-83"/>
    <s v="BHAT BHATENI SUPERMARKET &amp; DEPARTMENTAL STORE PVT. LTD."/>
    <s v="Straight Pouch"/>
    <x v="13"/>
    <n v="1"/>
    <n v="100"/>
    <n v="126"/>
    <n v="12600"/>
    <n v="0"/>
    <n v="-1260"/>
    <n v="0"/>
    <n v="11340"/>
  </r>
  <r>
    <x v="115"/>
    <x v="9"/>
    <s v="Q4"/>
    <x v="0"/>
    <s v="KEPL/01839/82-83"/>
    <s v="BHAT BHATENI SUPERMARKET &amp; DEPARTMENTAL STORE PVT. LTD."/>
    <s v="Straight Pouch"/>
    <x v="12"/>
    <n v="1"/>
    <n v="40"/>
    <n v="308"/>
    <n v="12320"/>
    <n v="0"/>
    <n v="-1232"/>
    <n v="0"/>
    <n v="11088"/>
  </r>
  <r>
    <x v="115"/>
    <x v="9"/>
    <s v="Q4"/>
    <x v="0"/>
    <s v="KEPL/01840/82-83"/>
    <s v="BHAT BHATENI SUPERMARKET &amp; DEPARTMENTAL STORE PVT. LTD."/>
    <s v="Blends"/>
    <x v="18"/>
    <n v="1"/>
    <n v="120"/>
    <n v="136.28"/>
    <n v="16353.6"/>
    <n v="0"/>
    <n v="-1635.36"/>
    <n v="1913.3709590000001"/>
    <n v="16631.610959000001"/>
  </r>
  <r>
    <x v="115"/>
    <x v="9"/>
    <s v="Q4"/>
    <x v="0"/>
    <s v="KEPL/01840/82-83"/>
    <s v="BHAT BHATENI SUPERMARKET &amp; DEPARTMENTAL STORE PVT. LTD."/>
    <s v="Blends"/>
    <x v="11"/>
    <n v="0.5"/>
    <n v="90"/>
    <n v="56.99"/>
    <n v="5129.1000000000004"/>
    <n v="0"/>
    <n v="-512.91"/>
    <n v="600.10462400000006"/>
    <n v="5216.2946240000001"/>
  </r>
  <r>
    <x v="115"/>
    <x v="9"/>
    <s v="Q4"/>
    <x v="0"/>
    <s v="KEPL/01840/82-83"/>
    <s v="BHAT BHATENI SUPERMARKET &amp; DEPARTMENTAL STORE PVT. LTD."/>
    <s v="Straight Premium"/>
    <x v="23"/>
    <n v="1"/>
    <n v="180"/>
    <n v="145.58000000000001"/>
    <n v="26204.399999999998"/>
    <n v="0"/>
    <n v="-2620.44"/>
    <n v="3065.9144139999999"/>
    <n v="26649.874414000002"/>
  </r>
  <r>
    <x v="115"/>
    <x v="9"/>
    <s v="Q4"/>
    <x v="0"/>
    <s v="KEPL/01840/82-83"/>
    <s v="BHAT BHATENI SUPERMARKET &amp; DEPARTMENTAL STORE PVT. LTD."/>
    <s v="Blends"/>
    <x v="42"/>
    <n v="1"/>
    <n v="120"/>
    <n v="86.73"/>
    <n v="10407.6"/>
    <n v="0"/>
    <n v="-1040.76"/>
    <n v="1217.6890470000001"/>
    <n v="10584.529047"/>
  </r>
  <r>
    <x v="115"/>
    <x v="9"/>
    <s v="Q4"/>
    <x v="0"/>
    <s v="KEPL/01840/82-83"/>
    <s v="BHAT BHATENI SUPERMARKET &amp; DEPARTMENTAL STORE PVT. LTD."/>
    <s v="Blends"/>
    <x v="9"/>
    <n v="1"/>
    <n v="180"/>
    <n v="65.040000000000006"/>
    <n v="11707.2"/>
    <n v="0"/>
    <n v="-1170.72"/>
    <n v="1369.7422279999998"/>
    <n v="11906.222228000001"/>
  </r>
  <r>
    <x v="115"/>
    <x v="9"/>
    <s v="Q4"/>
    <x v="0"/>
    <s v="KEPL/01840/82-83"/>
    <s v="BHAT BHATENI SUPERMARKET &amp; DEPARTMENTAL STORE PVT. LTD."/>
    <s v="Sprinkler"/>
    <x v="26"/>
    <n v="1"/>
    <n v="72"/>
    <n v="120.8"/>
    <n v="8697.6"/>
    <n v="0"/>
    <n v="-869.76"/>
    <n v="1017.619072"/>
    <n v="8845.4590719999997"/>
  </r>
  <r>
    <x v="115"/>
    <x v="9"/>
    <s v="Q4"/>
    <x v="0"/>
    <s v="KEPL/01840/82-83"/>
    <s v="BHAT BHATENI SUPERMARKET &amp; DEPARTMENTAL STORE PVT. LTD."/>
    <s v="Sprinkler"/>
    <x v="47"/>
    <n v="1"/>
    <n v="100"/>
    <n v="65.040000000000006"/>
    <n v="6504"/>
    <n v="0"/>
    <n v="-650.4"/>
    <n v="760.96790399999998"/>
    <n v="6614.5679040000005"/>
  </r>
  <r>
    <x v="115"/>
    <x v="9"/>
    <s v="Q4"/>
    <x v="0"/>
    <s v="KEPL/01840/82-83"/>
    <s v="BHAT BHATENI SUPERMARKET &amp; DEPARTMENTAL STORE PVT. LTD."/>
    <s v="Blends"/>
    <x v="16"/>
    <n v="1"/>
    <n v="120"/>
    <n v="108.41"/>
    <n v="13009.2"/>
    <n v="0"/>
    <n v="-1300.92"/>
    <n v="1522.0762080000002"/>
    <n v="13230.356207999999"/>
  </r>
  <r>
    <x v="115"/>
    <x v="9"/>
    <s v="Q4"/>
    <x v="0"/>
    <s v="KEPL/01840/82-83"/>
    <s v="BHAT BHATENI SUPERMARKET &amp; DEPARTMENTAL STORE PVT. LTD."/>
    <s v="Blends"/>
    <x v="0"/>
    <n v="1"/>
    <n v="180"/>
    <n v="56.99"/>
    <n v="10258.200000000001"/>
    <n v="0"/>
    <n v="-1025.82"/>
    <n v="1200.209249"/>
    <n v="10432.589249000001"/>
  </r>
  <r>
    <x v="115"/>
    <x v="9"/>
    <s v="Q4"/>
    <x v="0"/>
    <s v="KEPL/01840/82-83"/>
    <s v="BHAT BHATENI SUPERMARKET &amp; DEPARTMENTAL STORE PVT. LTD."/>
    <s v="Straight Premium"/>
    <x v="33"/>
    <n v="1"/>
    <n v="180"/>
    <n v="83.63"/>
    <n v="15053.4"/>
    <n v="0"/>
    <n v="-1505.3400000000001"/>
    <n v="1761.247578"/>
    <n v="15309.307578"/>
  </r>
  <r>
    <x v="115"/>
    <x v="9"/>
    <s v="Q4"/>
    <x v="0"/>
    <s v="KEPL/01840/82-83"/>
    <s v="BHAT BHATENI SUPERMARKET &amp; DEPARTMENTAL STORE PVT. LTD."/>
    <s v="Blends"/>
    <x v="39"/>
    <n v="1"/>
    <n v="180"/>
    <n v="76.81"/>
    <n v="13825.800000000001"/>
    <n v="0"/>
    <n v="-1382.58"/>
    <n v="1617.6183959999998"/>
    <n v="14060.838395999999"/>
  </r>
  <r>
    <x v="115"/>
    <x v="9"/>
    <s v="Q4"/>
    <x v="0"/>
    <s v="KEPL/01840/82-83"/>
    <s v="BHAT BHATENI SUPERMARKET &amp; DEPARTMENTAL STORE PVT. LTD."/>
    <s v="Straight Pouch"/>
    <x v="4"/>
    <n v="1"/>
    <n v="40"/>
    <n v="238.5"/>
    <n v="9539.9999999999982"/>
    <n v="0"/>
    <n v="-954"/>
    <n v="1116.17986"/>
    <n v="9702.1798600000002"/>
  </r>
  <r>
    <x v="115"/>
    <x v="9"/>
    <s v="Q4"/>
    <x v="0"/>
    <s v="KEPL/01840/82-83"/>
    <s v="BHAT BHATENI SUPERMARKET &amp; DEPARTMENTAL STORE PVT. LTD."/>
    <s v="Blends"/>
    <x v="14"/>
    <n v="1"/>
    <n v="180"/>
    <n v="123.89"/>
    <n v="22300.2"/>
    <n v="0"/>
    <n v="-2230.02"/>
    <n v="2609.1230719999999"/>
    <n v="22679.303071999999"/>
  </r>
  <r>
    <x v="115"/>
    <x v="9"/>
    <s v="Q4"/>
    <x v="0"/>
    <s v="KEPL/01840/82-83"/>
    <s v="BHAT BHATENI SUPERMARKET &amp; DEPARTMENTAL STORE PVT. LTD."/>
    <s v="Combo"/>
    <x v="43"/>
    <n v="1"/>
    <n v="60"/>
    <n v="136.28"/>
    <n v="8176.8"/>
    <n v="0"/>
    <n v="-817.68"/>
    <n v="956.68547999999998"/>
    <n v="8315.8054800000009"/>
  </r>
  <r>
    <x v="115"/>
    <x v="9"/>
    <s v="Q4"/>
    <x v="0"/>
    <s v="KEPL/01840/82-83"/>
    <s v="BHAT BHATENI SUPERMARKET &amp; DEPARTMENTAL STORE PVT. LTD."/>
    <s v="Blends"/>
    <x v="19"/>
    <n v="1"/>
    <n v="180"/>
    <n v="142.47999999999999"/>
    <n v="25646.399999999998"/>
    <n v="0"/>
    <n v="-2564.64"/>
    <n v="3000.6284219999998"/>
    <n v="26082.388422"/>
  </r>
  <r>
    <x v="115"/>
    <x v="9"/>
    <s v="Q4"/>
    <x v="0"/>
    <s v="KEPL/01840/82-83"/>
    <s v="BHAT BHATENI SUPERMARKET &amp; DEPARTMENTAL STORE PVT. LTD."/>
    <s v="Straight Premium"/>
    <x v="5"/>
    <n v="1"/>
    <n v="180"/>
    <n v="74.34"/>
    <n v="13381.199999999999"/>
    <n v="0"/>
    <n v="-1338.12"/>
    <n v="1565.600203"/>
    <n v="13608.680203"/>
  </r>
  <r>
    <x v="115"/>
    <x v="9"/>
    <s v="Q4"/>
    <x v="0"/>
    <s v="KEPL/01840/82-83"/>
    <s v="BHAT BHATENI SUPERMARKET &amp; DEPARTMENTAL STORE PVT. LTD."/>
    <s v="Blends"/>
    <x v="48"/>
    <n v="1"/>
    <n v="180"/>
    <n v="74.34"/>
    <n v="13381.199999999999"/>
    <n v="0"/>
    <n v="-1338.12"/>
    <n v="1565.600203"/>
    <n v="13608.680203"/>
  </r>
  <r>
    <x v="115"/>
    <x v="9"/>
    <s v="Q4"/>
    <x v="0"/>
    <s v="KEPL/01840/82-83"/>
    <s v="BHAT BHATENI SUPERMARKET &amp; DEPARTMENTAL STORE PVT. LTD."/>
    <s v="Straight Premium"/>
    <x v="28"/>
    <n v="1"/>
    <n v="80"/>
    <n v="154.87"/>
    <n v="12389.6"/>
    <n v="0"/>
    <n v="-1238.96"/>
    <n v="1449.583018"/>
    <n v="12600.223018000001"/>
  </r>
  <r>
    <x v="115"/>
    <x v="9"/>
    <s v="Q4"/>
    <x v="0"/>
    <s v="KEPL/01840/82-83"/>
    <s v="BHAT BHATENI SUPERMARKET &amp; DEPARTMENTAL STORE PVT. LTD."/>
    <s v="Blends"/>
    <x v="20"/>
    <n v="1"/>
    <n v="120"/>
    <n v="108.41"/>
    <n v="13009.2"/>
    <n v="0"/>
    <n v="-1300.92"/>
    <n v="1522.0762080000002"/>
    <n v="13230.356207999999"/>
  </r>
  <r>
    <x v="115"/>
    <x v="9"/>
    <s v="Q4"/>
    <x v="0"/>
    <s v="KEPL/01840/82-83"/>
    <s v="BHAT BHATENI SUPERMARKET &amp; DEPARTMENTAL STORE PVT. LTD."/>
    <s v="Straight Pouch"/>
    <x v="1"/>
    <n v="1"/>
    <n v="100"/>
    <n v="99.12"/>
    <n v="9912"/>
    <n v="0"/>
    <n v="-991.2"/>
    <n v="1159.7038539999999"/>
    <n v="10080.503854000001"/>
  </r>
  <r>
    <x v="115"/>
    <x v="9"/>
    <s v="Q4"/>
    <x v="0"/>
    <s v="KEPL/01841/82-83"/>
    <s v="BHAT BHATENI SUPERMARKET &amp; DEPARTMENTAL STORE PVT. LTD."/>
    <s v="Blends"/>
    <x v="37"/>
    <n v="1"/>
    <n v="180"/>
    <n v="89.82"/>
    <n v="16167.6"/>
    <n v="0"/>
    <n v="-1616.7601669999999"/>
    <n v="1891.608845"/>
    <n v="16442.448678000001"/>
  </r>
  <r>
    <x v="115"/>
    <x v="9"/>
    <s v="Q4"/>
    <x v="0"/>
    <s v="KEPL/01841/82-83"/>
    <s v="BHAT BHATENI SUPERMARKET &amp; DEPARTMENTAL STORE PVT. LTD."/>
    <s v="Blends"/>
    <x v="35"/>
    <n v="0.5"/>
    <n v="40"/>
    <n v="154.87"/>
    <n v="6194.8"/>
    <n v="0"/>
    <n v="-619.48006399999997"/>
    <n v="724.79146400000002"/>
    <n v="6300.1113999999998"/>
  </r>
  <r>
    <x v="115"/>
    <x v="9"/>
    <s v="Q4"/>
    <x v="0"/>
    <s v="KEPL/01841/82-83"/>
    <s v="BHAT BHATENI SUPERMARKET &amp; DEPARTMENTAL STORE PVT. LTD."/>
    <s v="Straight Premium"/>
    <x v="24"/>
    <n v="0.75"/>
    <n v="30"/>
    <n v="402.65"/>
    <n v="12079.499999999998"/>
    <n v="0"/>
    <n v="-1207.9501250000001"/>
    <n v="1413.3012350000001"/>
    <n v="12284.85111"/>
  </r>
  <r>
    <x v="115"/>
    <x v="9"/>
    <s v="Q4"/>
    <x v="0"/>
    <s v="KEPL/01841/82-83"/>
    <s v="BHAT BHATENI SUPERMARKET &amp; DEPARTMENTAL STORE PVT. LTD."/>
    <s v="Sprinkler"/>
    <x v="52"/>
    <n v="1"/>
    <n v="72"/>
    <n v="164.16"/>
    <n v="11819.52"/>
    <n v="0"/>
    <n v="-1181.9521219999999"/>
    <n v="1382.8835799999999"/>
    <n v="12020.451458"/>
  </r>
  <r>
    <x v="115"/>
    <x v="9"/>
    <s v="Q4"/>
    <x v="0"/>
    <s v="KEPL/01841/82-83"/>
    <s v="BHAT BHATENI SUPERMARKET &amp; DEPARTMENTAL STORE PVT. LTD."/>
    <s v="Sprinkler"/>
    <x v="31"/>
    <n v="1"/>
    <n v="72"/>
    <n v="136.28"/>
    <n v="9812.16"/>
    <n v="0"/>
    <n v="-981.21610100000009"/>
    <n v="1148.022504"/>
    <n v="9978.9664030000004"/>
  </r>
  <r>
    <x v="115"/>
    <x v="9"/>
    <s v="Q4"/>
    <x v="0"/>
    <s v="KEPL/01841/82-83"/>
    <s v="BHAT BHATENI SUPERMARKET &amp; DEPARTMENTAL STORE PVT. LTD."/>
    <s v="Blends"/>
    <x v="40"/>
    <n v="0.5"/>
    <n v="60"/>
    <n v="71.239999999999995"/>
    <n v="4274.3999999999996"/>
    <n v="0"/>
    <n v="-427.440044"/>
    <n v="500.10470599999996"/>
    <n v="4347.0646619999998"/>
  </r>
  <r>
    <x v="115"/>
    <x v="9"/>
    <s v="Q4"/>
    <x v="0"/>
    <s v="KEPL/01841/82-83"/>
    <s v="BHAT BHATENI SUPERMARKET &amp; DEPARTMENTAL STORE PVT. LTD."/>
    <s v="Straight Pouch"/>
    <x v="6"/>
    <n v="1"/>
    <n v="100"/>
    <n v="148.66999999999999"/>
    <n v="14867"/>
    <n v="0"/>
    <n v="-1486.700153"/>
    <n v="1739.4386730000001"/>
    <n v="15119.738520000001"/>
  </r>
  <r>
    <x v="115"/>
    <x v="9"/>
    <s v="Q4"/>
    <x v="0"/>
    <s v="KEPL/01841/82-83"/>
    <s v="BHAT BHATENI SUPERMARKET &amp; DEPARTMENTAL STORE PVT. LTD."/>
    <s v="Blends"/>
    <x v="15"/>
    <n v="1"/>
    <n v="180"/>
    <n v="105.31"/>
    <n v="18955.8"/>
    <n v="0"/>
    <n v="-1895.580195"/>
    <n v="2217.828184"/>
    <n v="19278.047988999999"/>
  </r>
  <r>
    <x v="115"/>
    <x v="9"/>
    <s v="Q4"/>
    <x v="0"/>
    <s v="KEPL/01841/82-83"/>
    <s v="BHAT BHATENI SUPERMARKET &amp; DEPARTMENTAL STORE PVT. LTD."/>
    <s v="Straight Pouch"/>
    <x v="3"/>
    <n v="1"/>
    <n v="40"/>
    <n v="360.53"/>
    <n v="14421.199999999999"/>
    <n v="0"/>
    <n v="-1442.1201490000001"/>
    <n v="1687.2800829999999"/>
    <n v="14666.359934"/>
  </r>
  <r>
    <x v="115"/>
    <x v="9"/>
    <s v="Q4"/>
    <x v="0"/>
    <s v="KEPL/01841/82-83"/>
    <s v="BHAT BHATENI SUPERMARKET &amp; DEPARTMENTAL STORE PVT. LTD."/>
    <s v="Blends"/>
    <x v="10"/>
    <n v="1"/>
    <n v="180"/>
    <n v="55.75"/>
    <n v="10035"/>
    <n v="0"/>
    <n v="-1003.5001030000001"/>
    <n v="1174.0947800000001"/>
    <n v="10205.594676999999"/>
  </r>
  <r>
    <x v="115"/>
    <x v="9"/>
    <s v="Q4"/>
    <x v="0"/>
    <s v="KEPL/01841/82-83"/>
    <s v="BHAT BHATENI SUPERMARKET &amp; DEPARTMENTAL STORE PVT. LTD."/>
    <s v="Sprinkler"/>
    <x v="46"/>
    <n v="1"/>
    <n v="100"/>
    <n v="89.82"/>
    <n v="8982"/>
    <n v="0"/>
    <n v="-898.20009299999992"/>
    <n v="1050.8938029999999"/>
    <n v="9134.6937099999996"/>
  </r>
  <r>
    <x v="115"/>
    <x v="9"/>
    <s v="Q4"/>
    <x v="0"/>
    <s v="KEPL/01841/82-83"/>
    <s v="BHAT BHATENI SUPERMARKET &amp; DEPARTMENTAL STORE PVT. LTD."/>
    <s v="Straight Premium"/>
    <x v="34"/>
    <n v="1"/>
    <n v="80"/>
    <n v="210.62"/>
    <n v="16849.599999999999"/>
    <n v="0"/>
    <n v="-1684.9601740000001"/>
    <n v="1971.40283"/>
    <n v="17136.042656000001"/>
  </r>
  <r>
    <x v="115"/>
    <x v="9"/>
    <s v="Q4"/>
    <x v="0"/>
    <s v="KEPL/01841/82-83"/>
    <s v="BHAT BHATENI SUPERMARKET &amp; DEPARTMENTAL STORE PVT. LTD."/>
    <s v="Blends"/>
    <x v="17"/>
    <n v="1"/>
    <n v="180"/>
    <n v="108.41"/>
    <n v="19513.8"/>
    <n v="0"/>
    <n v="-1951.3802009999999"/>
    <n v="2283.1141710000002"/>
    <n v="19845.53397"/>
  </r>
  <r>
    <x v="115"/>
    <x v="9"/>
    <s v="Q4"/>
    <x v="0"/>
    <s v="KEPL/01841/82-83"/>
    <s v="BHAT BHATENI SUPERMARKET &amp; DEPARTMENTAL STORE PVT. LTD."/>
    <s v="Blends"/>
    <x v="32"/>
    <n v="1"/>
    <n v="120"/>
    <n v="58.85"/>
    <n v="7062.0000000000009"/>
    <n v="0"/>
    <n v="-706.20007299999997"/>
    <n v="826.25384499999996"/>
    <n v="7182.0537720000002"/>
  </r>
  <r>
    <x v="115"/>
    <x v="9"/>
    <s v="Q4"/>
    <x v="0"/>
    <s v="KEPL/01841/82-83"/>
    <s v="BHAT BHATENI SUPERMARKET &amp; DEPARTMENTAL STORE PVT. LTD."/>
    <s v="Blends"/>
    <x v="2"/>
    <n v="1"/>
    <n v="180"/>
    <n v="56.99"/>
    <n v="10258.200000000001"/>
    <n v="0"/>
    <n v="-1025.8201059999999"/>
    <n v="1200.209175"/>
    <n v="10432.589069"/>
  </r>
  <r>
    <x v="115"/>
    <x v="9"/>
    <s v="Q4"/>
    <x v="0"/>
    <s v="KEPL/01841/82-83"/>
    <s v="BHAT BHATENI SUPERMARKET &amp; DEPARTMENTAL STORE PVT. LTD."/>
    <s v="Blends"/>
    <x v="27"/>
    <n v="1"/>
    <n v="120"/>
    <n v="105.31"/>
    <n v="12637.199999999999"/>
    <n v="0"/>
    <n v="-1263.7201300000002"/>
    <n v="1478.5521219999998"/>
    <n v="12852.031992"/>
  </r>
  <r>
    <x v="115"/>
    <x v="9"/>
    <s v="Q4"/>
    <x v="0"/>
    <s v="KEPL/01842/82-83"/>
    <s v="BHAT BHATENI SUPERMARKET &amp; DEPARTMENTAL STORE PVT. LTD."/>
    <s v="Straight Premium"/>
    <x v="28"/>
    <n v="1"/>
    <n v="80"/>
    <n v="154.87"/>
    <n v="12389.6"/>
    <n v="0"/>
    <n v="-1238.96"/>
    <n v="1449.582942"/>
    <n v="12600.222942"/>
  </r>
  <r>
    <x v="115"/>
    <x v="9"/>
    <s v="Q4"/>
    <x v="0"/>
    <s v="KEPL/01842/82-83"/>
    <s v="BHAT BHATENI SUPERMARKET &amp; DEPARTMENTAL STORE PVT. LTD."/>
    <s v="Sprinkler"/>
    <x v="26"/>
    <n v="1"/>
    <n v="72"/>
    <n v="120.8"/>
    <n v="8697.6"/>
    <n v="0"/>
    <n v="-869.76"/>
    <n v="1017.619019"/>
    <n v="8845.4590189999999"/>
  </r>
  <r>
    <x v="115"/>
    <x v="9"/>
    <s v="Q4"/>
    <x v="0"/>
    <s v="KEPL/01842/82-83"/>
    <s v="BHAT BHATENI SUPERMARKET &amp; DEPARTMENTAL STORE PVT. LTD."/>
    <s v="Sprinkler"/>
    <x v="47"/>
    <n v="1"/>
    <n v="100"/>
    <n v="65.040000000000006"/>
    <n v="6504"/>
    <n v="0"/>
    <n v="-650.4"/>
    <n v="760.96786499999996"/>
    <n v="6614.567865"/>
  </r>
  <r>
    <x v="115"/>
    <x v="9"/>
    <s v="Q4"/>
    <x v="0"/>
    <s v="KEPL/01842/82-83"/>
    <s v="BHAT BHATENI SUPERMARKET &amp; DEPARTMENTAL STORE PVT. LTD."/>
    <s v="Straight Premium"/>
    <x v="5"/>
    <n v="1"/>
    <n v="180"/>
    <n v="74.34"/>
    <n v="13381.199999999999"/>
    <n v="0"/>
    <n v="-1338.12"/>
    <n v="1565.6001219999998"/>
    <n v="13608.680122"/>
  </r>
  <r>
    <x v="115"/>
    <x v="9"/>
    <s v="Q4"/>
    <x v="0"/>
    <s v="KEPL/01842/82-83"/>
    <s v="BHAT BHATENI SUPERMARKET &amp; DEPARTMENTAL STORE PVT. LTD."/>
    <s v="Blends"/>
    <x v="18"/>
    <n v="1"/>
    <n v="120"/>
    <n v="136.28"/>
    <n v="16353.6"/>
    <n v="0"/>
    <n v="-1635.36"/>
    <n v="1913.37086"/>
    <n v="16631.610860000001"/>
  </r>
  <r>
    <x v="115"/>
    <x v="9"/>
    <s v="Q4"/>
    <x v="0"/>
    <s v="KEPL/01842/82-83"/>
    <s v="BHAT BHATENI SUPERMARKET &amp; DEPARTMENTAL STORE PVT. LTD."/>
    <s v="Straight Premium"/>
    <x v="33"/>
    <n v="1"/>
    <n v="180"/>
    <n v="83.63"/>
    <n v="15053.4"/>
    <n v="0"/>
    <n v="-1505.3400000000001"/>
    <n v="1761.2474870000001"/>
    <n v="15309.307487"/>
  </r>
  <r>
    <x v="115"/>
    <x v="9"/>
    <s v="Q4"/>
    <x v="0"/>
    <s v="KEPL/01842/82-83"/>
    <s v="BHAT BHATENI SUPERMARKET &amp; DEPARTMENTAL STORE PVT. LTD."/>
    <s v="Blends"/>
    <x v="39"/>
    <n v="1"/>
    <n v="180"/>
    <n v="76.81"/>
    <n v="13825.800000000001"/>
    <n v="0"/>
    <n v="-1382.58"/>
    <n v="1617.6183120000001"/>
    <n v="14060.838312"/>
  </r>
  <r>
    <x v="115"/>
    <x v="9"/>
    <s v="Q4"/>
    <x v="0"/>
    <s v="KEPL/01842/82-83"/>
    <s v="BHAT BHATENI SUPERMARKET &amp; DEPARTMENTAL STORE PVT. LTD."/>
    <s v="Blends"/>
    <x v="9"/>
    <n v="1"/>
    <n v="180"/>
    <n v="65.040000000000006"/>
    <n v="11707.2"/>
    <n v="0"/>
    <n v="-1170.72"/>
    <n v="1369.742156"/>
    <n v="11906.222156"/>
  </r>
  <r>
    <x v="115"/>
    <x v="9"/>
    <s v="Q4"/>
    <x v="0"/>
    <s v="KEPL/01842/82-83"/>
    <s v="BHAT BHATENI SUPERMARKET &amp; DEPARTMENTAL STORE PVT. LTD."/>
    <s v="Blends"/>
    <x v="11"/>
    <n v="0.5"/>
    <n v="90"/>
    <n v="56.99"/>
    <n v="5129.1000000000004"/>
    <n v="0"/>
    <n v="-512.91"/>
    <n v="600.10459300000002"/>
    <n v="5216.2945929999996"/>
  </r>
  <r>
    <x v="115"/>
    <x v="9"/>
    <s v="Q4"/>
    <x v="0"/>
    <s v="KEPL/01842/82-83"/>
    <s v="BHAT BHATENI SUPERMARKET &amp; DEPARTMENTAL STORE PVT. LTD."/>
    <s v="Straight Pouch"/>
    <x v="4"/>
    <n v="1"/>
    <n v="40"/>
    <n v="238.5"/>
    <n v="9539.9999999999982"/>
    <n v="0"/>
    <n v="-954"/>
    <n v="1116.179801"/>
    <n v="9702.1798010000002"/>
  </r>
  <r>
    <x v="115"/>
    <x v="9"/>
    <s v="Q4"/>
    <x v="0"/>
    <s v="KEPL/01842/82-83"/>
    <s v="BHAT BHATENI SUPERMARKET &amp; DEPARTMENTAL STORE PVT. LTD."/>
    <s v="Blends"/>
    <x v="16"/>
    <n v="1"/>
    <n v="120"/>
    <n v="108.41"/>
    <n v="13009.2"/>
    <n v="0"/>
    <n v="-1300.92"/>
    <n v="1522.076129"/>
    <n v="13230.356129"/>
  </r>
  <r>
    <x v="115"/>
    <x v="9"/>
    <s v="Q4"/>
    <x v="0"/>
    <s v="KEPL/01842/82-83"/>
    <s v="BHAT BHATENI SUPERMARKET &amp; DEPARTMENTAL STORE PVT. LTD."/>
    <s v="Straight Premium"/>
    <x v="23"/>
    <n v="1"/>
    <n v="180"/>
    <n v="145.58000000000001"/>
    <n v="26204.399999999998"/>
    <n v="0"/>
    <n v="-2620.44"/>
    <n v="3065.9142549999997"/>
    <n v="26649.874254999999"/>
  </r>
  <r>
    <x v="115"/>
    <x v="9"/>
    <s v="Q4"/>
    <x v="0"/>
    <s v="KEPL/01842/82-83"/>
    <s v="BHAT BHATENI SUPERMARKET &amp; DEPARTMENTAL STORE PVT. LTD."/>
    <s v="Straight Pouch"/>
    <x v="1"/>
    <n v="1"/>
    <n v="100"/>
    <n v="99.12"/>
    <n v="9912"/>
    <n v="0"/>
    <n v="-991.2"/>
    <n v="1159.703794"/>
    <n v="10080.503794"/>
  </r>
  <r>
    <x v="115"/>
    <x v="9"/>
    <s v="Q4"/>
    <x v="0"/>
    <s v="KEPL/01842/82-83"/>
    <s v="BHAT BHATENI SUPERMARKET &amp; DEPARTMENTAL STORE PVT. LTD."/>
    <s v="Blends"/>
    <x v="42"/>
    <n v="1"/>
    <n v="120"/>
    <n v="86.73"/>
    <n v="10407.6"/>
    <n v="0"/>
    <n v="-1040.76"/>
    <n v="1217.688983"/>
    <n v="10584.528983"/>
  </r>
  <r>
    <x v="115"/>
    <x v="9"/>
    <s v="Q4"/>
    <x v="0"/>
    <s v="KEPL/01842/82-83"/>
    <s v="BHAT BHATENI SUPERMARKET &amp; DEPARTMENTAL STORE PVT. LTD."/>
    <s v="Blends"/>
    <x v="0"/>
    <n v="1"/>
    <n v="180"/>
    <n v="56.99"/>
    <n v="10258.200000000001"/>
    <n v="0"/>
    <n v="-1025.82"/>
    <n v="1200.2091869999999"/>
    <n v="10432.589187"/>
  </r>
  <r>
    <x v="115"/>
    <x v="9"/>
    <s v="Q4"/>
    <x v="0"/>
    <s v="KEPL/01842/82-83"/>
    <s v="BHAT BHATENI SUPERMARKET &amp; DEPARTMENTAL STORE PVT. LTD."/>
    <s v="Blends"/>
    <x v="20"/>
    <n v="1"/>
    <n v="120"/>
    <n v="108.41"/>
    <n v="13009.2"/>
    <n v="0"/>
    <n v="-1300.92"/>
    <n v="1522.076129"/>
    <n v="13230.356129"/>
  </r>
  <r>
    <x v="115"/>
    <x v="9"/>
    <s v="Q4"/>
    <x v="0"/>
    <s v="KEPL/01842/82-83"/>
    <s v="BHAT BHATENI SUPERMARKET &amp; DEPARTMENTAL STORE PVT. LTD."/>
    <s v="Blends"/>
    <x v="14"/>
    <n v="1"/>
    <n v="180"/>
    <n v="123.89"/>
    <n v="22300.2"/>
    <n v="0"/>
    <n v="-2230.02"/>
    <n v="2609.1229360000002"/>
    <n v="22679.302936"/>
  </r>
  <r>
    <x v="115"/>
    <x v="9"/>
    <s v="Q4"/>
    <x v="0"/>
    <s v="KEPL/01842/82-83"/>
    <s v="BHAT BHATENI SUPERMARKET &amp; DEPARTMENTAL STORE PVT. LTD."/>
    <s v="Combo"/>
    <x v="43"/>
    <n v="1"/>
    <n v="60"/>
    <n v="136.28"/>
    <n v="8176.8"/>
    <n v="0"/>
    <n v="-817.68"/>
    <n v="956.68543"/>
    <n v="8315.8054300000003"/>
  </r>
  <r>
    <x v="115"/>
    <x v="9"/>
    <s v="Q4"/>
    <x v="0"/>
    <s v="KEPL/01843/82-83"/>
    <s v="BHAT BHATENI SUPERMARKET &amp; DEPARTMENTAL STORE PVT. LTD."/>
    <s v="Blends"/>
    <x v="19"/>
    <n v="1"/>
    <n v="180"/>
    <n v="142.47999999999999"/>
    <n v="25646.399999999998"/>
    <n v="0"/>
    <n v="-2564.6402320000002"/>
    <n v="3000.6285720000001"/>
    <n v="26082.388340000001"/>
  </r>
  <r>
    <x v="115"/>
    <x v="9"/>
    <s v="Q4"/>
    <x v="0"/>
    <s v="KEPL/01843/82-83"/>
    <s v="BHAT BHATENI SUPERMARKET &amp; DEPARTMENTAL STORE PVT. LTD."/>
    <s v="Blends"/>
    <x v="48"/>
    <n v="1"/>
    <n v="180"/>
    <n v="74.34"/>
    <n v="13381.199999999999"/>
    <n v="0"/>
    <n v="-1338.1201209999999"/>
    <n v="1565.600281"/>
    <n v="13608.68016"/>
  </r>
  <r>
    <x v="115"/>
    <x v="9"/>
    <s v="Q4"/>
    <x v="0"/>
    <s v="KEPL/01843/82-83"/>
    <s v="BHAT BHATENI SUPERMARKET &amp; DEPARTMENTAL STORE PVT. LTD."/>
    <s v="Blends"/>
    <x v="17"/>
    <n v="1"/>
    <n v="180"/>
    <n v="108.41"/>
    <n v="19513.8"/>
    <n v="0"/>
    <n v="-1951.3801770000002"/>
    <n v="2283.114427"/>
    <n v="19845.534250000001"/>
  </r>
  <r>
    <x v="115"/>
    <x v="9"/>
    <s v="Q4"/>
    <x v="0"/>
    <s v="KEPL/01843/82-83"/>
    <s v="BHAT BHATENI SUPERMARKET &amp; DEPARTMENTAL STORE PVT. LTD."/>
    <s v="Sprinkler"/>
    <x v="52"/>
    <n v="1"/>
    <n v="72"/>
    <n v="164.16"/>
    <n v="11819.52"/>
    <n v="0"/>
    <n v="-1181.9521069999998"/>
    <n v="1382.8837349999999"/>
    <n v="12020.451628000001"/>
  </r>
  <r>
    <x v="115"/>
    <x v="9"/>
    <s v="Q4"/>
    <x v="0"/>
    <s v="KEPL/01843/82-83"/>
    <s v="BHAT BHATENI SUPERMARKET &amp; DEPARTMENTAL STORE PVT. LTD."/>
    <s v="Blends"/>
    <x v="32"/>
    <n v="1"/>
    <n v="120"/>
    <n v="58.85"/>
    <n v="7062.0000000000009"/>
    <n v="0"/>
    <n v="-706.200064"/>
    <n v="826.25393699999995"/>
    <n v="7182.0538729999998"/>
  </r>
  <r>
    <x v="115"/>
    <x v="9"/>
    <s v="Q4"/>
    <x v="0"/>
    <s v="KEPL/01843/82-83"/>
    <s v="BHAT BHATENI SUPERMARKET &amp; DEPARTMENTAL STORE PVT. LTD."/>
    <s v="Blends"/>
    <x v="15"/>
    <n v="1"/>
    <n v="180"/>
    <n v="105.31"/>
    <n v="18955.8"/>
    <n v="0"/>
    <n v="-1895.5801719999999"/>
    <n v="2217.8284319999998"/>
    <n v="19278.04826"/>
  </r>
  <r>
    <x v="115"/>
    <x v="9"/>
    <s v="Q4"/>
    <x v="0"/>
    <s v="KEPL/01843/82-83"/>
    <s v="BHAT BHATENI SUPERMARKET &amp; DEPARTMENTAL STORE PVT. LTD."/>
    <s v="Sprinkler"/>
    <x v="46"/>
    <n v="1"/>
    <n v="100"/>
    <n v="89.82"/>
    <n v="8982"/>
    <n v="0"/>
    <n v="-898.20008099999995"/>
    <n v="1050.89392"/>
    <n v="9134.6938389999996"/>
  </r>
  <r>
    <x v="115"/>
    <x v="9"/>
    <s v="Q4"/>
    <x v="0"/>
    <s v="KEPL/01843/82-83"/>
    <s v="BHAT BHATENI SUPERMARKET &amp; DEPARTMENTAL STORE PVT. LTD."/>
    <s v="Straight Pouch"/>
    <x v="3"/>
    <n v="1"/>
    <n v="40"/>
    <n v="360.53"/>
    <n v="14421.199999999999"/>
    <n v="0"/>
    <n v="-1442.1201310000001"/>
    <n v="1687.280272"/>
    <n v="14666.360140999999"/>
  </r>
  <r>
    <x v="115"/>
    <x v="9"/>
    <s v="Q4"/>
    <x v="0"/>
    <s v="KEPL/01843/82-83"/>
    <s v="BHAT BHATENI SUPERMARKET &amp; DEPARTMENTAL STORE PVT. LTD."/>
    <s v="Blends"/>
    <x v="35"/>
    <n v="0.5"/>
    <n v="40"/>
    <n v="154.87"/>
    <n v="6194.8"/>
    <n v="0"/>
    <n v="-619.48005599999999"/>
    <n v="724.79154499999993"/>
    <n v="6300.1114889999999"/>
  </r>
  <r>
    <x v="115"/>
    <x v="9"/>
    <s v="Q4"/>
    <x v="0"/>
    <s v="KEPL/01843/82-83"/>
    <s v="BHAT BHATENI SUPERMARKET &amp; DEPARTMENTAL STORE PVT. LTD."/>
    <s v="Blends"/>
    <x v="2"/>
    <n v="1"/>
    <n v="180"/>
    <n v="56.99"/>
    <n v="10258.200000000001"/>
    <n v="0"/>
    <n v="-1025.820093"/>
    <n v="1200.2093090000001"/>
    <n v="10432.589216"/>
  </r>
  <r>
    <x v="115"/>
    <x v="9"/>
    <s v="Q4"/>
    <x v="0"/>
    <s v="KEPL/01843/82-83"/>
    <s v="BHAT BHATENI SUPERMARKET &amp; DEPARTMENTAL STORE PVT. LTD."/>
    <s v="Sprinkler"/>
    <x v="31"/>
    <n v="1"/>
    <n v="72"/>
    <n v="136.28"/>
    <n v="9812.16"/>
    <n v="0"/>
    <n v="-981.21608900000001"/>
    <n v="1148.022633"/>
    <n v="9978.9665440000008"/>
  </r>
  <r>
    <x v="115"/>
    <x v="9"/>
    <s v="Q4"/>
    <x v="0"/>
    <s v="KEPL/01843/82-83"/>
    <s v="BHAT BHATENI SUPERMARKET &amp; DEPARTMENTAL STORE PVT. LTD."/>
    <s v="Blends"/>
    <x v="40"/>
    <n v="0.5"/>
    <n v="60"/>
    <n v="71.239999999999995"/>
    <n v="4274.3999999999996"/>
    <n v="0"/>
    <n v="-427.44003899999996"/>
    <n v="500.10476200000005"/>
    <n v="4347.0647230000004"/>
  </r>
  <r>
    <x v="115"/>
    <x v="9"/>
    <s v="Q4"/>
    <x v="0"/>
    <s v="KEPL/01843/82-83"/>
    <s v="BHAT BHATENI SUPERMARKET &amp; DEPARTMENTAL STORE PVT. LTD."/>
    <s v="Straight Pouch"/>
    <x v="6"/>
    <n v="1"/>
    <n v="100"/>
    <n v="148.66999999999999"/>
    <n v="14867"/>
    <n v="0"/>
    <n v="-1486.7001349999998"/>
    <n v="1739.438868"/>
    <n v="15119.738733"/>
  </r>
  <r>
    <x v="115"/>
    <x v="9"/>
    <s v="Q4"/>
    <x v="0"/>
    <s v="KEPL/01843/82-83"/>
    <s v="BHAT BHATENI SUPERMARKET &amp; DEPARTMENTAL STORE PVT. LTD."/>
    <s v="Blends"/>
    <x v="10"/>
    <n v="1"/>
    <n v="180"/>
    <n v="55.75"/>
    <n v="10035"/>
    <n v="0"/>
    <n v="-1003.500091"/>
    <n v="1174.0949109999999"/>
    <n v="10205.59482"/>
  </r>
  <r>
    <x v="115"/>
    <x v="9"/>
    <s v="Q4"/>
    <x v="0"/>
    <s v="KEPL/01843/82-83"/>
    <s v="BHAT BHATENI SUPERMARKET &amp; DEPARTMENTAL STORE PVT. LTD."/>
    <s v="Straight Premium"/>
    <x v="34"/>
    <n v="1"/>
    <n v="80"/>
    <n v="210.62"/>
    <n v="16849.599999999999"/>
    <n v="0"/>
    <n v="-1684.960153"/>
    <n v="1971.4030499999999"/>
    <n v="17136.042896999999"/>
  </r>
  <r>
    <x v="115"/>
    <x v="9"/>
    <s v="Q4"/>
    <x v="0"/>
    <s v="KEPL/01843/82-83"/>
    <s v="BHAT BHATENI SUPERMARKET &amp; DEPARTMENTAL STORE PVT. LTD."/>
    <s v="Blends"/>
    <x v="37"/>
    <n v="1"/>
    <n v="180"/>
    <n v="89.82"/>
    <n v="16167.6"/>
    <n v="0"/>
    <n v="-1616.7601460000001"/>
    <n v="1891.6090570000001"/>
    <n v="16442.448910999999"/>
  </r>
  <r>
    <x v="115"/>
    <x v="9"/>
    <s v="Q4"/>
    <x v="0"/>
    <s v="KEPL/01843/82-83"/>
    <s v="BHAT BHATENI SUPERMARKET &amp; DEPARTMENTAL STORE PVT. LTD."/>
    <s v="Blends"/>
    <x v="27"/>
    <n v="1"/>
    <n v="120"/>
    <n v="105.31"/>
    <n v="12637.199999999999"/>
    <n v="0"/>
    <n v="-1263.720114"/>
    <n v="1478.5522880000001"/>
    <n v="12852.032174"/>
  </r>
  <r>
    <x v="115"/>
    <x v="9"/>
    <s v="Q4"/>
    <x v="0"/>
    <s v="KESR/0052/82-83"/>
    <s v="MEGA MART PVT.LTD"/>
    <s v="Blends"/>
    <x v="14"/>
    <n v="-0.67"/>
    <n v="-120"/>
    <n v="127.43"/>
    <n v="-15291.6"/>
    <n v="0"/>
    <n v="0"/>
    <n v="-1987.91"/>
    <n v="-17279.509999999998"/>
  </r>
  <r>
    <x v="116"/>
    <x v="9"/>
    <s v="Q4"/>
    <x v="0"/>
    <s v="KESR/0056/82-83"/>
    <s v="BEERA BARJEE INTERNATIONAL PVT.LTD"/>
    <s v="Blends"/>
    <x v="21"/>
    <n v="-1"/>
    <n v="-80"/>
    <n v="185.92"/>
    <n v="-14873.6"/>
    <n v="1352.01"/>
    <n v="0"/>
    <n v="-1757.8053220000002"/>
    <n v="-15279.395322"/>
  </r>
  <r>
    <x v="116"/>
    <x v="9"/>
    <s v="Q4"/>
    <x v="0"/>
    <s v="KESR/0056/82-83"/>
    <s v="BEERA BARJEE INTERNATIONAL PVT.LTD"/>
    <s v="Sprinkler"/>
    <x v="25"/>
    <n v="-1"/>
    <n v="-48"/>
    <n v="297.45999999999998"/>
    <n v="-14278.08"/>
    <n v="1297.8800000000001"/>
    <n v="0"/>
    <n v="-1687.4246780000001"/>
    <n v="-14667.624678"/>
  </r>
  <r>
    <x v="117"/>
    <x v="9"/>
    <s v="Q4"/>
    <x v="0"/>
    <s v="KEPL/01872/82-83"/>
    <s v="GORIN TRADING "/>
    <s v="Blends"/>
    <x v="18"/>
    <n v="1"/>
    <n v="120"/>
    <n v="148.72999999999999"/>
    <n v="17847.600000000002"/>
    <n v="-1622.3500000000001"/>
    <n v="0"/>
    <n v="2109.2809470000002"/>
    <n v="18334.530946999999"/>
  </r>
  <r>
    <x v="117"/>
    <x v="9"/>
    <s v="Q4"/>
    <x v="0"/>
    <s v="KEPL/01872/82-83"/>
    <s v="GORIN TRADING "/>
    <s v="Blends"/>
    <x v="48"/>
    <n v="1"/>
    <n v="180"/>
    <n v="81.13"/>
    <n v="14603.400000000001"/>
    <n v="-1327.45"/>
    <n v="0"/>
    <n v="1725.8722290000001"/>
    <n v="15001.822228999999"/>
  </r>
  <r>
    <x v="117"/>
    <x v="9"/>
    <s v="Q4"/>
    <x v="0"/>
    <s v="KEPL/01872/82-83"/>
    <s v="GORIN TRADING "/>
    <s v="Blends"/>
    <x v="2"/>
    <n v="1"/>
    <n v="180"/>
    <n v="64.23"/>
    <n v="11561.4"/>
    <n v="-1050.9299999999998"/>
    <n v="0"/>
    <n v="1366.3600940000001"/>
    <n v="11876.830094000001"/>
  </r>
  <r>
    <x v="117"/>
    <x v="9"/>
    <s v="Q4"/>
    <x v="0"/>
    <s v="KEPL/01872/82-83"/>
    <s v="GORIN TRADING "/>
    <s v="Blends"/>
    <x v="32"/>
    <n v="1"/>
    <n v="120"/>
    <n v="64.23"/>
    <n v="7707.5999999999995"/>
    <n v="-700.62"/>
    <n v="0"/>
    <n v="910.90672900000004"/>
    <n v="7917.8867289999998"/>
  </r>
  <r>
    <x v="117"/>
    <x v="9"/>
    <s v="Q4"/>
    <x v="0"/>
    <s v="KEPL/01875/82-83"/>
    <s v="MEGA MART PVT.LTD"/>
    <s v="Sprinkler"/>
    <x v="31"/>
    <n v="1.5"/>
    <n v="108"/>
    <n v="140.18"/>
    <n v="15139.44"/>
    <n v="0"/>
    <n v="0"/>
    <n v="1968.1299999999999"/>
    <n v="17107.57"/>
  </r>
  <r>
    <x v="118"/>
    <x v="9"/>
    <s v="Q4"/>
    <x v="0"/>
    <s v="KEPL/01901/82-83"/>
    <s v="BHAT BHATENI SUPERMARKET &amp; DEPARTMENTAL STORE PVT. LTD."/>
    <s v="Straight Pouch"/>
    <x v="4"/>
    <n v="4"/>
    <n v="160"/>
    <n v="238.5"/>
    <n v="38159.999999999993"/>
    <n v="0"/>
    <n v="0"/>
    <n v="4960.800193"/>
    <n v="43120.800193000003"/>
  </r>
  <r>
    <x v="118"/>
    <x v="9"/>
    <s v="Q4"/>
    <x v="0"/>
    <s v="KEPL/01901/82-83"/>
    <s v="BHAT BHATENI SUPERMARKET &amp; DEPARTMENTAL STORE PVT. LTD."/>
    <s v="Blends"/>
    <x v="14"/>
    <n v="2.5"/>
    <n v="450"/>
    <n v="123.89"/>
    <n v="55750.5"/>
    <n v="0"/>
    <n v="0"/>
    <n v="7247.5652820000005"/>
    <n v="62998.065282000003"/>
  </r>
  <r>
    <x v="118"/>
    <x v="9"/>
    <s v="Q4"/>
    <x v="0"/>
    <s v="KEPL/01901/82-83"/>
    <s v="BHAT BHATENI SUPERMARKET &amp; DEPARTMENTAL STORE PVT. LTD."/>
    <s v="Blends"/>
    <x v="16"/>
    <n v="1.58"/>
    <n v="190"/>
    <n v="108.41"/>
    <n v="20597.899999999998"/>
    <n v="0"/>
    <n v="0"/>
    <n v="2677.7271040000001"/>
    <n v="23275.627103999999"/>
  </r>
  <r>
    <x v="118"/>
    <x v="9"/>
    <s v="Q4"/>
    <x v="0"/>
    <s v="KEPL/01901/82-83"/>
    <s v="BHAT BHATENI SUPERMARKET &amp; DEPARTMENTAL STORE PVT. LTD."/>
    <s v="Blends"/>
    <x v="9"/>
    <n v="2.5"/>
    <n v="450"/>
    <n v="65.040000000000006"/>
    <n v="29268"/>
    <n v="0"/>
    <n v="0"/>
    <n v="3804.8401479999998"/>
    <n v="33072.840148000003"/>
  </r>
  <r>
    <x v="118"/>
    <x v="9"/>
    <s v="Q4"/>
    <x v="0"/>
    <s v="KEPL/01901/82-83"/>
    <s v="BHAT BHATENI SUPERMARKET &amp; DEPARTMENTAL STORE PVT. LTD."/>
    <s v="Straight Premium"/>
    <x v="33"/>
    <n v="0.22"/>
    <n v="40"/>
    <n v="83.63"/>
    <n v="3345.2"/>
    <n v="0"/>
    <n v="0"/>
    <n v="434.87601699999999"/>
    <n v="3780.0760169999999"/>
  </r>
  <r>
    <x v="118"/>
    <x v="9"/>
    <s v="Q4"/>
    <x v="0"/>
    <s v="KEPL/01901/82-83"/>
    <s v="BHAT BHATENI SUPERMARKET &amp; DEPARTMENTAL STORE PVT. LTD."/>
    <s v="Blends"/>
    <x v="20"/>
    <n v="3.75"/>
    <n v="450"/>
    <n v="108.41"/>
    <n v="48784.5"/>
    <n v="0"/>
    <n v="0"/>
    <n v="6341.9852470000005"/>
    <n v="55126.485246999997"/>
  </r>
  <r>
    <x v="118"/>
    <x v="9"/>
    <s v="Q4"/>
    <x v="0"/>
    <s v="KEPL/01901/82-83"/>
    <s v="BHAT BHATENI SUPERMARKET &amp; DEPARTMENTAL STORE PVT. LTD."/>
    <s v="Straight Premium"/>
    <x v="5"/>
    <n v="1"/>
    <n v="180"/>
    <n v="74.34"/>
    <n v="13381.199999999999"/>
    <n v="0"/>
    <n v="0"/>
    <n v="1739.5560680000001"/>
    <n v="15120.756068000001"/>
  </r>
  <r>
    <x v="118"/>
    <x v="9"/>
    <s v="Q4"/>
    <x v="0"/>
    <s v="KEPL/01901/82-83"/>
    <s v="BHAT BHATENI SUPERMARKET &amp; DEPARTMENTAL STORE PVT. LTD."/>
    <s v="Blends"/>
    <x v="15"/>
    <n v="1"/>
    <n v="180"/>
    <n v="105.31"/>
    <n v="18955.8"/>
    <n v="0"/>
    <n v="0"/>
    <n v="2464.2540960000001"/>
    <n v="21420.054096"/>
  </r>
  <r>
    <x v="118"/>
    <x v="9"/>
    <s v="Q4"/>
    <x v="0"/>
    <s v="KEPL/01901/82-83"/>
    <s v="BHAT BHATENI SUPERMARKET &amp; DEPARTMENTAL STORE PVT. LTD."/>
    <s v="Straight Pouch"/>
    <x v="1"/>
    <n v="2.4"/>
    <n v="240"/>
    <n v="99.12"/>
    <n v="23788.799999999999"/>
    <n v="0"/>
    <n v="0"/>
    <n v="3092.54412"/>
    <n v="26881.344120000002"/>
  </r>
  <r>
    <x v="118"/>
    <x v="9"/>
    <s v="Q4"/>
    <x v="0"/>
    <s v="KEPL/01901/82-83"/>
    <s v="BHAT BHATENI SUPERMARKET &amp; DEPARTMENTAL STORE PVT. LTD."/>
    <s v="Blends"/>
    <x v="42"/>
    <n v="0.33"/>
    <n v="40"/>
    <n v="86.73"/>
    <n v="3469.2"/>
    <n v="0"/>
    <n v="0"/>
    <n v="450.99601799999999"/>
    <n v="3920.1960180000001"/>
  </r>
  <r>
    <x v="118"/>
    <x v="9"/>
    <s v="Q4"/>
    <x v="0"/>
    <s v="KEPL/01901/82-83"/>
    <s v="BHAT BHATENI SUPERMARKET &amp; DEPARTMENTAL STORE PVT. LTD."/>
    <s v="Sprinkler"/>
    <x v="52"/>
    <n v="0.57999999999999996"/>
    <n v="42"/>
    <n v="164.16"/>
    <n v="6894.72"/>
    <n v="0"/>
    <n v="0"/>
    <n v="896.31363500000009"/>
    <n v="7791.0336349999998"/>
  </r>
  <r>
    <x v="118"/>
    <x v="9"/>
    <s v="Q4"/>
    <x v="0"/>
    <s v="KEPL/01901/82-83"/>
    <s v="BHAT BHATENI SUPERMARKET &amp; DEPARTMENTAL STORE PVT. LTD."/>
    <s v="Sprinkler"/>
    <x v="46"/>
    <n v="1"/>
    <n v="100"/>
    <n v="89.82"/>
    <n v="8982"/>
    <n v="0"/>
    <n v="0"/>
    <n v="1167.6600450000001"/>
    <n v="10149.660045000001"/>
  </r>
  <r>
    <x v="118"/>
    <x v="9"/>
    <s v="Q4"/>
    <x v="0"/>
    <s v="KEPL/01901/82-83"/>
    <s v="BHAT BHATENI SUPERMARKET &amp; DEPARTMENTAL STORE PVT. LTD."/>
    <s v="Blends"/>
    <x v="17"/>
    <n v="2"/>
    <n v="360"/>
    <n v="108.41"/>
    <n v="39027.599999999999"/>
    <n v="0"/>
    <n v="0"/>
    <n v="5073.5881980000004"/>
    <n v="44101.188198000003"/>
  </r>
  <r>
    <x v="118"/>
    <x v="9"/>
    <s v="Q4"/>
    <x v="0"/>
    <s v="KEPL/01901/82-83"/>
    <s v="BHAT BHATENI SUPERMARKET &amp; DEPARTMENTAL STORE PVT. LTD."/>
    <s v="Straight Pouch"/>
    <x v="6"/>
    <n v="1.5"/>
    <n v="150"/>
    <n v="148.66999999999999"/>
    <n v="22300.500000000004"/>
    <n v="0"/>
    <n v="0"/>
    <n v="2899.0651130000001"/>
    <n v="25199.565113000001"/>
  </r>
  <r>
    <x v="118"/>
    <x v="9"/>
    <s v="Q4"/>
    <x v="0"/>
    <s v="KEPL/01901/82-83"/>
    <s v="BHAT BHATENI SUPERMARKET &amp; DEPARTMENTAL STORE PVT. LTD."/>
    <s v="Straight Premium"/>
    <x v="23"/>
    <n v="2"/>
    <n v="360"/>
    <n v="145.58000000000001"/>
    <n v="52408.799999999996"/>
    <n v="0"/>
    <n v="0"/>
    <n v="6813.1442650000008"/>
    <n v="59221.944264999998"/>
  </r>
  <r>
    <x v="118"/>
    <x v="9"/>
    <s v="Q4"/>
    <x v="0"/>
    <s v="KEPL/01901/82-83"/>
    <s v="BHAT BHATENI SUPERMARKET &amp; DEPARTMENTAL STORE PVT. LTD."/>
    <s v="Blends"/>
    <x v="19"/>
    <n v="1.22"/>
    <n v="220"/>
    <n v="142.47999999999999"/>
    <n v="31345.600000000002"/>
    <n v="0"/>
    <n v="0"/>
    <n v="4074.9281590000001"/>
    <n v="35420.528159000001"/>
  </r>
  <r>
    <x v="118"/>
    <x v="9"/>
    <s v="Q4"/>
    <x v="0"/>
    <s v="KEPL/01901/82-83"/>
    <s v="BHAT BHATENI SUPERMARKET &amp; DEPARTMENTAL STORE PVT. LTD."/>
    <s v="Straight Pouch"/>
    <x v="3"/>
    <n v="1"/>
    <n v="40"/>
    <n v="360.53"/>
    <n v="14421.199999999999"/>
    <n v="0"/>
    <n v="0"/>
    <n v="1874.756073"/>
    <n v="16295.956072999999"/>
  </r>
  <r>
    <x v="118"/>
    <x v="9"/>
    <s v="Q4"/>
    <x v="0"/>
    <s v="KEPL/01901/82-83"/>
    <s v="BHAT BHATENI SUPERMARKET &amp; DEPARTMENTAL STORE PVT. LTD."/>
    <s v="Blends"/>
    <x v="10"/>
    <n v="2"/>
    <n v="360"/>
    <n v="55.75"/>
    <n v="20070"/>
    <n v="0"/>
    <n v="0"/>
    <n v="2609.1001019999999"/>
    <n v="22679.100102"/>
  </r>
  <r>
    <x v="118"/>
    <x v="9"/>
    <s v="Q4"/>
    <x v="0"/>
    <s v="KEPL/01901/82-83"/>
    <s v="BHAT BHATENI SUPERMARKET &amp; DEPARTMENTAL STORE PVT. LTD."/>
    <s v="Sprinkler"/>
    <x v="47"/>
    <n v="0.4"/>
    <n v="40"/>
    <n v="65.040000000000006"/>
    <n v="2601.6"/>
    <n v="0"/>
    <n v="0"/>
    <n v="338.20801299999999"/>
    <n v="2939.8080129999998"/>
  </r>
  <r>
    <x v="118"/>
    <x v="9"/>
    <s v="Q4"/>
    <x v="0"/>
    <s v="KEPL/01901/82-83"/>
    <s v="BHAT BHATENI SUPERMARKET &amp; DEPARTMENTAL STORE PVT. LTD."/>
    <s v="Blends"/>
    <x v="0"/>
    <n v="2"/>
    <n v="360"/>
    <n v="56.99"/>
    <n v="20516.400000000001"/>
    <n v="0"/>
    <n v="0"/>
    <n v="2667.1321040000003"/>
    <n v="23183.532104000002"/>
  </r>
  <r>
    <x v="118"/>
    <x v="9"/>
    <s v="Q4"/>
    <x v="0"/>
    <s v="KEPL/01902/82-83"/>
    <s v="BHAT BHATENI SUPERMARKET &amp; DEPARTMENTAL STORE PVT. LTD."/>
    <s v="Straight Pouch"/>
    <x v="12"/>
    <n v="4"/>
    <n v="160"/>
    <n v="308"/>
    <n v="49280"/>
    <s v=""/>
    <s v=""/>
    <s v=""/>
    <n v="49280"/>
  </r>
  <r>
    <x v="118"/>
    <x v="9"/>
    <s v="Q4"/>
    <x v="0"/>
    <s v="KEPL/01902/82-83"/>
    <s v="BHAT BHATENI SUPERMARKET &amp; DEPARTMENTAL STORE PVT. LTD."/>
    <s v="Straight Pouch"/>
    <x v="13"/>
    <n v="2.5"/>
    <n v="250"/>
    <n v="126"/>
    <n v="31500"/>
    <s v=""/>
    <s v=""/>
    <s v=""/>
    <n v="31500"/>
  </r>
  <r>
    <x v="118"/>
    <x v="9"/>
    <s v="Q4"/>
    <x v="0"/>
    <s v="KEPL/01903/82-83"/>
    <s v="BEERA BARJEE INTERNATIONAL PVT.LTD"/>
    <s v="Sprinkler"/>
    <x v="25"/>
    <n v="1"/>
    <n v="48"/>
    <n v="297.45999999999998"/>
    <n v="14278.08"/>
    <n v="-1297.8800000000001"/>
    <n v="0"/>
    <n v="1687.4262779999999"/>
    <n v="14667.626278"/>
  </r>
  <r>
    <x v="118"/>
    <x v="9"/>
    <s v="Q4"/>
    <x v="0"/>
    <s v="KEPL/01903/82-83"/>
    <s v="BEERA BARJEE INTERNATIONAL PVT.LTD"/>
    <s v="Blends"/>
    <x v="16"/>
    <n v="1"/>
    <n v="120"/>
    <n v="121.69"/>
    <n v="14602.800000000001"/>
    <n v="-1327.39"/>
    <n v="0"/>
    <n v="1725.803584"/>
    <n v="15001.213583999999"/>
  </r>
  <r>
    <x v="118"/>
    <x v="9"/>
    <s v="Q4"/>
    <x v="0"/>
    <s v="KEPL/01903/82-83"/>
    <s v="BEERA BARJEE INTERNATIONAL PVT.LTD"/>
    <s v="Blends"/>
    <x v="0"/>
    <n v="1"/>
    <n v="180"/>
    <n v="64.23"/>
    <n v="11561.4"/>
    <n v="-1050.9299999999998"/>
    <n v="0"/>
    <n v="1366.3613250000001"/>
    <n v="11876.831324999999"/>
  </r>
  <r>
    <x v="118"/>
    <x v="9"/>
    <s v="Q4"/>
    <x v="0"/>
    <s v="KEPL/01903/82-83"/>
    <s v="BEERA BARJEE INTERNATIONAL PVT.LTD"/>
    <s v="Straight Premium"/>
    <x v="23"/>
    <n v="1"/>
    <n v="180"/>
    <n v="182.53"/>
    <n v="32855.4"/>
    <n v="-2986.56"/>
    <n v="0"/>
    <n v="3882.9498400000002"/>
    <n v="33751.789839999998"/>
  </r>
  <r>
    <x v="118"/>
    <x v="9"/>
    <s v="Q4"/>
    <x v="0"/>
    <s v="KEPL/01903/82-83"/>
    <s v="BEERA BARJEE INTERNATIONAL PVT.LTD"/>
    <s v="Sprinkler"/>
    <x v="26"/>
    <n v="0.5"/>
    <n v="36"/>
    <n v="131.83000000000001"/>
    <n v="4745.88"/>
    <n v="-431.4"/>
    <n v="0"/>
    <n v="560.88249200000007"/>
    <n v="4875.3624920000002"/>
  </r>
  <r>
    <x v="118"/>
    <x v="9"/>
    <s v="Q4"/>
    <x v="0"/>
    <s v="KEPL/01903/82-83"/>
    <s v="BEERA BARJEE INTERNATIONAL PVT.LTD"/>
    <s v="Straight Pouch"/>
    <x v="4"/>
    <n v="1"/>
    <n v="40"/>
    <n v="260.27999999999997"/>
    <n v="10411.200000000001"/>
    <n v="-946.38"/>
    <n v="0"/>
    <n v="1230.4268030000001"/>
    <n v="10695.246803"/>
  </r>
  <r>
    <x v="118"/>
    <x v="9"/>
    <s v="Q4"/>
    <x v="0"/>
    <s v="KEPL/01903/82-83"/>
    <s v="BEERA BARJEE INTERNATIONAL PVT.LTD"/>
    <s v="Blends"/>
    <x v="10"/>
    <n v="1"/>
    <n v="180"/>
    <n v="60.84"/>
    <n v="10951.199999999999"/>
    <n v="-995.46"/>
    <n v="0"/>
    <n v="1294.2464129999998"/>
    <n v="11249.986413000001"/>
  </r>
  <r>
    <x v="118"/>
    <x v="9"/>
    <s v="Q4"/>
    <x v="0"/>
    <s v="KEPL/01903/82-83"/>
    <s v="BEERA BARJEE INTERNATIONAL PVT.LTD"/>
    <s v="Blends"/>
    <x v="32"/>
    <n v="1"/>
    <n v="120"/>
    <n v="64.23"/>
    <n v="7707.5999999999995"/>
    <n v="-700.62"/>
    <n v="0"/>
    <n v="910.90755000000001"/>
    <n v="7917.8875500000004"/>
  </r>
  <r>
    <x v="118"/>
    <x v="9"/>
    <s v="Q4"/>
    <x v="0"/>
    <s v="KEPL/01903/82-83"/>
    <s v="BEERA BARJEE INTERNATIONAL PVT.LTD"/>
    <s v="Straight Pouch"/>
    <x v="3"/>
    <n v="1"/>
    <n v="40"/>
    <n v="393.46"/>
    <n v="15738.4"/>
    <n v="-1430.6200000000001"/>
    <n v="0"/>
    <n v="1860.0117070000001"/>
    <n v="16167.791707"/>
  </r>
  <r>
    <x v="118"/>
    <x v="9"/>
    <s v="Q4"/>
    <x v="0"/>
    <s v="KEPL/01903/82-83"/>
    <s v="BEERA BARJEE INTERNATIONAL PVT.LTD"/>
    <s v="Straight Premium"/>
    <x v="5"/>
    <n v="1"/>
    <n v="180"/>
    <n v="94.65"/>
    <n v="17037"/>
    <n v="-1548.6599999999999"/>
    <n v="0"/>
    <n v="2013.4845319999999"/>
    <n v="17501.824531999999"/>
  </r>
  <r>
    <x v="118"/>
    <x v="9"/>
    <s v="Q4"/>
    <x v="0"/>
    <s v="KEPL/01903/82-83"/>
    <s v="BEERA BARJEE INTERNATIONAL PVT.LTD"/>
    <s v="Blends"/>
    <x v="2"/>
    <n v="1"/>
    <n v="180"/>
    <n v="64.23"/>
    <n v="11561.4"/>
    <n v="-1050.9299999999998"/>
    <n v="0"/>
    <n v="1366.3613250000001"/>
    <n v="11876.831324999999"/>
  </r>
  <r>
    <x v="118"/>
    <x v="9"/>
    <s v="Q4"/>
    <x v="0"/>
    <s v="KEPL/01903/82-83"/>
    <s v="BEERA BARJEE INTERNATIONAL PVT.LTD"/>
    <s v="Straight Pouch"/>
    <x v="1"/>
    <n v="1"/>
    <n v="100"/>
    <n v="108.17"/>
    <n v="10817"/>
    <n v="-983.2700000000001"/>
    <n v="0"/>
    <n v="1278.3851110000001"/>
    <n v="11112.115110999999"/>
  </r>
  <r>
    <x v="118"/>
    <x v="9"/>
    <s v="Q4"/>
    <x v="0"/>
    <s v="KEPL/01903/82-83"/>
    <s v="BEERA BARJEE INTERNATIONAL PVT.LTD"/>
    <s v="Blends"/>
    <x v="9"/>
    <n v="1"/>
    <n v="180"/>
    <n v="70.989999999999995"/>
    <n v="12778.2"/>
    <n v="-1161.54"/>
    <n v="0"/>
    <n v="1510.1660490000002"/>
    <n v="13126.826048999999"/>
  </r>
  <r>
    <x v="118"/>
    <x v="9"/>
    <s v="Q4"/>
    <x v="0"/>
    <s v="KEPL/01903/82-83"/>
    <s v="BEERA BARJEE INTERNATIONAL PVT.LTD"/>
    <s v="Blends"/>
    <x v="21"/>
    <n v="1"/>
    <n v="80"/>
    <n v="185.92"/>
    <n v="14873.6"/>
    <n v="-1352.01"/>
    <n v="0"/>
    <n v="1757.80699"/>
    <n v="15279.396989999999"/>
  </r>
  <r>
    <x v="119"/>
    <x v="9"/>
    <s v="Q4"/>
    <x v="0"/>
    <s v="KEPL/01907/82-83"/>
    <s v="DS SPICECO L &amp; D"/>
    <s v="Straight Pouch"/>
    <x v="1"/>
    <n v="0.02"/>
    <n v="2"/>
    <n v="108.17"/>
    <n v="216.34"/>
    <n v="-19.670000000000002"/>
    <n v="0"/>
    <n v="25.566976"/>
    <n v="222.236976"/>
  </r>
  <r>
    <x v="119"/>
    <x v="9"/>
    <s v="Q4"/>
    <x v="0"/>
    <s v="KEPL/01907/82-83"/>
    <s v="DS SPICECO L &amp; D"/>
    <s v="Cooking Paste"/>
    <x v="30"/>
    <n v="0.03"/>
    <n v="2"/>
    <n v="98.03"/>
    <n v="196.06"/>
    <n v="-17.82"/>
    <n v="0"/>
    <n v="23.171088000000001"/>
    <n v="201.41108800000001"/>
  </r>
  <r>
    <x v="119"/>
    <x v="9"/>
    <s v="Q4"/>
    <x v="0"/>
    <s v="KEPL/01907/82-83"/>
    <s v="DS SPICECO L &amp; D"/>
    <s v="Blends"/>
    <x v="14"/>
    <n v="0.01"/>
    <n v="1"/>
    <n v="135.21"/>
    <n v="135.21"/>
    <n v="-12.29"/>
    <n v="0"/>
    <n v="15.979521999999999"/>
    <n v="138.89952199999999"/>
  </r>
  <r>
    <x v="119"/>
    <x v="9"/>
    <s v="Q4"/>
    <x v="0"/>
    <s v="KEPL/01907/82-83"/>
    <s v="DS SPICECO L &amp; D"/>
    <s v="Straight Pouch"/>
    <x v="6"/>
    <n v="0.02"/>
    <n v="2"/>
    <n v="162.26"/>
    <n v="324.52"/>
    <n v="-29.5"/>
    <n v="0"/>
    <n v="38.352414000000003"/>
    <n v="333.37241399999999"/>
  </r>
  <r>
    <x v="119"/>
    <x v="9"/>
    <s v="Q4"/>
    <x v="0"/>
    <s v="KEPL/01910/82-83"/>
    <s v="DINESH TRADING HOUSE"/>
    <s v="Blends"/>
    <x v="18"/>
    <n v="0.5"/>
    <n v="60"/>
    <n v="148.72999999999999"/>
    <n v="8923.8000000000011"/>
    <n v="-811.17"/>
    <n v="0"/>
    <n v="1054.641768"/>
    <n v="9167.2717680000005"/>
  </r>
  <r>
    <x v="119"/>
    <x v="9"/>
    <s v="Q4"/>
    <x v="0"/>
    <s v="KEPL/01910/82-83"/>
    <s v="DINESH TRADING HOUSE"/>
    <s v="Blends"/>
    <x v="42"/>
    <n v="0.5"/>
    <n v="60"/>
    <n v="94.66"/>
    <n v="5679.6"/>
    <n v="-516.28"/>
    <n v="0"/>
    <n v="671.23151600000006"/>
    <n v="5834.5515160000004"/>
  </r>
  <r>
    <x v="119"/>
    <x v="9"/>
    <s v="Q4"/>
    <x v="0"/>
    <s v="KEPL/01910/82-83"/>
    <s v="DINESH TRADING HOUSE"/>
    <s v="Blends"/>
    <x v="40"/>
    <n v="0.25"/>
    <n v="30"/>
    <n v="77.75"/>
    <n v="2332.5"/>
    <n v="-212.02"/>
    <n v="0"/>
    <n v="275.66236500000002"/>
    <n v="2396.1423650000002"/>
  </r>
  <r>
    <x v="119"/>
    <x v="9"/>
    <s v="Q4"/>
    <x v="0"/>
    <s v="KEPL/01910/82-83"/>
    <s v="DINESH TRADING HOUSE"/>
    <s v="Straight Premium"/>
    <x v="33"/>
    <n v="0.17"/>
    <n v="30"/>
    <n v="91.27"/>
    <n v="2738.1"/>
    <n v="-248.89"/>
    <n v="0"/>
    <n v="323.59725900000001"/>
    <n v="2812.8072590000002"/>
  </r>
  <r>
    <x v="119"/>
    <x v="9"/>
    <s v="Q4"/>
    <x v="0"/>
    <s v="KEPL/01910/82-83"/>
    <s v="DINESH TRADING HOUSE"/>
    <s v="Blends"/>
    <x v="14"/>
    <n v="0.22"/>
    <n v="40"/>
    <n v="135.21"/>
    <n v="5408.4"/>
    <n v="-491.62"/>
    <n v="0"/>
    <n v="639.18131999999991"/>
    <n v="5555.9613200000003"/>
  </r>
  <r>
    <x v="119"/>
    <x v="9"/>
    <s v="Q4"/>
    <x v="0"/>
    <s v="KEPL/01910/82-83"/>
    <s v="DINESH TRADING HOUSE"/>
    <s v="Blends"/>
    <x v="2"/>
    <n v="1"/>
    <n v="180"/>
    <n v="64.23"/>
    <n v="11561.4"/>
    <n v="-1050.9299999999998"/>
    <n v="0"/>
    <n v="1366.3609290000002"/>
    <n v="11876.830929"/>
  </r>
  <r>
    <x v="119"/>
    <x v="9"/>
    <s v="Q4"/>
    <x v="0"/>
    <s v="KEPL/01910/82-83"/>
    <s v="DINESH TRADING HOUSE"/>
    <s v="Blends"/>
    <x v="37"/>
    <n v="0.5"/>
    <n v="90"/>
    <n v="98.03"/>
    <n v="8822.7000000000007"/>
    <n v="-801.98"/>
    <n v="0"/>
    <n v="1042.6934690000001"/>
    <n v="9063.4134689999992"/>
  </r>
  <r>
    <x v="119"/>
    <x v="9"/>
    <s v="Q4"/>
    <x v="0"/>
    <s v="KEPL/01910/82-83"/>
    <s v="DINESH TRADING HOUSE"/>
    <s v="Blends"/>
    <x v="0"/>
    <n v="0.5"/>
    <n v="90"/>
    <n v="64.23"/>
    <n v="5780.7"/>
    <n v="-525.47"/>
    <n v="0"/>
    <n v="683.17981399999996"/>
    <n v="5938.4098139999996"/>
  </r>
  <r>
    <x v="119"/>
    <x v="9"/>
    <s v="Q4"/>
    <x v="0"/>
    <s v="KEPL/01910/82-83"/>
    <s v="DINESH TRADING HOUSE"/>
    <s v="Blends"/>
    <x v="48"/>
    <n v="0.22"/>
    <n v="40"/>
    <n v="81.13"/>
    <n v="3245.2"/>
    <n v="-294.99"/>
    <n v="0"/>
    <n v="383.52725199999998"/>
    <n v="3333.7372519999999"/>
  </r>
  <r>
    <x v="119"/>
    <x v="9"/>
    <s v="Q4"/>
    <x v="0"/>
    <s v="KEPL/01910/82-83"/>
    <s v="DINESH TRADING HOUSE"/>
    <s v="Blends"/>
    <x v="32"/>
    <n v="0.5"/>
    <n v="60"/>
    <n v="64.23"/>
    <n v="3853.7999999999997"/>
    <n v="-350.31"/>
    <n v="0"/>
    <n v="455.453643"/>
    <n v="3958.9436430000001"/>
  </r>
  <r>
    <x v="119"/>
    <x v="9"/>
    <s v="Q4"/>
    <x v="0"/>
    <s v="KEPL/01910/82-83"/>
    <s v="DINESH TRADING HOUSE"/>
    <s v="Blends"/>
    <x v="10"/>
    <n v="0.22"/>
    <n v="40"/>
    <n v="60.84"/>
    <n v="2433.6"/>
    <n v="-221.21"/>
    <n v="0"/>
    <n v="287.61066399999999"/>
    <n v="2500.0006640000001"/>
  </r>
  <r>
    <x v="120"/>
    <x v="9"/>
    <s v="Q4"/>
    <x v="0"/>
    <s v="KEPL/01922/82-83"/>
    <s v="EMERALD TRADE LINK"/>
    <s v="Blends"/>
    <x v="32"/>
    <n v="1"/>
    <n v="120"/>
    <n v="64.23"/>
    <n v="7707.5999999999995"/>
    <n v="-700.62"/>
    <n v="0"/>
    <n v="910.91000000000008"/>
    <n v="7917.89"/>
  </r>
  <r>
    <x v="120"/>
    <x v="9"/>
    <s v="Q4"/>
    <x v="0"/>
    <s v="KEPL/01929/82-83"/>
    <s v="SAFAL MART PVT.LTD"/>
    <s v="Straight Premium"/>
    <x v="23"/>
    <n v="10"/>
    <n v="1800"/>
    <n v="182.53"/>
    <n v="328554"/>
    <n v="-29865.56"/>
    <n v="0"/>
    <n v="38829.497553999994"/>
    <n v="337517.937554"/>
  </r>
  <r>
    <x v="120"/>
    <x v="9"/>
    <s v="Q4"/>
    <x v="0"/>
    <s v="KEPL/01929/82-83"/>
    <s v="SAFAL MART PVT.LTD"/>
    <s v="Blends"/>
    <x v="19"/>
    <n v="1"/>
    <n v="180"/>
    <n v="155.49"/>
    <n v="27988.2"/>
    <n v="-2544.13"/>
    <n v="0"/>
    <n v="3307.7291300000002"/>
    <n v="28751.799129999999"/>
  </r>
  <r>
    <x v="120"/>
    <x v="9"/>
    <s v="Q4"/>
    <x v="0"/>
    <s v="KEPL/01929/82-83"/>
    <s v="SAFAL MART PVT.LTD"/>
    <s v="Blends"/>
    <x v="16"/>
    <n v="1"/>
    <n v="120"/>
    <n v="121.69"/>
    <n v="14602.800000000001"/>
    <n v="-1327.39"/>
    <n v="0"/>
    <n v="1725.803316"/>
    <n v="15001.213315999999"/>
  </r>
  <r>
    <x v="120"/>
    <x v="9"/>
    <s v="Q4"/>
    <x v="0"/>
    <s v="KEPL/01951/82-83"/>
    <s v="SHIVA SHAKTI CONCERN"/>
    <s v="Blends"/>
    <x v="18"/>
    <n v="1"/>
    <n v="120"/>
    <n v="148.72999999999999"/>
    <n v="17847.600000000002"/>
    <n v="-1622.3500000000001"/>
    <n v="0"/>
    <n v="2109.2823309999999"/>
    <n v="18334.532330999999"/>
  </r>
  <r>
    <x v="120"/>
    <x v="9"/>
    <s v="Q4"/>
    <x v="0"/>
    <s v="KEPL/01951/82-83"/>
    <s v="SHIVA SHAKTI CONCERN"/>
    <s v="Blends"/>
    <x v="0"/>
    <n v="1"/>
    <n v="180"/>
    <n v="62.21"/>
    <n v="11197.8"/>
    <n v="-1017.88"/>
    <n v="0"/>
    <n v="1323.389494"/>
    <n v="11503.309493999999"/>
  </r>
  <r>
    <x v="120"/>
    <x v="9"/>
    <s v="Q4"/>
    <x v="0"/>
    <s v="KEPL/01951/82-83"/>
    <s v="SHIVA SHAKTI CONCERN"/>
    <s v="Blends"/>
    <x v="20"/>
    <n v="0.5"/>
    <n v="60"/>
    <n v="118.3"/>
    <n v="7097.9999999999991"/>
    <n v="-645.20999999999992"/>
    <n v="0"/>
    <n v="838.86263300000007"/>
    <n v="7291.6526329999997"/>
  </r>
  <r>
    <x v="120"/>
    <x v="9"/>
    <s v="Q4"/>
    <x v="0"/>
    <s v="KEPL/01951/82-83"/>
    <s v="SHIVA SHAKTI CONCERN"/>
    <s v="Straight Premium"/>
    <x v="23"/>
    <n v="0.5"/>
    <n v="90"/>
    <n v="158.87"/>
    <n v="14298.3"/>
    <n v="-1299.72"/>
    <n v="0"/>
    <n v="1689.815265"/>
    <n v="14688.395264999999"/>
  </r>
  <r>
    <x v="120"/>
    <x v="9"/>
    <s v="Q4"/>
    <x v="0"/>
    <s v="KEPL/01951/82-83"/>
    <s v="SHIVA SHAKTI CONCERN"/>
    <s v="Blends"/>
    <x v="9"/>
    <n v="1"/>
    <n v="180"/>
    <n v="70.989999999999995"/>
    <n v="12778.2"/>
    <n v="-1161.54"/>
    <n v="0"/>
    <n v="1510.165679"/>
    <n v="13126.825679"/>
  </r>
  <r>
    <x v="120"/>
    <x v="9"/>
    <s v="Q4"/>
    <x v="0"/>
    <s v="KEPL/01951/82-83"/>
    <s v="SHIVA SHAKTI CONCERN"/>
    <s v="Blends"/>
    <x v="17"/>
    <n v="0.5"/>
    <n v="90"/>
    <n v="118.3"/>
    <n v="10647"/>
    <n v="-967.81"/>
    <n v="0"/>
    <n v="1258.2945990000001"/>
    <n v="10937.484598999999"/>
  </r>
  <r>
    <x v="120"/>
    <x v="9"/>
    <s v="Q4"/>
    <x v="0"/>
    <s v="KEPL/01952/82-83"/>
    <s v="SHIVA SHAKTI CONCERN"/>
    <s v="Straight Pouch"/>
    <x v="13"/>
    <n v="1"/>
    <n v="100"/>
    <n v="137.5"/>
    <n v="13750"/>
    <n v="-1249.8800000000001"/>
    <n v="0"/>
    <n v="0"/>
    <n v="12500.12"/>
  </r>
  <r>
    <x v="120"/>
    <x v="9"/>
    <s v="Q4"/>
    <x v="0"/>
    <s v="KEPL/01952/82-83"/>
    <s v="SHIVA SHAKTI CONCERN"/>
    <s v="Straight Pouch"/>
    <x v="12"/>
    <n v="1"/>
    <n v="40"/>
    <n v="336.13"/>
    <n v="13445.199999999999"/>
    <n v="-1222.1699999999998"/>
    <n v="0"/>
    <n v="0"/>
    <n v="12223.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0">
  <r>
    <x v="0"/>
    <x v="0"/>
    <x v="0"/>
    <x v="0"/>
    <s v="KEPL/02398/81-82"/>
    <s v="SURUWAT ENTERPRISES"/>
    <x v="0"/>
    <x v="0"/>
    <n v="1"/>
    <n v="180"/>
    <n v="64.23"/>
    <n v="11561.4"/>
    <n v="-443.96"/>
    <n v="0"/>
    <n v="1445.2674020000002"/>
    <n v="12562.707402"/>
  </r>
  <r>
    <x v="0"/>
    <x v="0"/>
    <x v="0"/>
    <x v="0"/>
    <s v="KEPL/02398/81-82"/>
    <s v="SURUWAT ENTERPRISES"/>
    <x v="1"/>
    <x v="1"/>
    <n v="1"/>
    <n v="100"/>
    <n v="108.17"/>
    <n v="10817"/>
    <n v="-415.37"/>
    <n v="0"/>
    <n v="1352.2120889999999"/>
    <n v="11753.842089"/>
  </r>
  <r>
    <x v="0"/>
    <x v="0"/>
    <x v="0"/>
    <x v="0"/>
    <s v="KEPL/02398/81-82"/>
    <s v="SURUWAT ENTERPRISES"/>
    <x v="0"/>
    <x v="2"/>
    <n v="2"/>
    <n v="360"/>
    <n v="64.23"/>
    <n v="23122.799999999999"/>
    <n v="-887.92"/>
    <n v="0"/>
    <n v="2890.5348040000003"/>
    <n v="25125.414804"/>
  </r>
  <r>
    <x v="0"/>
    <x v="0"/>
    <x v="0"/>
    <x v="0"/>
    <s v="KEPL/02398/81-82"/>
    <s v="SURUWAT ENTERPRISES"/>
    <x v="1"/>
    <x v="3"/>
    <n v="1"/>
    <n v="40"/>
    <n v="459.72"/>
    <n v="18388.8"/>
    <n v="-706.12999999999988"/>
    <n v="0"/>
    <n v="2298.747421"/>
    <n v="19981.417420999998"/>
  </r>
  <r>
    <x v="0"/>
    <x v="0"/>
    <x v="0"/>
    <x v="0"/>
    <s v="KEPL/02398/81-82"/>
    <s v="SURUWAT ENTERPRISES"/>
    <x v="1"/>
    <x v="4"/>
    <n v="1"/>
    <n v="40"/>
    <n v="260.27999999999997"/>
    <n v="10411.200000000001"/>
    <n v="-399.79"/>
    <n v="0"/>
    <n v="1301.4834820000001"/>
    <n v="11312.893481999999"/>
  </r>
  <r>
    <x v="0"/>
    <x v="0"/>
    <x v="0"/>
    <x v="0"/>
    <s v="KEPL/02398/81-82"/>
    <s v="SURUWAT ENTERPRISES"/>
    <x v="2"/>
    <x v="5"/>
    <n v="2"/>
    <n v="360"/>
    <n v="94.65"/>
    <n v="34074"/>
    <n v="-1308.44"/>
    <n v="0"/>
    <n v="4259.5233950000002"/>
    <n v="37025.083395000001"/>
  </r>
  <r>
    <x v="0"/>
    <x v="0"/>
    <x v="0"/>
    <x v="0"/>
    <s v="KEPL/02398/81-82"/>
    <s v="SURUWAT ENTERPRISES"/>
    <x v="1"/>
    <x v="6"/>
    <n v="1"/>
    <n v="100"/>
    <n v="189.3"/>
    <n v="18930"/>
    <n v="-726.91000000000008"/>
    <n v="0"/>
    <n v="2366.4020310000001"/>
    <n v="20569.492031000002"/>
  </r>
  <r>
    <x v="0"/>
    <x v="0"/>
    <x v="0"/>
    <x v="0"/>
    <s v="KEPL/02398/81-82"/>
    <s v="SURUWAT ENTERPRISES"/>
    <x v="2"/>
    <x v="7"/>
    <n v="2"/>
    <n v="240"/>
    <n v="152.11000000000001"/>
    <n v="36506.400000000001"/>
    <n v="-1401.85"/>
    <n v="0"/>
    <n v="4563.592138"/>
    <n v="39668.142138000003"/>
  </r>
  <r>
    <x v="0"/>
    <x v="0"/>
    <x v="0"/>
    <x v="0"/>
    <s v="KEPL/02398/81-82"/>
    <s v="SURUWAT ENTERPRISES"/>
    <x v="2"/>
    <x v="8"/>
    <n v="1"/>
    <n v="120"/>
    <n v="57.46"/>
    <n v="6895.2"/>
    <n v="-264.77999999999997"/>
    <n v="0"/>
    <n v="861.95471999999995"/>
    <n v="7492.3747199999998"/>
  </r>
  <r>
    <x v="0"/>
    <x v="0"/>
    <x v="0"/>
    <x v="0"/>
    <s v="KEPL/02398/81-82"/>
    <s v="SURUWAT ENTERPRISES"/>
    <x v="0"/>
    <x v="9"/>
    <n v="1"/>
    <n v="180"/>
    <n v="70.989999999999995"/>
    <n v="12778.2"/>
    <n v="-490.68"/>
    <n v="0"/>
    <n v="1597.377823"/>
    <n v="13884.897822999999"/>
  </r>
  <r>
    <x v="0"/>
    <x v="0"/>
    <x v="0"/>
    <x v="0"/>
    <s v="KEPL/02398/81-82"/>
    <s v="SURUWAT ENTERPRISES"/>
    <x v="0"/>
    <x v="10"/>
    <n v="1"/>
    <n v="180"/>
    <n v="60.84"/>
    <n v="10951.199999999999"/>
    <n v="-420.53"/>
    <n v="0"/>
    <n v="1368.9872909999999"/>
    <n v="11899.657291"/>
  </r>
  <r>
    <x v="0"/>
    <x v="0"/>
    <x v="0"/>
    <x v="0"/>
    <s v="KEPL/02398/81-82"/>
    <s v="SURUWAT ENTERPRISES"/>
    <x v="0"/>
    <x v="11"/>
    <n v="1"/>
    <n v="180"/>
    <n v="64.23"/>
    <n v="11561.4"/>
    <n v="-443.96"/>
    <n v="0"/>
    <n v="1445.2674020000002"/>
    <n v="12562.707402"/>
  </r>
  <r>
    <x v="0"/>
    <x v="0"/>
    <x v="0"/>
    <x v="0"/>
    <s v="KEPL/02399/81-82"/>
    <s v="AARYA TRADE LINK PVT.LTD"/>
    <x v="1"/>
    <x v="1"/>
    <n v="1"/>
    <n v="100"/>
    <n v="108.17"/>
    <n v="10817"/>
    <n v="-415.37"/>
    <n v="0"/>
    <n v="1352.2120889999999"/>
    <n v="11753.842089"/>
  </r>
  <r>
    <x v="0"/>
    <x v="0"/>
    <x v="0"/>
    <x v="0"/>
    <s v="KEPL/02399/81-82"/>
    <s v="AARYA TRADE LINK PVT.LTD"/>
    <x v="0"/>
    <x v="2"/>
    <n v="2"/>
    <n v="360"/>
    <n v="64.23"/>
    <n v="23122.799999999999"/>
    <n v="-887.92"/>
    <n v="0"/>
    <n v="2890.5348040000003"/>
    <n v="25125.414804"/>
  </r>
  <r>
    <x v="0"/>
    <x v="0"/>
    <x v="0"/>
    <x v="0"/>
    <s v="KEPL/02399/81-82"/>
    <s v="AARYA TRADE LINK PVT.LTD"/>
    <x v="0"/>
    <x v="10"/>
    <n v="1"/>
    <n v="180"/>
    <n v="60.84"/>
    <n v="10951.199999999999"/>
    <n v="-420.53"/>
    <n v="0"/>
    <n v="1368.9872909999999"/>
    <n v="11899.657291"/>
  </r>
  <r>
    <x v="0"/>
    <x v="0"/>
    <x v="0"/>
    <x v="0"/>
    <s v="KEPL/02399/81-82"/>
    <s v="AARYA TRADE LINK PVT.LTD"/>
    <x v="0"/>
    <x v="0"/>
    <n v="1"/>
    <n v="180"/>
    <n v="64.23"/>
    <n v="11561.4"/>
    <n v="-443.96"/>
    <n v="0"/>
    <n v="1445.2674020000002"/>
    <n v="12562.707402"/>
  </r>
  <r>
    <x v="0"/>
    <x v="0"/>
    <x v="0"/>
    <x v="0"/>
    <s v="KEPL/02399/81-82"/>
    <s v="AARYA TRADE LINK PVT.LTD"/>
    <x v="0"/>
    <x v="11"/>
    <n v="1"/>
    <n v="180"/>
    <n v="64.23"/>
    <n v="11561.4"/>
    <n v="-443.96"/>
    <n v="0"/>
    <n v="1445.2674020000002"/>
    <n v="12562.707402"/>
  </r>
  <r>
    <x v="0"/>
    <x v="0"/>
    <x v="0"/>
    <x v="0"/>
    <s v="KEPL/02399/81-82"/>
    <s v="AARYA TRADE LINK PVT.LTD"/>
    <x v="1"/>
    <x v="3"/>
    <n v="1"/>
    <n v="40"/>
    <n v="459.72"/>
    <n v="18388.8"/>
    <n v="-706.12999999999988"/>
    <n v="0"/>
    <n v="2298.747421"/>
    <n v="19981.417420999998"/>
  </r>
  <r>
    <x v="0"/>
    <x v="0"/>
    <x v="0"/>
    <x v="0"/>
    <s v="KEPL/02399/81-82"/>
    <s v="AARYA TRADE LINK PVT.LTD"/>
    <x v="1"/>
    <x v="4"/>
    <n v="1"/>
    <n v="40"/>
    <n v="260.27999999999997"/>
    <n v="10411.200000000001"/>
    <n v="-399.79"/>
    <n v="0"/>
    <n v="1301.4834820000001"/>
    <n v="11312.893481999999"/>
  </r>
  <r>
    <x v="0"/>
    <x v="0"/>
    <x v="0"/>
    <x v="0"/>
    <s v="KEPL/02399/81-82"/>
    <s v="AARYA TRADE LINK PVT.LTD"/>
    <x v="2"/>
    <x v="5"/>
    <n v="2"/>
    <n v="360"/>
    <n v="94.65"/>
    <n v="34074"/>
    <n v="-1308.44"/>
    <n v="0"/>
    <n v="4259.5233950000002"/>
    <n v="37025.083395000001"/>
  </r>
  <r>
    <x v="0"/>
    <x v="0"/>
    <x v="0"/>
    <x v="0"/>
    <s v="KEPL/02399/81-82"/>
    <s v="AARYA TRADE LINK PVT.LTD"/>
    <x v="1"/>
    <x v="6"/>
    <n v="1"/>
    <n v="100"/>
    <n v="189.3"/>
    <n v="18930"/>
    <n v="-726.91000000000008"/>
    <n v="0"/>
    <n v="2366.4020310000001"/>
    <n v="20569.492031000002"/>
  </r>
  <r>
    <x v="0"/>
    <x v="0"/>
    <x v="0"/>
    <x v="0"/>
    <s v="KEPL/02399/81-82"/>
    <s v="AARYA TRADE LINK PVT.LTD"/>
    <x v="0"/>
    <x v="9"/>
    <n v="1"/>
    <n v="180"/>
    <n v="70.989999999999995"/>
    <n v="12778.2"/>
    <n v="-490.68"/>
    <n v="0"/>
    <n v="1597.377823"/>
    <n v="13884.897822999999"/>
  </r>
  <r>
    <x v="0"/>
    <x v="0"/>
    <x v="0"/>
    <x v="0"/>
    <s v="KEPL/02399/81-82"/>
    <s v="AARYA TRADE LINK PVT.LTD"/>
    <x v="2"/>
    <x v="8"/>
    <n v="1"/>
    <n v="120"/>
    <n v="57.46"/>
    <n v="6895.2"/>
    <n v="-264.77999999999997"/>
    <n v="0"/>
    <n v="861.95471999999995"/>
    <n v="7492.3747199999998"/>
  </r>
  <r>
    <x v="0"/>
    <x v="0"/>
    <x v="0"/>
    <x v="0"/>
    <s v="KEPL/02399/81-82"/>
    <s v="AARYA TRADE LINK PVT.LTD"/>
    <x v="2"/>
    <x v="7"/>
    <n v="2"/>
    <n v="240"/>
    <n v="152.11000000000001"/>
    <n v="36506.400000000001"/>
    <n v="-1401.85"/>
    <n v="0"/>
    <n v="4563.592138"/>
    <n v="39668.142138000003"/>
  </r>
  <r>
    <x v="0"/>
    <x v="0"/>
    <x v="0"/>
    <x v="0"/>
    <s v="KEPL/02400/81-82"/>
    <s v="DURGA AND AAMOSH SUPPLIERS PVT.LTD"/>
    <x v="0"/>
    <x v="9"/>
    <n v="1"/>
    <n v="180"/>
    <n v="70.989999999999995"/>
    <n v="12778.2"/>
    <n v="-490.68"/>
    <n v="0"/>
    <n v="1597.377823"/>
    <n v="13884.897822999999"/>
  </r>
  <r>
    <x v="0"/>
    <x v="0"/>
    <x v="0"/>
    <x v="0"/>
    <s v="KEPL/02400/81-82"/>
    <s v="DURGA AND AAMOSH SUPPLIERS PVT.LTD"/>
    <x v="0"/>
    <x v="0"/>
    <n v="1"/>
    <n v="180"/>
    <n v="64.23"/>
    <n v="11561.4"/>
    <n v="-443.96"/>
    <n v="0"/>
    <n v="1445.2674020000002"/>
    <n v="12562.707402"/>
  </r>
  <r>
    <x v="0"/>
    <x v="0"/>
    <x v="0"/>
    <x v="0"/>
    <s v="KEPL/02400/81-82"/>
    <s v="DURGA AND AAMOSH SUPPLIERS PVT.LTD"/>
    <x v="2"/>
    <x v="7"/>
    <n v="2"/>
    <n v="240"/>
    <n v="152.11000000000001"/>
    <n v="36506.400000000001"/>
    <n v="-1401.85"/>
    <n v="0"/>
    <n v="4563.592138"/>
    <n v="39668.142138000003"/>
  </r>
  <r>
    <x v="0"/>
    <x v="0"/>
    <x v="0"/>
    <x v="0"/>
    <s v="KEPL/02400/81-82"/>
    <s v="DURGA AND AAMOSH SUPPLIERS PVT.LTD"/>
    <x v="2"/>
    <x v="8"/>
    <n v="1"/>
    <n v="120"/>
    <n v="57.46"/>
    <n v="6895.2"/>
    <n v="-264.77999999999997"/>
    <n v="0"/>
    <n v="861.95471999999995"/>
    <n v="7492.3747199999998"/>
  </r>
  <r>
    <x v="0"/>
    <x v="0"/>
    <x v="0"/>
    <x v="0"/>
    <s v="KEPL/02400/81-82"/>
    <s v="DURGA AND AAMOSH SUPPLIERS PVT.LTD"/>
    <x v="1"/>
    <x v="6"/>
    <n v="1"/>
    <n v="100"/>
    <n v="189.3"/>
    <n v="18930"/>
    <n v="-726.91000000000008"/>
    <n v="0"/>
    <n v="2366.4020310000001"/>
    <n v="20569.492031000002"/>
  </r>
  <r>
    <x v="0"/>
    <x v="0"/>
    <x v="0"/>
    <x v="0"/>
    <s v="KEPL/02400/81-82"/>
    <s v="DURGA AND AAMOSH SUPPLIERS PVT.LTD"/>
    <x v="2"/>
    <x v="5"/>
    <n v="2"/>
    <n v="360"/>
    <n v="94.65"/>
    <n v="34074"/>
    <n v="-1308.44"/>
    <n v="0"/>
    <n v="4259.5233950000002"/>
    <n v="37025.083395000001"/>
  </r>
  <r>
    <x v="0"/>
    <x v="0"/>
    <x v="0"/>
    <x v="0"/>
    <s v="KEPL/02400/81-82"/>
    <s v="DURGA AND AAMOSH SUPPLIERS PVT.LTD"/>
    <x v="1"/>
    <x v="3"/>
    <n v="1"/>
    <n v="40"/>
    <n v="459.72"/>
    <n v="18388.8"/>
    <n v="-706.12999999999988"/>
    <n v="0"/>
    <n v="2298.747421"/>
    <n v="19981.417420999998"/>
  </r>
  <r>
    <x v="0"/>
    <x v="0"/>
    <x v="0"/>
    <x v="0"/>
    <s v="KEPL/02400/81-82"/>
    <s v="DURGA AND AAMOSH SUPPLIERS PVT.LTD"/>
    <x v="0"/>
    <x v="2"/>
    <n v="2"/>
    <n v="360"/>
    <n v="64.23"/>
    <n v="23122.799999999999"/>
    <n v="-887.92"/>
    <n v="0"/>
    <n v="2890.5348040000003"/>
    <n v="25125.414804"/>
  </r>
  <r>
    <x v="0"/>
    <x v="0"/>
    <x v="0"/>
    <x v="0"/>
    <s v="KEPL/02400/81-82"/>
    <s v="DURGA AND AAMOSH SUPPLIERS PVT.LTD"/>
    <x v="1"/>
    <x v="1"/>
    <n v="1"/>
    <n v="100"/>
    <n v="108.17"/>
    <n v="10817"/>
    <n v="-415.37"/>
    <n v="0"/>
    <n v="1352.2120889999999"/>
    <n v="11753.842089"/>
  </r>
  <r>
    <x v="0"/>
    <x v="0"/>
    <x v="0"/>
    <x v="0"/>
    <s v="KEPL/02400/81-82"/>
    <s v="DURGA AND AAMOSH SUPPLIERS PVT.LTD"/>
    <x v="0"/>
    <x v="10"/>
    <n v="1"/>
    <n v="180"/>
    <n v="60.84"/>
    <n v="10951.199999999999"/>
    <n v="-420.53"/>
    <n v="0"/>
    <n v="1368.9872909999999"/>
    <n v="11899.657291"/>
  </r>
  <r>
    <x v="0"/>
    <x v="0"/>
    <x v="0"/>
    <x v="0"/>
    <s v="KEPL/02400/81-82"/>
    <s v="DURGA AND AAMOSH SUPPLIERS PVT.LTD"/>
    <x v="0"/>
    <x v="11"/>
    <n v="1"/>
    <n v="180"/>
    <n v="64.23"/>
    <n v="11561.4"/>
    <n v="-443.96"/>
    <n v="0"/>
    <n v="1445.2674020000002"/>
    <n v="12562.707402"/>
  </r>
  <r>
    <x v="0"/>
    <x v="0"/>
    <x v="0"/>
    <x v="0"/>
    <s v="KEPL/02400/81-82"/>
    <s v="DURGA AND AAMOSH SUPPLIERS PVT.LTD"/>
    <x v="1"/>
    <x v="4"/>
    <n v="1"/>
    <n v="40"/>
    <n v="260.27999999999997"/>
    <n v="10411.200000000001"/>
    <n v="-399.79"/>
    <n v="0"/>
    <n v="1301.4834820000001"/>
    <n v="11312.893481999999"/>
  </r>
  <r>
    <x v="0"/>
    <x v="0"/>
    <x v="0"/>
    <x v="0"/>
    <s v="KEPL/02404/81-82"/>
    <s v="HAMRO KIRANA PASAL"/>
    <x v="0"/>
    <x v="10"/>
    <n v="1"/>
    <n v="180"/>
    <n v="60.84"/>
    <n v="10951.199999999999"/>
    <n v="-420.53"/>
    <n v="0"/>
    <n v="1368.9872909999999"/>
    <n v="11899.657291"/>
  </r>
  <r>
    <x v="0"/>
    <x v="0"/>
    <x v="0"/>
    <x v="0"/>
    <s v="KEPL/02404/81-82"/>
    <s v="HAMRO KIRANA PASAL"/>
    <x v="1"/>
    <x v="3"/>
    <n v="1"/>
    <n v="40"/>
    <n v="459.72"/>
    <n v="18388.8"/>
    <n v="-706.12999999999988"/>
    <n v="0"/>
    <n v="2298.747421"/>
    <n v="19981.417420999998"/>
  </r>
  <r>
    <x v="0"/>
    <x v="0"/>
    <x v="0"/>
    <x v="0"/>
    <s v="KEPL/02404/81-82"/>
    <s v="HAMRO KIRANA PASAL"/>
    <x v="0"/>
    <x v="2"/>
    <n v="2"/>
    <n v="360"/>
    <n v="64.23"/>
    <n v="23122.799999999999"/>
    <n v="-887.92"/>
    <n v="0"/>
    <n v="2890.5348040000003"/>
    <n v="25125.414804"/>
  </r>
  <r>
    <x v="0"/>
    <x v="0"/>
    <x v="0"/>
    <x v="0"/>
    <s v="KEPL/02404/81-82"/>
    <s v="HAMRO KIRANA PASAL"/>
    <x v="0"/>
    <x v="0"/>
    <n v="1"/>
    <n v="180"/>
    <n v="64.23"/>
    <n v="11561.4"/>
    <n v="-443.96"/>
    <n v="0"/>
    <n v="1445.2674020000002"/>
    <n v="12562.707402"/>
  </r>
  <r>
    <x v="0"/>
    <x v="0"/>
    <x v="0"/>
    <x v="0"/>
    <s v="KEPL/02404/81-82"/>
    <s v="HAMRO KIRANA PASAL"/>
    <x v="1"/>
    <x v="1"/>
    <n v="1"/>
    <n v="100"/>
    <n v="108.17"/>
    <n v="10817"/>
    <n v="-415.37"/>
    <n v="0"/>
    <n v="1352.2120889999999"/>
    <n v="11753.842089"/>
  </r>
  <r>
    <x v="0"/>
    <x v="0"/>
    <x v="0"/>
    <x v="0"/>
    <s v="KEPL/02404/81-82"/>
    <s v="HAMRO KIRANA PASAL"/>
    <x v="0"/>
    <x v="9"/>
    <n v="1"/>
    <n v="180"/>
    <n v="70.989999999999995"/>
    <n v="12778.2"/>
    <n v="-490.68"/>
    <n v="0"/>
    <n v="1597.377823"/>
    <n v="13884.897822999999"/>
  </r>
  <r>
    <x v="0"/>
    <x v="0"/>
    <x v="0"/>
    <x v="0"/>
    <s v="KEPL/02404/81-82"/>
    <s v="HAMRO KIRANA PASAL"/>
    <x v="1"/>
    <x v="4"/>
    <n v="1"/>
    <n v="40"/>
    <n v="260.27999999999997"/>
    <n v="10411.200000000001"/>
    <n v="-399.79"/>
    <n v="0"/>
    <n v="1301.4834820000001"/>
    <n v="11312.893481999999"/>
  </r>
  <r>
    <x v="0"/>
    <x v="0"/>
    <x v="0"/>
    <x v="0"/>
    <s v="KEPL/02404/81-82"/>
    <s v="HAMRO KIRANA PASAL"/>
    <x v="2"/>
    <x v="7"/>
    <n v="2"/>
    <n v="240"/>
    <n v="152.11000000000001"/>
    <n v="36506.400000000001"/>
    <n v="-1401.85"/>
    <n v="0"/>
    <n v="4563.592138"/>
    <n v="39668.142138000003"/>
  </r>
  <r>
    <x v="0"/>
    <x v="0"/>
    <x v="0"/>
    <x v="0"/>
    <s v="KEPL/02404/81-82"/>
    <s v="HAMRO KIRANA PASAL"/>
    <x v="0"/>
    <x v="11"/>
    <n v="1"/>
    <n v="180"/>
    <n v="64.23"/>
    <n v="11561.4"/>
    <n v="-443.96"/>
    <n v="0"/>
    <n v="1445.2674020000002"/>
    <n v="12562.707402"/>
  </r>
  <r>
    <x v="0"/>
    <x v="0"/>
    <x v="0"/>
    <x v="0"/>
    <s v="KEPL/02404/81-82"/>
    <s v="HAMRO KIRANA PASAL"/>
    <x v="2"/>
    <x v="8"/>
    <n v="1"/>
    <n v="120"/>
    <n v="57.46"/>
    <n v="6895.2"/>
    <n v="-264.77999999999997"/>
    <n v="0"/>
    <n v="861.95471999999995"/>
    <n v="7492.3747199999998"/>
  </r>
  <r>
    <x v="0"/>
    <x v="0"/>
    <x v="0"/>
    <x v="0"/>
    <s v="KEPL/02404/81-82"/>
    <s v="HAMRO KIRANA PASAL"/>
    <x v="1"/>
    <x v="6"/>
    <n v="1"/>
    <n v="100"/>
    <n v="189.3"/>
    <n v="18930"/>
    <n v="-726.91000000000008"/>
    <n v="0"/>
    <n v="2366.4020310000001"/>
    <n v="20569.492031000002"/>
  </r>
  <r>
    <x v="0"/>
    <x v="0"/>
    <x v="0"/>
    <x v="0"/>
    <s v="KEPL/02404/81-82"/>
    <s v="HAMRO KIRANA PASAL"/>
    <x v="2"/>
    <x v="5"/>
    <n v="2"/>
    <n v="360"/>
    <n v="94.65"/>
    <n v="34074"/>
    <n v="-1308.44"/>
    <n v="0"/>
    <n v="4259.5233950000002"/>
    <n v="37025.083395000001"/>
  </r>
  <r>
    <x v="0"/>
    <x v="0"/>
    <x v="0"/>
    <x v="0"/>
    <s v="KEPL/02405/81-82"/>
    <s v="HAMRO KIRANA PASAL"/>
    <x v="1"/>
    <x v="12"/>
    <n v="1"/>
    <n v="40"/>
    <n v="297.52"/>
    <n v="11900.8"/>
    <n v="-456.99"/>
    <n v="0"/>
    <n v="0"/>
    <n v="11443.81"/>
  </r>
  <r>
    <x v="0"/>
    <x v="0"/>
    <x v="0"/>
    <x v="0"/>
    <s v="KEPL/02405/81-82"/>
    <s v="HAMRO KIRANA PASAL"/>
    <x v="1"/>
    <x v="13"/>
    <n v="1"/>
    <n v="100"/>
    <n v="124.88"/>
    <n v="12488"/>
    <n v="-479.54"/>
    <n v="0"/>
    <n v="0"/>
    <n v="12008.46"/>
  </r>
  <r>
    <x v="0"/>
    <x v="0"/>
    <x v="0"/>
    <x v="0"/>
    <s v="KEPL/02406/81-82"/>
    <s v="SHIVA SHAKTI CONCERN"/>
    <x v="1"/>
    <x v="12"/>
    <n v="1"/>
    <n v="40"/>
    <n v="297.52"/>
    <n v="11900.8"/>
    <n v="-456.99"/>
    <n v="0"/>
    <n v="0"/>
    <n v="11443.81"/>
  </r>
  <r>
    <x v="0"/>
    <x v="0"/>
    <x v="0"/>
    <x v="0"/>
    <s v="KEPL/02406/81-82"/>
    <s v="SHIVA SHAKTI CONCERN"/>
    <x v="1"/>
    <x v="13"/>
    <n v="1"/>
    <n v="100"/>
    <n v="124.88"/>
    <n v="12488"/>
    <n v="-479.54"/>
    <n v="0"/>
    <n v="0"/>
    <n v="12008.46"/>
  </r>
  <r>
    <x v="0"/>
    <x v="0"/>
    <x v="0"/>
    <x v="0"/>
    <s v="KEPL/02407/81-82"/>
    <s v="SHIVA SHAKTI CONCERN"/>
    <x v="0"/>
    <x v="11"/>
    <n v="1"/>
    <n v="180"/>
    <n v="64.23"/>
    <n v="11561.4"/>
    <n v="-443.96"/>
    <n v="0"/>
    <n v="1445.2674020000002"/>
    <n v="12562.707402"/>
  </r>
  <r>
    <x v="0"/>
    <x v="0"/>
    <x v="0"/>
    <x v="0"/>
    <s v="KEPL/02407/81-82"/>
    <s v="SHIVA SHAKTI CONCERN"/>
    <x v="1"/>
    <x v="4"/>
    <n v="1"/>
    <n v="40"/>
    <n v="260.27999999999997"/>
    <n v="10411.200000000001"/>
    <n v="-399.79"/>
    <n v="0"/>
    <n v="1301.4834820000001"/>
    <n v="11312.893481999999"/>
  </r>
  <r>
    <x v="0"/>
    <x v="0"/>
    <x v="0"/>
    <x v="0"/>
    <s v="KEPL/02407/81-82"/>
    <s v="SHIVA SHAKTI CONCERN"/>
    <x v="0"/>
    <x v="10"/>
    <n v="1"/>
    <n v="180"/>
    <n v="60.84"/>
    <n v="10951.199999999999"/>
    <n v="-420.53"/>
    <n v="0"/>
    <n v="1368.9872909999999"/>
    <n v="11899.657291"/>
  </r>
  <r>
    <x v="0"/>
    <x v="0"/>
    <x v="0"/>
    <x v="0"/>
    <s v="KEPL/02407/81-82"/>
    <s v="SHIVA SHAKTI CONCERN"/>
    <x v="1"/>
    <x v="3"/>
    <n v="1"/>
    <n v="40"/>
    <n v="459.72"/>
    <n v="18388.8"/>
    <n v="-706.12999999999988"/>
    <n v="0"/>
    <n v="2298.747421"/>
    <n v="19981.417420999998"/>
  </r>
  <r>
    <x v="0"/>
    <x v="0"/>
    <x v="0"/>
    <x v="0"/>
    <s v="KEPL/02407/81-82"/>
    <s v="SHIVA SHAKTI CONCERN"/>
    <x v="2"/>
    <x v="7"/>
    <n v="2"/>
    <n v="240"/>
    <n v="152.11000000000001"/>
    <n v="36506.400000000001"/>
    <n v="-1401.85"/>
    <n v="0"/>
    <n v="4563.592138"/>
    <n v="39668.142138000003"/>
  </r>
  <r>
    <x v="0"/>
    <x v="0"/>
    <x v="0"/>
    <x v="0"/>
    <s v="KEPL/02407/81-82"/>
    <s v="SHIVA SHAKTI CONCERN"/>
    <x v="2"/>
    <x v="5"/>
    <n v="2"/>
    <n v="360"/>
    <n v="94.65"/>
    <n v="34074"/>
    <n v="-1308.44"/>
    <n v="0"/>
    <n v="4259.5233950000002"/>
    <n v="37025.083395000001"/>
  </r>
  <r>
    <x v="0"/>
    <x v="0"/>
    <x v="0"/>
    <x v="0"/>
    <s v="KEPL/02407/81-82"/>
    <s v="SHIVA SHAKTI CONCERN"/>
    <x v="0"/>
    <x v="9"/>
    <n v="1"/>
    <n v="180"/>
    <n v="70.989999999999995"/>
    <n v="12778.2"/>
    <n v="-490.68"/>
    <n v="0"/>
    <n v="1597.377823"/>
    <n v="13884.897822999999"/>
  </r>
  <r>
    <x v="0"/>
    <x v="0"/>
    <x v="0"/>
    <x v="0"/>
    <s v="KEPL/02407/81-82"/>
    <s v="SHIVA SHAKTI CONCERN"/>
    <x v="2"/>
    <x v="8"/>
    <n v="1"/>
    <n v="120"/>
    <n v="57.46"/>
    <n v="6895.2"/>
    <n v="-264.77999999999997"/>
    <n v="0"/>
    <n v="861.95471999999995"/>
    <n v="7492.3747199999998"/>
  </r>
  <r>
    <x v="0"/>
    <x v="0"/>
    <x v="0"/>
    <x v="0"/>
    <s v="KEPL/02407/81-82"/>
    <s v="SHIVA SHAKTI CONCERN"/>
    <x v="1"/>
    <x v="6"/>
    <n v="1"/>
    <n v="100"/>
    <n v="189.3"/>
    <n v="18930"/>
    <n v="-726.91000000000008"/>
    <n v="0"/>
    <n v="2366.4020310000001"/>
    <n v="20569.492031000002"/>
  </r>
  <r>
    <x v="0"/>
    <x v="0"/>
    <x v="0"/>
    <x v="0"/>
    <s v="KEPL/02407/81-82"/>
    <s v="SHIVA SHAKTI CONCERN"/>
    <x v="0"/>
    <x v="2"/>
    <n v="2"/>
    <n v="360"/>
    <n v="64.23"/>
    <n v="23122.799999999999"/>
    <n v="-887.92"/>
    <n v="0"/>
    <n v="2890.5348040000003"/>
    <n v="25125.414804"/>
  </r>
  <r>
    <x v="0"/>
    <x v="0"/>
    <x v="0"/>
    <x v="0"/>
    <s v="KEPL/02407/81-82"/>
    <s v="SHIVA SHAKTI CONCERN"/>
    <x v="0"/>
    <x v="0"/>
    <n v="1"/>
    <n v="180"/>
    <n v="64.23"/>
    <n v="11561.4"/>
    <n v="-443.96"/>
    <n v="0"/>
    <n v="1445.2674020000002"/>
    <n v="12562.707402"/>
  </r>
  <r>
    <x v="0"/>
    <x v="0"/>
    <x v="0"/>
    <x v="0"/>
    <s v="KEPL/02407/81-82"/>
    <s v="SHIVA SHAKTI CONCERN"/>
    <x v="1"/>
    <x v="1"/>
    <n v="1"/>
    <n v="100"/>
    <n v="108.17"/>
    <n v="10817"/>
    <n v="-415.37"/>
    <n v="0"/>
    <n v="1352.2120889999999"/>
    <n v="11753.842089"/>
  </r>
  <r>
    <x v="0"/>
    <x v="0"/>
    <x v="0"/>
    <x v="0"/>
    <s v="KEPL/02408/81-82"/>
    <s v="SURUWAT ENTERPRISES"/>
    <x v="1"/>
    <x v="13"/>
    <n v="1"/>
    <n v="100"/>
    <n v="124.88"/>
    <n v="12488"/>
    <n v="-479.54"/>
    <n v="0"/>
    <n v="0"/>
    <n v="12008.46"/>
  </r>
  <r>
    <x v="0"/>
    <x v="0"/>
    <x v="0"/>
    <x v="0"/>
    <s v="KEPL/02408/81-82"/>
    <s v="SURUWAT ENTERPRISES"/>
    <x v="1"/>
    <x v="12"/>
    <n v="1"/>
    <n v="40"/>
    <n v="297.52"/>
    <n v="11900.8"/>
    <n v="-456.99"/>
    <n v="0"/>
    <n v="0"/>
    <n v="11443.81"/>
  </r>
  <r>
    <x v="0"/>
    <x v="0"/>
    <x v="0"/>
    <x v="0"/>
    <s v="KEPL/02409/81-82"/>
    <s v="AARYA TRADE LINK PVT.LTD"/>
    <x v="1"/>
    <x v="12"/>
    <n v="1"/>
    <n v="40"/>
    <n v="297.52"/>
    <n v="11900.8"/>
    <n v="-456.99"/>
    <n v="0"/>
    <n v="0"/>
    <n v="11443.81"/>
  </r>
  <r>
    <x v="0"/>
    <x v="0"/>
    <x v="0"/>
    <x v="0"/>
    <s v="KEPL/02409/81-82"/>
    <s v="AARYA TRADE LINK PVT.LTD"/>
    <x v="1"/>
    <x v="13"/>
    <n v="1"/>
    <n v="100"/>
    <n v="124.88"/>
    <n v="12488"/>
    <n v="-479.54"/>
    <n v="0"/>
    <n v="0"/>
    <n v="12008.46"/>
  </r>
  <r>
    <x v="0"/>
    <x v="0"/>
    <x v="0"/>
    <x v="0"/>
    <s v="KEPL/02410/81-82"/>
    <s v="DURGA AND AAMOSH SUPPLIERS PVT.LTD"/>
    <x v="1"/>
    <x v="13"/>
    <n v="1"/>
    <n v="100"/>
    <n v="124.88"/>
    <n v="12488"/>
    <n v="-479.54"/>
    <n v="0"/>
    <n v="0"/>
    <n v="12008.46"/>
  </r>
  <r>
    <x v="0"/>
    <x v="0"/>
    <x v="0"/>
    <x v="0"/>
    <s v="KEPL/02410/81-82"/>
    <s v="DURGA AND AAMOSH SUPPLIERS PVT.LTD"/>
    <x v="1"/>
    <x v="12"/>
    <n v="1"/>
    <n v="40"/>
    <n v="297.52"/>
    <n v="11900.8"/>
    <n v="-456.99"/>
    <n v="0"/>
    <n v="0"/>
    <n v="11443.81"/>
  </r>
  <r>
    <x v="1"/>
    <x v="0"/>
    <x v="0"/>
    <x v="0"/>
    <s v="KEPL/02414/81-82"/>
    <s v="AMRIT TRADE CONCERN"/>
    <x v="2"/>
    <x v="8"/>
    <n v="1"/>
    <n v="120"/>
    <n v="57.46"/>
    <n v="6895.2"/>
    <n v="-264.77999999999997"/>
    <n v="0"/>
    <n v="861.95471999999995"/>
    <n v="7492.3747199999998"/>
  </r>
  <r>
    <x v="1"/>
    <x v="0"/>
    <x v="0"/>
    <x v="0"/>
    <s v="KEPL/02414/81-82"/>
    <s v="AMRIT TRADE CONCERN"/>
    <x v="1"/>
    <x v="3"/>
    <n v="1"/>
    <n v="40"/>
    <n v="459.72"/>
    <n v="18388.8"/>
    <n v="-706.12999999999988"/>
    <n v="0"/>
    <n v="2298.747421"/>
    <n v="19981.417420999998"/>
  </r>
  <r>
    <x v="1"/>
    <x v="0"/>
    <x v="0"/>
    <x v="0"/>
    <s v="KEPL/02414/81-82"/>
    <s v="AMRIT TRADE CONCERN"/>
    <x v="0"/>
    <x v="10"/>
    <n v="1"/>
    <n v="180"/>
    <n v="60.84"/>
    <n v="10951.199999999999"/>
    <n v="-420.53"/>
    <n v="0"/>
    <n v="1368.9872909999999"/>
    <n v="11899.657291"/>
  </r>
  <r>
    <x v="1"/>
    <x v="0"/>
    <x v="0"/>
    <x v="0"/>
    <s v="KEPL/02414/81-82"/>
    <s v="AMRIT TRADE CONCERN"/>
    <x v="0"/>
    <x v="11"/>
    <n v="1"/>
    <n v="180"/>
    <n v="64.23"/>
    <n v="11561.4"/>
    <n v="-443.96"/>
    <n v="0"/>
    <n v="1445.2674020000002"/>
    <n v="12562.707402"/>
  </r>
  <r>
    <x v="1"/>
    <x v="0"/>
    <x v="0"/>
    <x v="0"/>
    <s v="KEPL/02414/81-82"/>
    <s v="AMRIT TRADE CONCERN"/>
    <x v="0"/>
    <x v="0"/>
    <n v="1"/>
    <n v="180"/>
    <n v="64.23"/>
    <n v="11561.4"/>
    <n v="-443.96"/>
    <n v="0"/>
    <n v="1445.2674020000002"/>
    <n v="12562.707402"/>
  </r>
  <r>
    <x v="1"/>
    <x v="0"/>
    <x v="0"/>
    <x v="0"/>
    <s v="KEPL/02414/81-82"/>
    <s v="AMRIT TRADE CONCERN"/>
    <x v="2"/>
    <x v="7"/>
    <n v="2"/>
    <n v="240"/>
    <n v="152.11000000000001"/>
    <n v="36506.400000000001"/>
    <n v="-1401.85"/>
    <n v="0"/>
    <n v="4563.592138"/>
    <n v="39668.142138000003"/>
  </r>
  <r>
    <x v="1"/>
    <x v="0"/>
    <x v="0"/>
    <x v="0"/>
    <s v="KEPL/02414/81-82"/>
    <s v="AMRIT TRADE CONCERN"/>
    <x v="1"/>
    <x v="4"/>
    <n v="1"/>
    <n v="40"/>
    <n v="260.27999999999997"/>
    <n v="10411.200000000001"/>
    <n v="-399.79"/>
    <n v="0"/>
    <n v="1301.4834820000001"/>
    <n v="11312.893481999999"/>
  </r>
  <r>
    <x v="1"/>
    <x v="0"/>
    <x v="0"/>
    <x v="0"/>
    <s v="KEPL/02414/81-82"/>
    <s v="AMRIT TRADE CONCERN"/>
    <x v="2"/>
    <x v="5"/>
    <n v="2"/>
    <n v="360"/>
    <n v="94.65"/>
    <n v="34074"/>
    <n v="-1308.44"/>
    <n v="0"/>
    <n v="4259.5233950000002"/>
    <n v="37025.083395000001"/>
  </r>
  <r>
    <x v="1"/>
    <x v="0"/>
    <x v="0"/>
    <x v="0"/>
    <s v="KEPL/02414/81-82"/>
    <s v="AMRIT TRADE CONCERN"/>
    <x v="1"/>
    <x v="1"/>
    <n v="1"/>
    <n v="100"/>
    <n v="108.17"/>
    <n v="10817"/>
    <n v="-415.37"/>
    <n v="0"/>
    <n v="1352.2120889999999"/>
    <n v="11753.842089"/>
  </r>
  <r>
    <x v="1"/>
    <x v="0"/>
    <x v="0"/>
    <x v="0"/>
    <s v="KEPL/02414/81-82"/>
    <s v="AMRIT TRADE CONCERN"/>
    <x v="0"/>
    <x v="2"/>
    <n v="2"/>
    <n v="360"/>
    <n v="64.23"/>
    <n v="23122.799999999999"/>
    <n v="-887.92"/>
    <n v="0"/>
    <n v="2890.5348040000003"/>
    <n v="25125.414804"/>
  </r>
  <r>
    <x v="1"/>
    <x v="0"/>
    <x v="0"/>
    <x v="0"/>
    <s v="KEPL/02414/81-82"/>
    <s v="AMRIT TRADE CONCERN"/>
    <x v="1"/>
    <x v="6"/>
    <n v="1"/>
    <n v="100"/>
    <n v="189.3"/>
    <n v="18930"/>
    <n v="-726.91000000000008"/>
    <n v="0"/>
    <n v="2366.4020310000001"/>
    <n v="20569.492031000002"/>
  </r>
  <r>
    <x v="1"/>
    <x v="0"/>
    <x v="0"/>
    <x v="0"/>
    <s v="KEPL/02414/81-82"/>
    <s v="AMRIT TRADE CONCERN"/>
    <x v="0"/>
    <x v="9"/>
    <n v="1"/>
    <n v="180"/>
    <n v="70.989999999999995"/>
    <n v="12778.2"/>
    <n v="-490.68"/>
    <n v="0"/>
    <n v="1597.377823"/>
    <n v="13884.897822999999"/>
  </r>
  <r>
    <x v="1"/>
    <x v="0"/>
    <x v="0"/>
    <x v="0"/>
    <s v="KEPL/02415/81-82"/>
    <s v="AMRIT TRADE CONCERN"/>
    <x v="1"/>
    <x v="13"/>
    <n v="1"/>
    <n v="100"/>
    <n v="124.88"/>
    <n v="12488"/>
    <n v="-479.54"/>
    <n v="0"/>
    <n v="0"/>
    <n v="12008.46"/>
  </r>
  <r>
    <x v="1"/>
    <x v="0"/>
    <x v="0"/>
    <x v="0"/>
    <s v="KEPL/02415/81-82"/>
    <s v="AMRIT TRADE CONCERN"/>
    <x v="1"/>
    <x v="12"/>
    <n v="1"/>
    <n v="40"/>
    <n v="297.52"/>
    <n v="11900.8"/>
    <n v="-456.99"/>
    <n v="0"/>
    <n v="0"/>
    <n v="11443.81"/>
  </r>
  <r>
    <x v="2"/>
    <x v="0"/>
    <x v="0"/>
    <x v="0"/>
    <s v="KEPL/02420/81-82"/>
    <s v="BEERA BARJEE INTERNATIONAL PVT.LTD"/>
    <x v="1"/>
    <x v="12"/>
    <n v="1"/>
    <n v="40"/>
    <n v="309.39999999999998"/>
    <n v="12376"/>
    <n v="-475.24"/>
    <n v="0"/>
    <n v="0"/>
    <n v="11900.76"/>
  </r>
  <r>
    <x v="2"/>
    <x v="0"/>
    <x v="0"/>
    <x v="0"/>
    <s v="KEPL/02420/81-82"/>
    <s v="BEERA BARJEE INTERNATIONAL PVT.LTD"/>
    <x v="1"/>
    <x v="13"/>
    <n v="1"/>
    <n v="100"/>
    <n v="129.88"/>
    <n v="12988.000000000002"/>
    <n v="-498.74"/>
    <n v="0"/>
    <n v="0"/>
    <n v="12489.26"/>
  </r>
  <r>
    <x v="2"/>
    <x v="0"/>
    <x v="0"/>
    <x v="0"/>
    <s v="KEPL/02421/81-82"/>
    <s v="BEERA BARJEE INTERNATIONAL PVT.LTD"/>
    <x v="0"/>
    <x v="14"/>
    <n v="1"/>
    <n v="180"/>
    <n v="135.21"/>
    <n v="24337.8"/>
    <n v="-934.56999999999994"/>
    <n v="0"/>
    <n v="3042.420204"/>
    <n v="26445.650204000001"/>
  </r>
  <r>
    <x v="2"/>
    <x v="0"/>
    <x v="0"/>
    <x v="0"/>
    <s v="KEPL/02421/81-82"/>
    <s v="BEERA BARJEE INTERNATIONAL PVT.LTD"/>
    <x v="0"/>
    <x v="15"/>
    <n v="1"/>
    <n v="180"/>
    <n v="114.93"/>
    <n v="20687.400000000001"/>
    <n v="-794.4"/>
    <n v="0"/>
    <n v="2586.0902579999997"/>
    <n v="22479.090258"/>
  </r>
  <r>
    <x v="2"/>
    <x v="0"/>
    <x v="0"/>
    <x v="0"/>
    <s v="KEPL/02421/81-82"/>
    <s v="BEERA BARJEE INTERNATIONAL PVT.LTD"/>
    <x v="0"/>
    <x v="16"/>
    <n v="1"/>
    <n v="120"/>
    <n v="121.69"/>
    <n v="14602.800000000001"/>
    <n v="-560.75"/>
    <n v="0"/>
    <n v="1825.466682"/>
    <n v="15867.516681999999"/>
  </r>
  <r>
    <x v="2"/>
    <x v="0"/>
    <x v="0"/>
    <x v="0"/>
    <s v="KEPL/02421/81-82"/>
    <s v="BEERA BARJEE INTERNATIONAL PVT.LTD"/>
    <x v="0"/>
    <x v="11"/>
    <n v="1"/>
    <n v="180"/>
    <n v="64.23"/>
    <n v="11561.4"/>
    <n v="-443.96"/>
    <n v="0"/>
    <n v="1445.2673439999999"/>
    <n v="12562.707344"/>
  </r>
  <r>
    <x v="2"/>
    <x v="0"/>
    <x v="0"/>
    <x v="0"/>
    <s v="KEPL/02421/81-82"/>
    <s v="BEERA BARJEE INTERNATIONAL PVT.LTD"/>
    <x v="0"/>
    <x v="17"/>
    <n v="1"/>
    <n v="180"/>
    <n v="121.69"/>
    <n v="21904.199999999997"/>
    <n v="-841.12"/>
    <n v="0"/>
    <n v="2738.2006740000002"/>
    <n v="23801.280674000001"/>
  </r>
  <r>
    <x v="2"/>
    <x v="0"/>
    <x v="0"/>
    <x v="0"/>
    <s v="KEPL/02421/81-82"/>
    <s v="BEERA BARJEE INTERNATIONAL PVT.LTD"/>
    <x v="0"/>
    <x v="2"/>
    <n v="1"/>
    <n v="180"/>
    <n v="64.23"/>
    <n v="11561.4"/>
    <n v="-443.96"/>
    <n v="0"/>
    <n v="1445.2673439999999"/>
    <n v="12562.707344"/>
  </r>
  <r>
    <x v="2"/>
    <x v="0"/>
    <x v="0"/>
    <x v="0"/>
    <s v="KEPL/02421/81-82"/>
    <s v="BEERA BARJEE INTERNATIONAL PVT.LTD"/>
    <x v="0"/>
    <x v="18"/>
    <n v="1"/>
    <n v="120"/>
    <n v="141.97"/>
    <n v="17036.400000000001"/>
    <n v="-654.20000000000005"/>
    <n v="0"/>
    <n v="2129.686213"/>
    <n v="18511.886213000002"/>
  </r>
  <r>
    <x v="2"/>
    <x v="0"/>
    <x v="0"/>
    <x v="0"/>
    <s v="KEPL/02421/81-82"/>
    <s v="BEERA BARJEE INTERNATIONAL PVT.LTD"/>
    <x v="0"/>
    <x v="9"/>
    <n v="1"/>
    <n v="180"/>
    <n v="70.989999999999995"/>
    <n v="12778.2"/>
    <n v="-490.68"/>
    <n v="0"/>
    <n v="1597.3777600000001"/>
    <n v="13884.89776"/>
  </r>
  <r>
    <x v="2"/>
    <x v="0"/>
    <x v="0"/>
    <x v="0"/>
    <s v="KEPL/02421/81-82"/>
    <s v="BEERA BARJEE INTERNATIONAL PVT.LTD"/>
    <x v="0"/>
    <x v="19"/>
    <n v="1"/>
    <n v="180"/>
    <n v="155.49"/>
    <n v="27988.2"/>
    <n v="-1074.75"/>
    <n v="0"/>
    <n v="3498.7488490000001"/>
    <n v="30412.198849"/>
  </r>
  <r>
    <x v="2"/>
    <x v="0"/>
    <x v="0"/>
    <x v="0"/>
    <s v="KEPL/02421/81-82"/>
    <s v="BEERA BARJEE INTERNATIONAL PVT.LTD"/>
    <x v="0"/>
    <x v="20"/>
    <n v="1"/>
    <n v="120"/>
    <n v="121.69"/>
    <n v="14602.800000000001"/>
    <n v="-560.75"/>
    <n v="0"/>
    <n v="1825.466682"/>
    <n v="15867.516681999999"/>
  </r>
  <r>
    <x v="2"/>
    <x v="0"/>
    <x v="0"/>
    <x v="0"/>
    <s v="KEPL/02421/81-82"/>
    <s v="BEERA BARJEE INTERNATIONAL PVT.LTD"/>
    <x v="0"/>
    <x v="21"/>
    <n v="1"/>
    <n v="80"/>
    <n v="189.3"/>
    <n v="15144"/>
    <n v="-581.53"/>
    <n v="0"/>
    <n v="1893.1212889999999"/>
    <n v="16455.591289"/>
  </r>
  <r>
    <x v="2"/>
    <x v="0"/>
    <x v="0"/>
    <x v="0"/>
    <s v="KEPL/02421/81-82"/>
    <s v="BEERA BARJEE INTERNATIONAL PVT.LTD"/>
    <x v="2"/>
    <x v="22"/>
    <n v="1"/>
    <n v="40"/>
    <n v="297.45999999999998"/>
    <n v="11898.4"/>
    <n v="-456.9"/>
    <n v="0"/>
    <n v="1487.3951489999999"/>
    <n v="12928.895149"/>
  </r>
  <r>
    <x v="2"/>
    <x v="0"/>
    <x v="0"/>
    <x v="0"/>
    <s v="KEPL/02421/81-82"/>
    <s v="BEERA BARJEE INTERNATIONAL PVT.LTD"/>
    <x v="2"/>
    <x v="7"/>
    <n v="1"/>
    <n v="120"/>
    <n v="152.11000000000001"/>
    <n v="18253.2"/>
    <n v="-700.92"/>
    <n v="0"/>
    <n v="2281.7966280000001"/>
    <n v="19834.076627999999"/>
  </r>
  <r>
    <x v="2"/>
    <x v="0"/>
    <x v="0"/>
    <x v="0"/>
    <s v="KEPL/02421/81-82"/>
    <s v="BEERA BARJEE INTERNATIONAL PVT.LTD"/>
    <x v="2"/>
    <x v="5"/>
    <n v="1"/>
    <n v="180"/>
    <n v="94.65"/>
    <n v="17037"/>
    <n v="-654.22"/>
    <n v="0"/>
    <n v="2129.7616129999997"/>
    <n v="18512.541613000001"/>
  </r>
  <r>
    <x v="2"/>
    <x v="0"/>
    <x v="0"/>
    <x v="0"/>
    <s v="KEPL/02421/81-82"/>
    <s v="BEERA BARJEE INTERNATIONAL PVT.LTD"/>
    <x v="0"/>
    <x v="0"/>
    <n v="1"/>
    <n v="180"/>
    <n v="64.23"/>
    <n v="11561.4"/>
    <n v="-443.96"/>
    <n v="0"/>
    <n v="1445.2673439999999"/>
    <n v="12562.707344"/>
  </r>
  <r>
    <x v="2"/>
    <x v="0"/>
    <x v="0"/>
    <x v="0"/>
    <s v="KEPL/02421/81-82"/>
    <s v="BEERA BARJEE INTERNATIONAL PVT.LTD"/>
    <x v="2"/>
    <x v="23"/>
    <n v="1"/>
    <n v="180"/>
    <n v="182.53"/>
    <n v="32855.4"/>
    <n v="-1261.6499999999999"/>
    <n v="0"/>
    <n v="4107.1879099999996"/>
    <n v="35700.937910000001"/>
  </r>
  <r>
    <x v="2"/>
    <x v="0"/>
    <x v="0"/>
    <x v="0"/>
    <s v="KEPL/02421/81-82"/>
    <s v="BEERA BARJEE INTERNATIONAL PVT.LTD"/>
    <x v="0"/>
    <x v="10"/>
    <n v="1"/>
    <n v="180"/>
    <n v="60.84"/>
    <n v="10951.199999999999"/>
    <n v="-420.53"/>
    <n v="0"/>
    <n v="1368.9872370000001"/>
    <n v="11899.657236999999"/>
  </r>
  <r>
    <x v="2"/>
    <x v="0"/>
    <x v="0"/>
    <x v="0"/>
    <s v="KEPL/02421/81-82"/>
    <s v="BEERA BARJEE INTERNATIONAL PVT.LTD"/>
    <x v="2"/>
    <x v="24"/>
    <n v="1"/>
    <n v="40"/>
    <n v="439.44"/>
    <n v="17577.599999999999"/>
    <n v="-674.98"/>
    <n v="0"/>
    <n v="2197.340819"/>
    <n v="19099.960819"/>
  </r>
  <r>
    <x v="2"/>
    <x v="0"/>
    <x v="0"/>
    <x v="0"/>
    <s v="KEPL/02422/81-82"/>
    <s v="BEERA BARJEE INTERNATIONAL PVT.LTD"/>
    <x v="3"/>
    <x v="25"/>
    <n v="2"/>
    <n v="96"/>
    <n v="310.99"/>
    <n v="29855.039999999997"/>
    <n v="-1146.43"/>
    <n v="0"/>
    <n v="3732.119087"/>
    <n v="32440.729087"/>
  </r>
  <r>
    <x v="2"/>
    <x v="0"/>
    <x v="0"/>
    <x v="0"/>
    <s v="KEPL/02422/81-82"/>
    <s v="BEERA BARJEE INTERNATIONAL PVT.LTD"/>
    <x v="3"/>
    <x v="26"/>
    <n v="2"/>
    <n v="144"/>
    <n v="131.83000000000001"/>
    <n v="18983.52"/>
    <n v="-728.96999999999991"/>
    <n v="0"/>
    <n v="2373.0913640000003"/>
    <n v="20627.641363999999"/>
  </r>
  <r>
    <x v="2"/>
    <x v="0"/>
    <x v="0"/>
    <x v="0"/>
    <s v="KEPL/02422/81-82"/>
    <s v="BEERA BARJEE INTERNATIONAL PVT.LTD"/>
    <x v="1"/>
    <x v="4"/>
    <n v="1"/>
    <n v="40"/>
    <n v="260.27999999999997"/>
    <n v="10411.200000000001"/>
    <n v="-399.79"/>
    <n v="0"/>
    <n v="1301.4832260000001"/>
    <n v="11312.893226"/>
  </r>
  <r>
    <x v="2"/>
    <x v="0"/>
    <x v="0"/>
    <x v="0"/>
    <s v="KEPL/02422/81-82"/>
    <s v="BEERA BARJEE INTERNATIONAL PVT.LTD"/>
    <x v="0"/>
    <x v="27"/>
    <n v="1"/>
    <n v="120"/>
    <n v="118.31"/>
    <n v="14197.199999999999"/>
    <n v="-545.16999999999996"/>
    <n v="0"/>
    <n v="1774.7637990000001"/>
    <n v="15426.793798999999"/>
  </r>
  <r>
    <x v="2"/>
    <x v="0"/>
    <x v="0"/>
    <x v="0"/>
    <s v="KEPL/02422/81-82"/>
    <s v="BEERA BARJEE INTERNATIONAL PVT.LTD"/>
    <x v="2"/>
    <x v="8"/>
    <n v="1"/>
    <n v="120"/>
    <n v="57.46"/>
    <n v="6895.2"/>
    <n v="-264.77999999999997"/>
    <n v="0"/>
    <n v="861.95455099999992"/>
    <n v="7492.3745509999999"/>
  </r>
  <r>
    <x v="2"/>
    <x v="0"/>
    <x v="0"/>
    <x v="0"/>
    <s v="KEPL/02422/81-82"/>
    <s v="BEERA BARJEE INTERNATIONAL PVT.LTD"/>
    <x v="2"/>
    <x v="28"/>
    <n v="1"/>
    <n v="80"/>
    <n v="169.01"/>
    <n v="13520.8"/>
    <n v="-519.20000000000005"/>
    <n v="0"/>
    <n v="1690.207903"/>
    <n v="14691.807903000001"/>
  </r>
  <r>
    <x v="2"/>
    <x v="0"/>
    <x v="0"/>
    <x v="0"/>
    <s v="KEPL/02422/81-82"/>
    <s v="BEERA BARJEE INTERNATIONAL PVT.LTD"/>
    <x v="1"/>
    <x v="1"/>
    <n v="1"/>
    <n v="100"/>
    <n v="108.17"/>
    <n v="10817"/>
    <n v="-415.37"/>
    <n v="0"/>
    <n v="1352.2118229999999"/>
    <n v="11753.841823000001"/>
  </r>
  <r>
    <x v="2"/>
    <x v="0"/>
    <x v="0"/>
    <x v="0"/>
    <s v="KEPL/02422/81-82"/>
    <s v="BEERA BARJEE INTERNATIONAL PVT.LTD"/>
    <x v="4"/>
    <x v="29"/>
    <n v="1"/>
    <n v="120"/>
    <n v="57.46"/>
    <n v="6895.2"/>
    <n v="-264.77999999999997"/>
    <n v="0"/>
    <n v="861.95455099999992"/>
    <n v="7492.3745509999999"/>
  </r>
  <r>
    <x v="2"/>
    <x v="0"/>
    <x v="0"/>
    <x v="0"/>
    <s v="KEPL/02422/81-82"/>
    <s v="BEERA BARJEE INTERNATIONAL PVT.LTD"/>
    <x v="1"/>
    <x v="6"/>
    <n v="1"/>
    <n v="100"/>
    <n v="189.3"/>
    <n v="18930"/>
    <n v="-726.91000000000008"/>
    <n v="0"/>
    <n v="2366.4015649999997"/>
    <n v="20569.491565"/>
  </r>
  <r>
    <x v="2"/>
    <x v="0"/>
    <x v="0"/>
    <x v="0"/>
    <s v="KEPL/02422/81-82"/>
    <s v="BEERA BARJEE INTERNATIONAL PVT.LTD"/>
    <x v="4"/>
    <x v="30"/>
    <n v="2"/>
    <n v="120"/>
    <n v="98.03"/>
    <n v="11763.6"/>
    <n v="-451.72"/>
    <n v="0"/>
    <n v="1470.544316"/>
    <n v="12782.424316000001"/>
  </r>
  <r>
    <x v="2"/>
    <x v="0"/>
    <x v="0"/>
    <x v="0"/>
    <s v="KEPL/02422/81-82"/>
    <s v="BEERA BARJEE INTERNATIONAL PVT.LTD"/>
    <x v="1"/>
    <x v="3"/>
    <n v="1"/>
    <n v="40"/>
    <n v="459.72"/>
    <n v="18388.8"/>
    <n v="-706.12999999999988"/>
    <n v="0"/>
    <n v="2298.7469690000003"/>
    <n v="19981.416969000002"/>
  </r>
  <r>
    <x v="2"/>
    <x v="0"/>
    <x v="0"/>
    <x v="0"/>
    <s v="KEPL/02422/81-82"/>
    <s v="BEERA BARJEE INTERNATIONAL PVT.LTD"/>
    <x v="3"/>
    <x v="31"/>
    <n v="2"/>
    <n v="144"/>
    <n v="148.72999999999999"/>
    <n v="21417.119999999999"/>
    <n v="-822.42"/>
    <n v="0"/>
    <n v="2677.3108469999997"/>
    <n v="23272.010847000001"/>
  </r>
  <r>
    <x v="3"/>
    <x v="0"/>
    <x v="0"/>
    <x v="0"/>
    <s v="KEPL/02436/81-82"/>
    <s v="DS SPICECO L &amp; D"/>
    <x v="0"/>
    <x v="19"/>
    <n v="0.03"/>
    <n v="5"/>
    <n v="155.49"/>
    <n v="777.44999999999993"/>
    <n v="-29.85"/>
    <n v="0"/>
    <n v="97.187963999999994"/>
    <n v="844.78796399999999"/>
  </r>
  <r>
    <x v="3"/>
    <x v="0"/>
    <x v="0"/>
    <x v="0"/>
    <s v="KEPL/02436/81-82"/>
    <s v="DS SPICECO L &amp; D"/>
    <x v="2"/>
    <x v="22"/>
    <n v="0.13"/>
    <n v="5"/>
    <n v="297.45999999999998"/>
    <n v="1487.3"/>
    <n v="-57.11"/>
    <n v="0"/>
    <n v="185.92463100000001"/>
    <n v="1616.1146309999999"/>
  </r>
  <r>
    <x v="3"/>
    <x v="0"/>
    <x v="0"/>
    <x v="0"/>
    <s v="KEPL/02436/81-82"/>
    <s v="DS SPICECO L &amp; D"/>
    <x v="2"/>
    <x v="23"/>
    <n v="0.03"/>
    <n v="5"/>
    <n v="182.53"/>
    <n v="912.65"/>
    <n v="-35.049999999999997"/>
    <n v="0"/>
    <n v="114.08795800000001"/>
    <n v="991.68795799999998"/>
  </r>
  <r>
    <x v="3"/>
    <x v="0"/>
    <x v="0"/>
    <x v="0"/>
    <s v="KEPL/02436/81-82"/>
    <s v="DS SPICECO L &amp; D"/>
    <x v="0"/>
    <x v="2"/>
    <n v="0.03"/>
    <n v="5"/>
    <n v="64.23"/>
    <n v="321.14999999999998"/>
    <n v="-12.33"/>
    <n v="0"/>
    <n v="40.146584999999995"/>
    <n v="348.96658500000001"/>
  </r>
  <r>
    <x v="3"/>
    <x v="0"/>
    <x v="0"/>
    <x v="0"/>
    <s v="KEPL/02436/81-82"/>
    <s v="DS SPICECO L &amp; D"/>
    <x v="0"/>
    <x v="10"/>
    <n v="0.03"/>
    <n v="5"/>
    <n v="60.84"/>
    <n v="304.2"/>
    <n v="-11.68"/>
    <n v="0"/>
    <n v="38.027585999999999"/>
    <n v="330.54758600000002"/>
  </r>
  <r>
    <x v="3"/>
    <x v="0"/>
    <x v="0"/>
    <x v="0"/>
    <s v="KEPL/02436/81-82"/>
    <s v="DS SPICECO L &amp; D"/>
    <x v="0"/>
    <x v="16"/>
    <n v="0.04"/>
    <n v="5"/>
    <n v="121.69"/>
    <n v="608.44999999999993"/>
    <n v="-23.36"/>
    <n v="0"/>
    <n v="76.061672000000002"/>
    <n v="661.15167199999996"/>
  </r>
  <r>
    <x v="3"/>
    <x v="0"/>
    <x v="0"/>
    <x v="0"/>
    <s v="KEPL/02436/81-82"/>
    <s v="DS SPICECO L &amp; D"/>
    <x v="0"/>
    <x v="15"/>
    <n v="0.03"/>
    <n v="5"/>
    <n v="114.93"/>
    <n v="574.65"/>
    <n v="-22.07"/>
    <n v="0"/>
    <n v="71.83537299999999"/>
    <n v="624.41537300000005"/>
  </r>
  <r>
    <x v="3"/>
    <x v="0"/>
    <x v="0"/>
    <x v="0"/>
    <s v="KEPL/02436/81-82"/>
    <s v="DS SPICECO L &amp; D"/>
    <x v="2"/>
    <x v="5"/>
    <n v="0.03"/>
    <n v="5"/>
    <n v="94.65"/>
    <n v="473.25"/>
    <n v="-18.170000000000002"/>
    <n v="0"/>
    <n v="59.160378000000001"/>
    <n v="514.24037799999996"/>
  </r>
  <r>
    <x v="3"/>
    <x v="0"/>
    <x v="0"/>
    <x v="0"/>
    <s v="KEPL/02436/81-82"/>
    <s v="DS SPICECO L &amp; D"/>
    <x v="0"/>
    <x v="18"/>
    <n v="0.04"/>
    <n v="5"/>
    <n v="141.97"/>
    <n v="709.84999999999991"/>
    <n v="-27.26"/>
    <n v="0"/>
    <n v="88.736666999999997"/>
    <n v="771.32666700000004"/>
  </r>
  <r>
    <x v="3"/>
    <x v="0"/>
    <x v="0"/>
    <x v="0"/>
    <s v="KEPL/02436/81-82"/>
    <s v="DS SPICECO L &amp; D"/>
    <x v="2"/>
    <x v="7"/>
    <n v="0.04"/>
    <n v="5"/>
    <n v="152.11000000000001"/>
    <n v="760.55000000000007"/>
    <n v="-29.21"/>
    <n v="0"/>
    <n v="95.074164999999994"/>
    <n v="826.41416500000003"/>
  </r>
  <r>
    <x v="3"/>
    <x v="0"/>
    <x v="0"/>
    <x v="0"/>
    <s v="KEPL/02436/81-82"/>
    <s v="DS SPICECO L &amp; D"/>
    <x v="0"/>
    <x v="11"/>
    <n v="0.03"/>
    <n v="5"/>
    <n v="64.23"/>
    <n v="321.14999999999998"/>
    <n v="-12.33"/>
    <n v="0"/>
    <n v="40.146584999999995"/>
    <n v="348.96658500000001"/>
  </r>
  <r>
    <x v="3"/>
    <x v="0"/>
    <x v="0"/>
    <x v="0"/>
    <s v="KEPL/02436/81-82"/>
    <s v="DS SPICECO L &amp; D"/>
    <x v="2"/>
    <x v="24"/>
    <n v="0.13"/>
    <n v="5"/>
    <n v="439.44"/>
    <n v="2197.1999999999998"/>
    <n v="-84.37"/>
    <n v="0"/>
    <n v="274.667798"/>
    <n v="2387.4977979999999"/>
  </r>
  <r>
    <x v="3"/>
    <x v="0"/>
    <x v="0"/>
    <x v="0"/>
    <s v="KEPL/02436/81-82"/>
    <s v="DS SPICECO L &amp; D"/>
    <x v="0"/>
    <x v="14"/>
    <n v="0.03"/>
    <n v="5"/>
    <n v="135.21"/>
    <n v="676.05"/>
    <n v="-25.96"/>
    <n v="0"/>
    <n v="84.511668999999998"/>
    <n v="734.60166900000002"/>
  </r>
  <r>
    <x v="3"/>
    <x v="0"/>
    <x v="0"/>
    <x v="0"/>
    <s v="KEPL/02436/81-82"/>
    <s v="DS SPICECO L &amp; D"/>
    <x v="0"/>
    <x v="17"/>
    <n v="0.03"/>
    <n v="5"/>
    <n v="121.69"/>
    <n v="608.44999999999993"/>
    <n v="-23.36"/>
    <n v="0"/>
    <n v="76.061672000000002"/>
    <n v="661.15167199999996"/>
  </r>
  <r>
    <x v="3"/>
    <x v="0"/>
    <x v="0"/>
    <x v="0"/>
    <s v="KEPL/02436/81-82"/>
    <s v="DS SPICECO L &amp; D"/>
    <x v="0"/>
    <x v="20"/>
    <n v="0.04"/>
    <n v="5"/>
    <n v="121.69"/>
    <n v="608.44999999999993"/>
    <n v="-23.36"/>
    <n v="0"/>
    <n v="76.061672000000002"/>
    <n v="661.15167199999996"/>
  </r>
  <r>
    <x v="3"/>
    <x v="0"/>
    <x v="0"/>
    <x v="0"/>
    <s v="KEPL/02436/81-82"/>
    <s v="DS SPICECO L &amp; D"/>
    <x v="0"/>
    <x v="21"/>
    <n v="0.06"/>
    <n v="5"/>
    <n v="189.3"/>
    <n v="946.5"/>
    <n v="-36.35"/>
    <n v="0"/>
    <n v="118.319456"/>
    <n v="1028.469456"/>
  </r>
  <r>
    <x v="3"/>
    <x v="0"/>
    <x v="0"/>
    <x v="0"/>
    <s v="KEPL/02436/81-82"/>
    <s v="DS SPICECO L &amp; D"/>
    <x v="0"/>
    <x v="9"/>
    <n v="0.03"/>
    <n v="5"/>
    <n v="70.989999999999995"/>
    <n v="354.95"/>
    <n v="-13.63"/>
    <n v="0"/>
    <n v="44.371583999999999"/>
    <n v="385.69158399999998"/>
  </r>
  <r>
    <x v="3"/>
    <x v="0"/>
    <x v="0"/>
    <x v="0"/>
    <s v="KEPL/02436/81-82"/>
    <s v="DS SPICECO L &amp; D"/>
    <x v="0"/>
    <x v="0"/>
    <n v="0.03"/>
    <n v="5"/>
    <n v="64.23"/>
    <n v="321.14999999999998"/>
    <n v="-12.33"/>
    <n v="0"/>
    <n v="40.146584999999995"/>
    <n v="348.96658500000001"/>
  </r>
  <r>
    <x v="3"/>
    <x v="0"/>
    <x v="0"/>
    <x v="0"/>
    <s v="KEPL/02437/81-82"/>
    <s v="DS SPICECO L &amp; D"/>
    <x v="1"/>
    <x v="6"/>
    <n v="0.05"/>
    <n v="5"/>
    <n v="189.3"/>
    <n v="946.5"/>
    <n v="-36.35"/>
    <n v="0"/>
    <n v="118.319518"/>
    <n v="1028.4695180000001"/>
  </r>
  <r>
    <x v="3"/>
    <x v="0"/>
    <x v="0"/>
    <x v="0"/>
    <s v="KEPL/02437/81-82"/>
    <s v="DS SPICECO L &amp; D"/>
    <x v="2"/>
    <x v="28"/>
    <n v="0.06"/>
    <n v="5"/>
    <n v="169.01"/>
    <n v="845.05"/>
    <n v="-32.450000000000003"/>
    <n v="0"/>
    <n v="105.63801599999999"/>
    <n v="918.23801600000002"/>
  </r>
  <r>
    <x v="3"/>
    <x v="0"/>
    <x v="0"/>
    <x v="0"/>
    <s v="KEPL/02437/81-82"/>
    <s v="DS SPICECO L &amp; D"/>
    <x v="1"/>
    <x v="1"/>
    <n v="0.05"/>
    <n v="5"/>
    <n v="108.17"/>
    <n v="540.85"/>
    <n v="-20.77"/>
    <n v="0"/>
    <n v="67.610410000000002"/>
    <n v="587.69041000000004"/>
  </r>
  <r>
    <x v="3"/>
    <x v="0"/>
    <x v="0"/>
    <x v="0"/>
    <s v="KEPL/02437/81-82"/>
    <s v="DS SPICECO L &amp; D"/>
    <x v="4"/>
    <x v="29"/>
    <n v="0.04"/>
    <n v="5"/>
    <n v="57.46"/>
    <n v="287.3"/>
    <n v="-11.03"/>
    <n v="0"/>
    <n v="35.915104999999997"/>
    <n v="312.18510500000002"/>
  </r>
  <r>
    <x v="3"/>
    <x v="0"/>
    <x v="0"/>
    <x v="0"/>
    <s v="KEPL/02437/81-82"/>
    <s v="DS SPICECO L &amp; D"/>
    <x v="2"/>
    <x v="8"/>
    <n v="0.04"/>
    <n v="5"/>
    <n v="57.46"/>
    <n v="287.3"/>
    <n v="-11.03"/>
    <n v="0"/>
    <n v="35.915104999999997"/>
    <n v="312.18510500000002"/>
  </r>
  <r>
    <x v="3"/>
    <x v="0"/>
    <x v="0"/>
    <x v="0"/>
    <s v="KEPL/02437/81-82"/>
    <s v="DS SPICECO L &amp; D"/>
    <x v="1"/>
    <x v="3"/>
    <n v="0.13"/>
    <n v="5"/>
    <n v="459.72"/>
    <n v="2298.6"/>
    <n v="-88.27"/>
    <n v="0"/>
    <n v="287.34294399999999"/>
    <n v="2497.6729439999999"/>
  </r>
  <r>
    <x v="3"/>
    <x v="0"/>
    <x v="0"/>
    <x v="0"/>
    <s v="KEPL/02437/81-82"/>
    <s v="DS SPICECO L &amp; D"/>
    <x v="1"/>
    <x v="4"/>
    <n v="0.13"/>
    <n v="5"/>
    <n v="260.27999999999997"/>
    <n v="1301.4000000000001"/>
    <n v="-49.97"/>
    <n v="0"/>
    <n v="162.68592500000003"/>
    <n v="1414.1159250000001"/>
  </r>
  <r>
    <x v="3"/>
    <x v="0"/>
    <x v="0"/>
    <x v="0"/>
    <s v="KEPL/02437/81-82"/>
    <s v="DS SPICECO L &amp; D"/>
    <x v="3"/>
    <x v="25"/>
    <n v="0.1"/>
    <n v="5"/>
    <n v="310.99"/>
    <n v="1554.95"/>
    <n v="-59.71"/>
    <n v="0"/>
    <n v="194.38122900000002"/>
    <n v="1689.6212290000001"/>
  </r>
  <r>
    <x v="3"/>
    <x v="0"/>
    <x v="0"/>
    <x v="0"/>
    <s v="KEPL/02437/81-82"/>
    <s v="DS SPICECO L &amp; D"/>
    <x v="3"/>
    <x v="31"/>
    <n v="7.0000000000000007E-2"/>
    <n v="5"/>
    <n v="148.72999999999999"/>
    <n v="743.65"/>
    <n v="-28.56"/>
    <n v="0"/>
    <n v="92.961713999999986"/>
    <n v="808.05171399999995"/>
  </r>
  <r>
    <x v="3"/>
    <x v="0"/>
    <x v="0"/>
    <x v="0"/>
    <s v="KEPL/02437/81-82"/>
    <s v="DS SPICECO L &amp; D"/>
    <x v="0"/>
    <x v="27"/>
    <n v="0.04"/>
    <n v="5"/>
    <n v="118.31"/>
    <n v="591.55000000000007"/>
    <n v="-22.72"/>
    <n v="0"/>
    <n v="73.947911000000005"/>
    <n v="642.77791100000002"/>
  </r>
  <r>
    <x v="3"/>
    <x v="0"/>
    <x v="0"/>
    <x v="0"/>
    <s v="KEPL/02437/81-82"/>
    <s v="DS SPICECO L &amp; D"/>
    <x v="3"/>
    <x v="26"/>
    <n v="7.0000000000000007E-2"/>
    <n v="5"/>
    <n v="131.83000000000001"/>
    <n v="659.15000000000009"/>
    <n v="-25.31"/>
    <n v="0"/>
    <n v="82.399212000000006"/>
    <n v="716.23921199999995"/>
  </r>
  <r>
    <x v="3"/>
    <x v="0"/>
    <x v="0"/>
    <x v="0"/>
    <s v="KEPL/02437/81-82"/>
    <s v="DS SPICECO L &amp; D"/>
    <x v="4"/>
    <x v="30"/>
    <n v="0.08"/>
    <n v="5"/>
    <n v="98.03"/>
    <n v="490.15"/>
    <n v="-18.82"/>
    <n v="0"/>
    <n v="61.272908999999999"/>
    <n v="532.60290899999995"/>
  </r>
  <r>
    <x v="3"/>
    <x v="0"/>
    <x v="0"/>
    <x v="0"/>
    <s v="KEPL/02438/81-82"/>
    <s v="DS SPICECO L &amp; D"/>
    <x v="1"/>
    <x v="13"/>
    <n v="0.05"/>
    <n v="5"/>
    <n v="129.88"/>
    <n v="649.4"/>
    <n v="-24.94"/>
    <n v="0"/>
    <n v="0"/>
    <n v="624.46"/>
  </r>
  <r>
    <x v="3"/>
    <x v="0"/>
    <x v="0"/>
    <x v="0"/>
    <s v="KEPL/02438/81-82"/>
    <s v="DS SPICECO L &amp; D"/>
    <x v="1"/>
    <x v="12"/>
    <n v="0.13"/>
    <n v="5"/>
    <n v="309.39999999999998"/>
    <n v="1547"/>
    <n v="-59.4"/>
    <n v="0"/>
    <n v="0"/>
    <n v="1487.6"/>
  </r>
  <r>
    <x v="4"/>
    <x v="0"/>
    <x v="0"/>
    <x v="0"/>
    <s v="KEPL/02446/81-82"/>
    <s v="SAFAL MART PVT.LTD"/>
    <x v="0"/>
    <x v="18"/>
    <n v="1"/>
    <n v="120"/>
    <n v="141.97"/>
    <n v="17036.400000000001"/>
    <n v="-654.20000000000005"/>
    <n v="0"/>
    <n v="2129.6860619999998"/>
    <n v="18511.886062000001"/>
  </r>
  <r>
    <x v="4"/>
    <x v="0"/>
    <x v="0"/>
    <x v="0"/>
    <s v="KEPL/02446/81-82"/>
    <s v="SAFAL MART PVT.LTD"/>
    <x v="0"/>
    <x v="27"/>
    <n v="2"/>
    <n v="240"/>
    <n v="118.31"/>
    <n v="28394.399999999998"/>
    <n v="-1090.3399999999999"/>
    <n v="0"/>
    <n v="3549.5279030000002"/>
    <n v="30853.587903"/>
  </r>
  <r>
    <x v="4"/>
    <x v="0"/>
    <x v="0"/>
    <x v="0"/>
    <s v="KEPL/02446/81-82"/>
    <s v="SAFAL MART PVT.LTD"/>
    <x v="0"/>
    <x v="17"/>
    <n v="1"/>
    <n v="180"/>
    <n v="121.69"/>
    <n v="21904.199999999997"/>
    <n v="-841.12"/>
    <n v="0"/>
    <n v="2738.20048"/>
    <n v="23801.280480000001"/>
  </r>
  <r>
    <x v="4"/>
    <x v="0"/>
    <x v="0"/>
    <x v="0"/>
    <s v="KEPL/02446/81-82"/>
    <s v="SAFAL MART PVT.LTD"/>
    <x v="1"/>
    <x v="3"/>
    <n v="1"/>
    <n v="40"/>
    <n v="459.72"/>
    <n v="18388.8"/>
    <n v="-706.12999999999988"/>
    <n v="0"/>
    <n v="2298.747167"/>
    <n v="19981.417167"/>
  </r>
  <r>
    <x v="4"/>
    <x v="0"/>
    <x v="0"/>
    <x v="0"/>
    <s v="KEPL/02446/81-82"/>
    <s v="SAFAL MART PVT.LTD"/>
    <x v="2"/>
    <x v="28"/>
    <n v="1"/>
    <n v="80"/>
    <n v="169.01"/>
    <n v="13520.8"/>
    <n v="-519.20000000000005"/>
    <n v="0"/>
    <n v="1690.2080490000001"/>
    <n v="14691.808048999999"/>
  </r>
  <r>
    <x v="4"/>
    <x v="0"/>
    <x v="0"/>
    <x v="0"/>
    <s v="KEPL/02446/81-82"/>
    <s v="SAFAL MART PVT.LTD"/>
    <x v="3"/>
    <x v="26"/>
    <n v="1"/>
    <n v="72"/>
    <n v="131.83000000000001"/>
    <n v="9491.76"/>
    <n v="-364.48"/>
    <n v="0"/>
    <n v="1186.546435"/>
    <n v="10313.826435000001"/>
  </r>
  <r>
    <x v="4"/>
    <x v="0"/>
    <x v="0"/>
    <x v="0"/>
    <s v="KEPL/02446/81-82"/>
    <s v="SAFAL MART PVT.LTD"/>
    <x v="2"/>
    <x v="23"/>
    <n v="5"/>
    <n v="900"/>
    <n v="182.53"/>
    <n v="164277"/>
    <n v="-6308.24"/>
    <n v="0"/>
    <n v="20535.939398999999"/>
    <n v="178504.699399"/>
  </r>
  <r>
    <x v="4"/>
    <x v="0"/>
    <x v="0"/>
    <x v="0"/>
    <s v="KEPL/02446/81-82"/>
    <s v="SAFAL MART PVT.LTD"/>
    <x v="2"/>
    <x v="8"/>
    <n v="1"/>
    <n v="120"/>
    <n v="57.46"/>
    <n v="6895.2"/>
    <n v="-264.77999999999997"/>
    <n v="0"/>
    <n v="861.95462500000008"/>
    <n v="7492.3746250000004"/>
  </r>
  <r>
    <x v="4"/>
    <x v="0"/>
    <x v="0"/>
    <x v="0"/>
    <s v="KEPL/02446/81-82"/>
    <s v="SAFAL MART PVT.LTD"/>
    <x v="0"/>
    <x v="14"/>
    <n v="1"/>
    <n v="180"/>
    <n v="135.21"/>
    <n v="24337.8"/>
    <n v="-934.56999999999994"/>
    <n v="0"/>
    <n v="3042.419989"/>
    <n v="26445.649989000001"/>
  </r>
  <r>
    <x v="4"/>
    <x v="0"/>
    <x v="0"/>
    <x v="0"/>
    <s v="KEPL/02446/81-82"/>
    <s v="SAFAL MART PVT.LTD"/>
    <x v="0"/>
    <x v="20"/>
    <n v="1"/>
    <n v="120"/>
    <n v="121.69"/>
    <n v="14602.800000000001"/>
    <n v="-560.75"/>
    <n v="0"/>
    <n v="1825.466553"/>
    <n v="15867.516552999999"/>
  </r>
  <r>
    <x v="4"/>
    <x v="0"/>
    <x v="0"/>
    <x v="0"/>
    <s v="KEPL/02446/81-82"/>
    <s v="SAFAL MART PVT.LTD"/>
    <x v="1"/>
    <x v="4"/>
    <n v="1"/>
    <n v="40"/>
    <n v="260.27999999999997"/>
    <n v="10411.200000000001"/>
    <n v="-399.79"/>
    <n v="0"/>
    <n v="1301.483338"/>
    <n v="11312.893338"/>
  </r>
  <r>
    <x v="4"/>
    <x v="0"/>
    <x v="0"/>
    <x v="0"/>
    <s v="KEPL/02447/81-82"/>
    <s v="SAFAL MART PVT.LTD"/>
    <x v="1"/>
    <x v="12"/>
    <n v="1"/>
    <n v="40"/>
    <n v="309.39999999999998"/>
    <n v="12376"/>
    <n v="-475.24"/>
    <n v="0"/>
    <n v="0"/>
    <n v="11900.76"/>
  </r>
  <r>
    <x v="5"/>
    <x v="0"/>
    <x v="0"/>
    <x v="0"/>
    <s v="KEPL/02451/81-82"/>
    <s v="DS SPICECO L &amp; D"/>
    <x v="1"/>
    <x v="12"/>
    <n v="0.05"/>
    <n v="2"/>
    <n v="309.39999999999998"/>
    <n v="618.79999999999995"/>
    <n v="-23.76"/>
    <n v="0"/>
    <n v="0"/>
    <n v="595.04"/>
  </r>
  <r>
    <x v="5"/>
    <x v="0"/>
    <x v="0"/>
    <x v="0"/>
    <s v="KEPL/02452/81-82"/>
    <s v="DS SPICECO L &amp; D"/>
    <x v="2"/>
    <x v="23"/>
    <n v="0.01"/>
    <n v="2"/>
    <n v="182.53"/>
    <n v="365.06"/>
    <n v="-14.02"/>
    <n v="0"/>
    <n v="45.635687000000004"/>
    <n v="396.67568699999998"/>
  </r>
  <r>
    <x v="5"/>
    <x v="0"/>
    <x v="0"/>
    <x v="0"/>
    <s v="KEPL/02452/81-82"/>
    <s v="DS SPICECO L &amp; D"/>
    <x v="4"/>
    <x v="30"/>
    <n v="0.03"/>
    <n v="2"/>
    <n v="98.03"/>
    <n v="196.06"/>
    <n v="-7.53"/>
    <n v="0"/>
    <n v="24.509162"/>
    <n v="213.039162"/>
  </r>
  <r>
    <x v="5"/>
    <x v="0"/>
    <x v="0"/>
    <x v="0"/>
    <s v="KEPL/02452/81-82"/>
    <s v="DS SPICECO L &amp; D"/>
    <x v="2"/>
    <x v="22"/>
    <n v="0.05"/>
    <n v="2"/>
    <n v="297.45999999999998"/>
    <n v="594.91999999999996"/>
    <n v="-22.84"/>
    <n v="0"/>
    <n v="74.371193999999988"/>
    <n v="646.45119399999999"/>
  </r>
  <r>
    <x v="5"/>
    <x v="0"/>
    <x v="0"/>
    <x v="0"/>
    <s v="KEPL/02452/81-82"/>
    <s v="DS SPICECO L &amp; D"/>
    <x v="2"/>
    <x v="28"/>
    <n v="0.03"/>
    <n v="2"/>
    <n v="169.01"/>
    <n v="338.02"/>
    <n v="-12.98"/>
    <n v="0"/>
    <n v="42.255651000000007"/>
    <n v="367.29565100000002"/>
  </r>
  <r>
    <x v="5"/>
    <x v="0"/>
    <x v="0"/>
    <x v="0"/>
    <s v="KEPL/02452/81-82"/>
    <s v="DS SPICECO L &amp; D"/>
    <x v="1"/>
    <x v="4"/>
    <n v="0.05"/>
    <n v="2"/>
    <n v="260.27999999999997"/>
    <n v="520.55999999999995"/>
    <n v="-19.989999999999998"/>
    <n v="0"/>
    <n v="65.074795000000009"/>
    <n v="565.64479500000004"/>
  </r>
  <r>
    <x v="5"/>
    <x v="0"/>
    <x v="0"/>
    <x v="0"/>
    <s v="KEPL/02452/81-82"/>
    <s v="DS SPICECO L &amp; D"/>
    <x v="1"/>
    <x v="3"/>
    <n v="0.05"/>
    <n v="2"/>
    <n v="459.72"/>
    <n v="919.44"/>
    <n v="-35.31"/>
    <n v="0"/>
    <n v="114.93812700000001"/>
    <n v="999.068127"/>
  </r>
  <r>
    <x v="5"/>
    <x v="0"/>
    <x v="0"/>
    <x v="0"/>
    <s v="KEPL/02452/81-82"/>
    <s v="DS SPICECO L &amp; D"/>
    <x v="0"/>
    <x v="15"/>
    <n v="0.01"/>
    <n v="2"/>
    <n v="114.93"/>
    <n v="229.86"/>
    <n v="-8.83"/>
    <n v="0"/>
    <n v="28.734207000000001"/>
    <n v="249.764207"/>
  </r>
  <r>
    <x v="5"/>
    <x v="0"/>
    <x v="0"/>
    <x v="0"/>
    <s v="KEPL/02452/81-82"/>
    <s v="DS SPICECO L &amp; D"/>
    <x v="0"/>
    <x v="14"/>
    <n v="0.01"/>
    <n v="2"/>
    <n v="135.21"/>
    <n v="270.42"/>
    <n v="-10.38"/>
    <n v="0"/>
    <n v="33.805560999999997"/>
    <n v="293.84556099999998"/>
  </r>
  <r>
    <x v="5"/>
    <x v="0"/>
    <x v="0"/>
    <x v="0"/>
    <s v="KEPL/02452/81-82"/>
    <s v="DS SPICECO L &amp; D"/>
    <x v="0"/>
    <x v="19"/>
    <n v="0.01"/>
    <n v="2"/>
    <n v="155.49"/>
    <n v="310.98"/>
    <n v="-11.94"/>
    <n v="0"/>
    <n v="38.875615000000003"/>
    <n v="337.915615"/>
  </r>
  <r>
    <x v="6"/>
    <x v="0"/>
    <x v="0"/>
    <x v="0"/>
    <s v="KEPL/02459/81-82"/>
    <s v="DS SPICECO L &amp; D"/>
    <x v="0"/>
    <x v="27"/>
    <n v="0.02"/>
    <n v="2"/>
    <n v="118.31"/>
    <n v="236.62"/>
    <n v="-9.09"/>
    <n v="0"/>
    <n v="29.58"/>
    <n v="257.11"/>
  </r>
  <r>
    <x v="7"/>
    <x v="0"/>
    <x v="0"/>
    <x v="0"/>
    <s v="KEPL/02469/81-82"/>
    <s v="SHIVA SHAKTI CONCERN"/>
    <x v="0"/>
    <x v="10"/>
    <n v="1"/>
    <n v="180"/>
    <n v="60.84"/>
    <n v="10951.199999999999"/>
    <n v="-420.53"/>
    <n v="0"/>
    <n v="1368.9876400000001"/>
    <n v="11899.657639999999"/>
  </r>
  <r>
    <x v="7"/>
    <x v="0"/>
    <x v="0"/>
    <x v="0"/>
    <s v="KEPL/02469/81-82"/>
    <s v="SHIVA SHAKTI CONCERN"/>
    <x v="0"/>
    <x v="11"/>
    <n v="1"/>
    <n v="180"/>
    <n v="64.23"/>
    <n v="11561.4"/>
    <n v="-443.96"/>
    <n v="0"/>
    <n v="1445.267771"/>
    <n v="12562.707770999999"/>
  </r>
  <r>
    <x v="7"/>
    <x v="0"/>
    <x v="0"/>
    <x v="0"/>
    <s v="KEPL/02469/81-82"/>
    <s v="SHIVA SHAKTI CONCERN"/>
    <x v="2"/>
    <x v="8"/>
    <n v="1"/>
    <n v="120"/>
    <n v="57.46"/>
    <n v="6895.2"/>
    <n v="-264.77999999999997"/>
    <n v="0"/>
    <n v="861.95493999999997"/>
    <n v="7492.3749399999997"/>
  </r>
  <r>
    <x v="7"/>
    <x v="0"/>
    <x v="0"/>
    <x v="0"/>
    <s v="KEPL/02469/81-82"/>
    <s v="SHIVA SHAKTI CONCERN"/>
    <x v="0"/>
    <x v="0"/>
    <n v="1"/>
    <n v="180"/>
    <n v="64.23"/>
    <n v="11561.4"/>
    <n v="-443.96"/>
    <n v="0"/>
    <n v="1445.267771"/>
    <n v="12562.707770999999"/>
  </r>
  <r>
    <x v="7"/>
    <x v="0"/>
    <x v="0"/>
    <x v="0"/>
    <s v="KEPL/02469/81-82"/>
    <s v="SHIVA SHAKTI CONCERN"/>
    <x v="2"/>
    <x v="28"/>
    <n v="1"/>
    <n v="80"/>
    <n v="169.01"/>
    <n v="13520.8"/>
    <n v="-519.20000000000005"/>
    <n v="0"/>
    <n v="1690.2086669999999"/>
    <n v="14691.808666999999"/>
  </r>
  <r>
    <x v="7"/>
    <x v="0"/>
    <x v="0"/>
    <x v="0"/>
    <s v="KEPL/02469/81-82"/>
    <s v="SHIVA SHAKTI CONCERN"/>
    <x v="4"/>
    <x v="30"/>
    <n v="2"/>
    <n v="120"/>
    <n v="98.03"/>
    <n v="11763.6"/>
    <n v="-451.72"/>
    <n v="0"/>
    <n v="1470.544981"/>
    <n v="12782.424981"/>
  </r>
  <r>
    <x v="7"/>
    <x v="0"/>
    <x v="0"/>
    <x v="0"/>
    <s v="KEPL/02469/81-82"/>
    <s v="SHIVA SHAKTI CONCERN"/>
    <x v="0"/>
    <x v="9"/>
    <n v="1"/>
    <n v="180"/>
    <n v="70.989999999999995"/>
    <n v="12778.2"/>
    <n v="-490.68"/>
    <n v="0"/>
    <n v="1597.3782310000001"/>
    <n v="13884.898230999999"/>
  </r>
  <r>
    <x v="7"/>
    <x v="0"/>
    <x v="0"/>
    <x v="0"/>
    <s v="KEPL/02470/81-82"/>
    <s v="SHIVA SHAKTI CONCERN"/>
    <x v="3"/>
    <x v="25"/>
    <n v="1"/>
    <n v="48"/>
    <n v="310.99"/>
    <n v="14927.519999999999"/>
    <n v="-573.22"/>
    <n v="0"/>
    <n v="1866.0586179999998"/>
    <n v="16220.358618"/>
  </r>
  <r>
    <x v="7"/>
    <x v="0"/>
    <x v="0"/>
    <x v="0"/>
    <s v="KEPL/02470/81-82"/>
    <s v="SHIVA SHAKTI CONCERN"/>
    <x v="3"/>
    <x v="31"/>
    <n v="1"/>
    <n v="72"/>
    <n v="148.72999999999999"/>
    <n v="10708.56"/>
    <n v="-411.21"/>
    <n v="0"/>
    <n v="1338.6552259999999"/>
    <n v="11636.005225999999"/>
  </r>
  <r>
    <x v="7"/>
    <x v="0"/>
    <x v="0"/>
    <x v="0"/>
    <s v="KEPL/02470/81-82"/>
    <s v="SHIVA SHAKTI CONCERN"/>
    <x v="3"/>
    <x v="26"/>
    <n v="1"/>
    <n v="72"/>
    <n v="131.83000000000001"/>
    <n v="9491.76"/>
    <n v="-364.48"/>
    <n v="0"/>
    <n v="1186.546157"/>
    <n v="10313.826157"/>
  </r>
  <r>
    <x v="8"/>
    <x v="0"/>
    <x v="0"/>
    <x v="0"/>
    <s v="KEPL/02487/81-82"/>
    <s v="SHIVA SHAKTI CONCERN"/>
    <x v="0"/>
    <x v="18"/>
    <n v="1"/>
    <n v="120"/>
    <n v="141.97"/>
    <n v="17036.400000000001"/>
    <n v="-654.20000000000005"/>
    <n v="0"/>
    <n v="2129.69"/>
    <n v="18511.89"/>
  </r>
  <r>
    <x v="8"/>
    <x v="0"/>
    <x v="0"/>
    <x v="0"/>
    <s v="KEPL/02490/81-82"/>
    <s v="SIMPEX SOLUTION PVT. LTD"/>
    <x v="0"/>
    <x v="10"/>
    <n v="0.11"/>
    <n v="20"/>
    <n v="63.72"/>
    <n v="1274.4000000000001"/>
    <n v="-48.94"/>
    <n v="0"/>
    <n v="159.30988400000001"/>
    <n v="1384.769884"/>
  </r>
  <r>
    <x v="8"/>
    <x v="0"/>
    <x v="0"/>
    <x v="0"/>
    <s v="KEPL/02490/81-82"/>
    <s v="SIMPEX SOLUTION PVT. LTD"/>
    <x v="2"/>
    <x v="22"/>
    <n v="0.5"/>
    <n v="20"/>
    <n v="311.5"/>
    <n v="6230.0000000000009"/>
    <n v="-239.23"/>
    <n v="0"/>
    <n v="778.80051200000003"/>
    <n v="6769.5705120000002"/>
  </r>
  <r>
    <x v="8"/>
    <x v="0"/>
    <x v="0"/>
    <x v="0"/>
    <s v="KEPL/02490/81-82"/>
    <s v="SIMPEX SOLUTION PVT. LTD"/>
    <x v="0"/>
    <x v="19"/>
    <n v="0.11"/>
    <n v="20"/>
    <n v="162.83000000000001"/>
    <n v="3256.6000000000004"/>
    <n v="-125.05"/>
    <n v="0"/>
    <n v="407.10171500000001"/>
    <n v="3538.651715"/>
  </r>
  <r>
    <x v="8"/>
    <x v="0"/>
    <x v="0"/>
    <x v="0"/>
    <s v="KEPL/02490/81-82"/>
    <s v="SIMPEX SOLUTION PVT. LTD"/>
    <x v="0"/>
    <x v="9"/>
    <n v="0.11"/>
    <n v="20"/>
    <n v="74.34"/>
    <n v="1486.8"/>
    <n v="-57.09"/>
    <n v="0"/>
    <n v="185.86239800000001"/>
    <n v="1615.572398"/>
  </r>
  <r>
    <x v="8"/>
    <x v="0"/>
    <x v="0"/>
    <x v="0"/>
    <s v="KEPL/02490/81-82"/>
    <s v="SIMPEX SOLUTION PVT. LTD"/>
    <x v="0"/>
    <x v="2"/>
    <n v="0.11"/>
    <n v="20"/>
    <n v="67.260000000000005"/>
    <n v="1345.2"/>
    <n v="-51.66"/>
    <n v="0"/>
    <n v="168.16028900000001"/>
    <n v="1461.7002890000001"/>
  </r>
  <r>
    <x v="8"/>
    <x v="0"/>
    <x v="0"/>
    <x v="0"/>
    <s v="KEPL/02490/81-82"/>
    <s v="SIMPEX SOLUTION PVT. LTD"/>
    <x v="0"/>
    <x v="14"/>
    <n v="0.11"/>
    <n v="20"/>
    <n v="141.59"/>
    <n v="2831.8"/>
    <n v="-108.74"/>
    <n v="0"/>
    <n v="353.99798699999997"/>
    <n v="3077.0579870000001"/>
  </r>
  <r>
    <x v="8"/>
    <x v="0"/>
    <x v="0"/>
    <x v="0"/>
    <s v="KEPL/02490/81-82"/>
    <s v="SIMPEX SOLUTION PVT. LTD"/>
    <x v="0"/>
    <x v="17"/>
    <n v="0.11"/>
    <n v="20"/>
    <n v="127.43"/>
    <n v="2548.6000000000004"/>
    <n v="-97.87"/>
    <n v="0"/>
    <n v="318.59506900000002"/>
    <n v="2769.325069"/>
  </r>
  <r>
    <x v="8"/>
    <x v="0"/>
    <x v="0"/>
    <x v="0"/>
    <s v="KEPL/02490/81-82"/>
    <s v="SIMPEX SOLUTION PVT. LTD"/>
    <x v="0"/>
    <x v="15"/>
    <n v="0.11"/>
    <n v="20"/>
    <n v="120.35"/>
    <n v="2407.0000000000005"/>
    <n v="-92.43"/>
    <n v="0"/>
    <n v="300.89425899999998"/>
    <n v="2615.4642589999999"/>
  </r>
  <r>
    <x v="8"/>
    <x v="0"/>
    <x v="0"/>
    <x v="0"/>
    <s v="KEPL/02490/81-82"/>
    <s v="SIMPEX SOLUTION PVT. LTD"/>
    <x v="0"/>
    <x v="16"/>
    <n v="0.17"/>
    <n v="20"/>
    <n v="127.43"/>
    <n v="2548.6000000000004"/>
    <n v="-97.87"/>
    <n v="0"/>
    <n v="318.59506900000002"/>
    <n v="2769.325069"/>
  </r>
  <r>
    <x v="8"/>
    <x v="0"/>
    <x v="0"/>
    <x v="0"/>
    <s v="KEPL/02490/81-82"/>
    <s v="SIMPEX SOLUTION PVT. LTD"/>
    <x v="0"/>
    <x v="18"/>
    <n v="0.17"/>
    <n v="20"/>
    <n v="148.66999999999999"/>
    <n v="2973.4"/>
    <n v="-114.18"/>
    <n v="0"/>
    <n v="371.69879700000001"/>
    <n v="3230.9187969999998"/>
  </r>
  <r>
    <x v="8"/>
    <x v="0"/>
    <x v="0"/>
    <x v="0"/>
    <s v="KEPL/02490/81-82"/>
    <s v="SIMPEX SOLUTION PVT. LTD"/>
    <x v="2"/>
    <x v="7"/>
    <n v="0.17"/>
    <n v="20"/>
    <n v="159.29"/>
    <n v="3185.7999999999997"/>
    <n v="-122.33"/>
    <n v="0"/>
    <n v="398.25131099999999"/>
    <n v="3461.7213109999998"/>
  </r>
  <r>
    <x v="8"/>
    <x v="0"/>
    <x v="0"/>
    <x v="0"/>
    <s v="KEPL/02490/81-82"/>
    <s v="SIMPEX SOLUTION PVT. LTD"/>
    <x v="0"/>
    <x v="20"/>
    <n v="0.17"/>
    <n v="20"/>
    <n v="127.43"/>
    <n v="2548.6000000000004"/>
    <n v="-97.87"/>
    <n v="0"/>
    <n v="318.59506900000002"/>
    <n v="2769.325069"/>
  </r>
  <r>
    <x v="8"/>
    <x v="0"/>
    <x v="0"/>
    <x v="0"/>
    <s v="KEPL/02490/81-82"/>
    <s v="SIMPEX SOLUTION PVT. LTD"/>
    <x v="0"/>
    <x v="0"/>
    <n v="0.11"/>
    <n v="20"/>
    <n v="67.260000000000005"/>
    <n v="1345.2"/>
    <n v="-51.66"/>
    <n v="0"/>
    <n v="168.16028900000001"/>
    <n v="1461.7002890000001"/>
  </r>
  <r>
    <x v="8"/>
    <x v="0"/>
    <x v="0"/>
    <x v="0"/>
    <s v="KEPL/02490/81-82"/>
    <s v="SIMPEX SOLUTION PVT. LTD"/>
    <x v="0"/>
    <x v="21"/>
    <n v="0.25"/>
    <n v="20"/>
    <n v="198.23"/>
    <n v="3964.6000000000004"/>
    <n v="-152.24"/>
    <n v="0"/>
    <n v="495.60706199999998"/>
    <n v="4307.9670619999997"/>
  </r>
  <r>
    <x v="8"/>
    <x v="0"/>
    <x v="0"/>
    <x v="0"/>
    <s v="KEPL/02490/81-82"/>
    <s v="SIMPEX SOLUTION PVT. LTD"/>
    <x v="0"/>
    <x v="11"/>
    <n v="0.11"/>
    <n v="20"/>
    <n v="67.260000000000005"/>
    <n v="1345.2"/>
    <n v="-51.66"/>
    <n v="0"/>
    <n v="168.16028900000001"/>
    <n v="1461.7002890000001"/>
  </r>
  <r>
    <x v="8"/>
    <x v="0"/>
    <x v="0"/>
    <x v="0"/>
    <s v="KEPL/02491/81-82"/>
    <s v="SIMPEX SOLUTION PVT. LTD"/>
    <x v="3"/>
    <x v="25"/>
    <n v="0.42"/>
    <n v="20"/>
    <n v="325.66000000000003"/>
    <n v="6513.2000000000007"/>
    <n v="-250.11"/>
    <n v="0"/>
    <n v="814.20194200000003"/>
    <n v="7077.2919419999998"/>
  </r>
  <r>
    <x v="8"/>
    <x v="0"/>
    <x v="0"/>
    <x v="0"/>
    <s v="KEPL/02491/81-82"/>
    <s v="SIMPEX SOLUTION PVT. LTD"/>
    <x v="1"/>
    <x v="6"/>
    <n v="0.2"/>
    <n v="20"/>
    <n v="198.23"/>
    <n v="3964.6000000000004"/>
    <n v="-152.24"/>
    <n v="0"/>
    <n v="495.60694699999999"/>
    <n v="4307.9669469999999"/>
  </r>
  <r>
    <x v="8"/>
    <x v="0"/>
    <x v="0"/>
    <x v="0"/>
    <s v="KEPL/02491/81-82"/>
    <s v="SIMPEX SOLUTION PVT. LTD"/>
    <x v="2"/>
    <x v="24"/>
    <n v="0.5"/>
    <n v="20"/>
    <n v="460.18"/>
    <n v="9203.6"/>
    <n v="-353.42"/>
    <n v="0"/>
    <n v="1150.5237420000001"/>
    <n v="10000.703742"/>
  </r>
  <r>
    <x v="8"/>
    <x v="0"/>
    <x v="0"/>
    <x v="0"/>
    <s v="KEPL/02491/81-82"/>
    <s v="SIMPEX SOLUTION PVT. LTD"/>
    <x v="2"/>
    <x v="28"/>
    <n v="0.25"/>
    <n v="20"/>
    <n v="176.99"/>
    <n v="3539.8"/>
    <n v="-135.93"/>
    <n v="0"/>
    <n v="442.50323200000003"/>
    <n v="3846.3732319999999"/>
  </r>
  <r>
    <x v="8"/>
    <x v="0"/>
    <x v="0"/>
    <x v="0"/>
    <s v="KEPL/02491/81-82"/>
    <s v="SIMPEX SOLUTION PVT. LTD"/>
    <x v="1"/>
    <x v="3"/>
    <n v="0.5"/>
    <n v="20"/>
    <n v="481.42"/>
    <n v="9628.4"/>
    <n v="-369.73"/>
    <n v="0"/>
    <n v="1203.6274580000002"/>
    <n v="10462.297457999999"/>
  </r>
  <r>
    <x v="8"/>
    <x v="0"/>
    <x v="0"/>
    <x v="0"/>
    <s v="KEPL/02491/81-82"/>
    <s v="SIMPEX SOLUTION PVT. LTD"/>
    <x v="1"/>
    <x v="1"/>
    <n v="0.2"/>
    <n v="20"/>
    <n v="113.27"/>
    <n v="2265.4"/>
    <n v="-86.99"/>
    <n v="0"/>
    <n v="283.19338399999998"/>
    <n v="2461.603384"/>
  </r>
  <r>
    <x v="8"/>
    <x v="0"/>
    <x v="0"/>
    <x v="0"/>
    <s v="KEPL/02491/81-82"/>
    <s v="SIMPEX SOLUTION PVT. LTD"/>
    <x v="2"/>
    <x v="5"/>
    <n v="0.11"/>
    <n v="20"/>
    <n v="99.12"/>
    <n v="1982.4"/>
    <n v="-76.12"/>
    <n v="0"/>
    <n v="247.816474"/>
    <n v="2154.0964739999999"/>
  </r>
  <r>
    <x v="8"/>
    <x v="0"/>
    <x v="0"/>
    <x v="0"/>
    <s v="KEPL/02491/81-82"/>
    <s v="SIMPEX SOLUTION PVT. LTD"/>
    <x v="2"/>
    <x v="8"/>
    <n v="0.17"/>
    <n v="20"/>
    <n v="60.18"/>
    <n v="1203.5999999999999"/>
    <n v="-46.22"/>
    <n v="0"/>
    <n v="150.45944500000002"/>
    <n v="1307.8394450000001"/>
  </r>
  <r>
    <x v="8"/>
    <x v="0"/>
    <x v="0"/>
    <x v="0"/>
    <s v="KEPL/02491/81-82"/>
    <s v="SIMPEX SOLUTION PVT. LTD"/>
    <x v="1"/>
    <x v="4"/>
    <n v="0.5"/>
    <n v="20"/>
    <n v="272.57"/>
    <n v="5451.4"/>
    <n v="-209.33"/>
    <n v="0"/>
    <n v="681.46930299999997"/>
    <n v="5923.5393029999996"/>
  </r>
  <r>
    <x v="8"/>
    <x v="0"/>
    <x v="0"/>
    <x v="0"/>
    <s v="KEPL/02491/81-82"/>
    <s v="SIMPEX SOLUTION PVT. LTD"/>
    <x v="4"/>
    <x v="29"/>
    <n v="0.17"/>
    <n v="20"/>
    <n v="60.18"/>
    <n v="1203.5999999999999"/>
    <n v="-46.22"/>
    <n v="0"/>
    <n v="150.45944500000002"/>
    <n v="1307.8394450000001"/>
  </r>
  <r>
    <x v="8"/>
    <x v="0"/>
    <x v="0"/>
    <x v="0"/>
    <s v="KEPL/02491/81-82"/>
    <s v="SIMPEX SOLUTION PVT. LTD"/>
    <x v="3"/>
    <x v="26"/>
    <n v="0.28000000000000003"/>
    <n v="20"/>
    <n v="138.05000000000001"/>
    <n v="2760.9999999999995"/>
    <n v="-106.02"/>
    <n v="0"/>
    <n v="345.14750300000003"/>
    <n v="3000.1275030000002"/>
  </r>
  <r>
    <x v="8"/>
    <x v="0"/>
    <x v="0"/>
    <x v="0"/>
    <s v="KEPL/02491/81-82"/>
    <s v="SIMPEX SOLUTION PVT. LTD"/>
    <x v="4"/>
    <x v="30"/>
    <n v="0.33"/>
    <n v="20"/>
    <n v="102.65"/>
    <n v="2053"/>
    <n v="-78.84"/>
    <n v="0"/>
    <n v="256.64087599999999"/>
    <n v="2230.8008759999998"/>
  </r>
  <r>
    <x v="8"/>
    <x v="0"/>
    <x v="0"/>
    <x v="0"/>
    <s v="KEPL/02491/81-82"/>
    <s v="SIMPEX SOLUTION PVT. LTD"/>
    <x v="2"/>
    <x v="23"/>
    <n v="0.11"/>
    <n v="20"/>
    <n v="191.15"/>
    <n v="3823.0000000000005"/>
    <n v="-146.80000000000001"/>
    <n v="0"/>
    <n v="477.90614199999999"/>
    <n v="4154.1061419999996"/>
  </r>
  <r>
    <x v="8"/>
    <x v="0"/>
    <x v="0"/>
    <x v="0"/>
    <s v="KEPL/02491/81-82"/>
    <s v="SIMPEX SOLUTION PVT. LTD"/>
    <x v="3"/>
    <x v="31"/>
    <n v="0.28000000000000003"/>
    <n v="20"/>
    <n v="155.75"/>
    <n v="3115.0000000000005"/>
    <n v="-119.62"/>
    <n v="0"/>
    <n v="389.39951600000001"/>
    <n v="3384.7795160000001"/>
  </r>
  <r>
    <x v="8"/>
    <x v="0"/>
    <x v="0"/>
    <x v="0"/>
    <s v="KEPL/02491/81-82"/>
    <s v="SIMPEX SOLUTION PVT. LTD"/>
    <x v="0"/>
    <x v="27"/>
    <n v="0.17"/>
    <n v="20"/>
    <n v="123.89"/>
    <n v="2477.7999999999997"/>
    <n v="-95.15"/>
    <n v="0"/>
    <n v="309.74459200000001"/>
    <n v="2692.3945920000001"/>
  </r>
  <r>
    <x v="8"/>
    <x v="0"/>
    <x v="0"/>
    <x v="0"/>
    <s v="KEPL/02492/81-82"/>
    <s v="SIMPEX SOLUTION PVT. LTD"/>
    <x v="1"/>
    <x v="13"/>
    <n v="0.2"/>
    <n v="20"/>
    <n v="120.35"/>
    <n v="2407.0000000000005"/>
    <n v="-92.43"/>
    <n v="0"/>
    <n v="0"/>
    <n v="2314.5700000000002"/>
  </r>
  <r>
    <x v="8"/>
    <x v="0"/>
    <x v="0"/>
    <x v="0"/>
    <s v="KEPL/02492/81-82"/>
    <s v="SIMPEX SOLUTION PVT. LTD"/>
    <x v="1"/>
    <x v="12"/>
    <n v="0.5"/>
    <n v="20"/>
    <n v="286.73"/>
    <n v="5734.5999999999995"/>
    <n v="-220.21"/>
    <n v="0"/>
    <n v="0"/>
    <n v="5514.39"/>
  </r>
  <r>
    <x v="8"/>
    <x v="0"/>
    <x v="0"/>
    <x v="0"/>
    <s v="KEPL/02493/81-82"/>
    <s v="HAMRO KIRANA PASAL"/>
    <x v="4"/>
    <x v="30"/>
    <n v="2"/>
    <n v="120"/>
    <n v="98.03"/>
    <n v="11763.6"/>
    <n v="-451.72"/>
    <n v="0"/>
    <n v="1470.5442090000001"/>
    <n v="12782.424209000001"/>
  </r>
  <r>
    <x v="8"/>
    <x v="0"/>
    <x v="0"/>
    <x v="0"/>
    <s v="KEPL/02493/81-82"/>
    <s v="HAMRO KIRANA PASAL"/>
    <x v="0"/>
    <x v="2"/>
    <n v="1"/>
    <n v="180"/>
    <n v="64.23"/>
    <n v="11561.4"/>
    <n v="-443.96"/>
    <n v="0"/>
    <n v="1445.267012"/>
    <n v="12562.707012000001"/>
  </r>
  <r>
    <x v="8"/>
    <x v="0"/>
    <x v="0"/>
    <x v="0"/>
    <s v="KEPL/02493/81-82"/>
    <s v="HAMRO KIRANA PASAL"/>
    <x v="3"/>
    <x v="26"/>
    <n v="1"/>
    <n v="72"/>
    <n v="131.83000000000001"/>
    <n v="9491.76"/>
    <n v="-364.48"/>
    <n v="0"/>
    <n v="1186.5462460000001"/>
    <n v="10313.826246000001"/>
  </r>
  <r>
    <x v="8"/>
    <x v="0"/>
    <x v="0"/>
    <x v="0"/>
    <s v="KEPL/02493/81-82"/>
    <s v="HAMRO KIRANA PASAL"/>
    <x v="0"/>
    <x v="11"/>
    <n v="1"/>
    <n v="180"/>
    <n v="64.23"/>
    <n v="11561.4"/>
    <n v="-443.96"/>
    <n v="0"/>
    <n v="1445.267012"/>
    <n v="12562.707012000001"/>
  </r>
  <r>
    <x v="8"/>
    <x v="0"/>
    <x v="0"/>
    <x v="0"/>
    <s v="KEPL/02493/81-82"/>
    <s v="HAMRO KIRANA PASAL"/>
    <x v="2"/>
    <x v="28"/>
    <n v="1"/>
    <n v="80"/>
    <n v="169.01"/>
    <n v="13520.8"/>
    <n v="-519.20000000000005"/>
    <n v="0"/>
    <n v="1690.2077800000002"/>
    <n v="14691.807779999999"/>
  </r>
  <r>
    <x v="8"/>
    <x v="0"/>
    <x v="0"/>
    <x v="0"/>
    <s v="KEPL/02493/81-82"/>
    <s v="HAMRO KIRANA PASAL"/>
    <x v="4"/>
    <x v="29"/>
    <n v="1"/>
    <n v="120"/>
    <n v="57.46"/>
    <n v="6895.2"/>
    <n v="-264.77999999999997"/>
    <n v="0"/>
    <n v="861.95448800000008"/>
    <n v="7492.3744880000004"/>
  </r>
  <r>
    <x v="8"/>
    <x v="0"/>
    <x v="0"/>
    <x v="0"/>
    <s v="KEPL/02493/81-82"/>
    <s v="HAMRO KIRANA PASAL"/>
    <x v="0"/>
    <x v="19"/>
    <n v="1"/>
    <n v="180"/>
    <n v="155.49"/>
    <n v="27988.2"/>
    <n v="-1074.75"/>
    <n v="0"/>
    <n v="3498.7480449999998"/>
    <n v="30412.198045000001"/>
  </r>
  <r>
    <x v="8"/>
    <x v="0"/>
    <x v="0"/>
    <x v="0"/>
    <s v="KEPL/02493/81-82"/>
    <s v="HAMRO KIRANA PASAL"/>
    <x v="2"/>
    <x v="5"/>
    <n v="1"/>
    <n v="180"/>
    <n v="94.65"/>
    <n v="17037"/>
    <n v="-654.22"/>
    <n v="0"/>
    <n v="2129.7611229999998"/>
    <n v="18512.541122999999"/>
  </r>
  <r>
    <x v="8"/>
    <x v="0"/>
    <x v="0"/>
    <x v="0"/>
    <s v="KEPL/02493/81-82"/>
    <s v="HAMRO KIRANA PASAL"/>
    <x v="3"/>
    <x v="25"/>
    <n v="1"/>
    <n v="48"/>
    <n v="310.99"/>
    <n v="14927.519999999999"/>
    <n v="-573.22"/>
    <n v="0"/>
    <n v="1866.0587580000001"/>
    <n v="16220.358758"/>
  </r>
  <r>
    <x v="8"/>
    <x v="0"/>
    <x v="0"/>
    <x v="0"/>
    <s v="KEPL/02493/81-82"/>
    <s v="HAMRO KIRANA PASAL"/>
    <x v="3"/>
    <x v="31"/>
    <n v="1"/>
    <n v="72"/>
    <n v="148.72999999999999"/>
    <n v="10708.56"/>
    <n v="-411.21"/>
    <n v="0"/>
    <n v="1338.6553260000001"/>
    <n v="11636.005326"/>
  </r>
  <r>
    <x v="8"/>
    <x v="0"/>
    <x v="0"/>
    <x v="0"/>
    <s v="KEPL/02494/81-82"/>
    <s v="SAFAL MART PVT.LTD"/>
    <x v="2"/>
    <x v="8"/>
    <n v="2"/>
    <n v="240"/>
    <n v="57.46"/>
    <n v="13790.4"/>
    <n v="-529.54999999999995"/>
    <n v="0"/>
    <n v="1723.910376"/>
    <n v="14984.760376"/>
  </r>
  <r>
    <x v="8"/>
    <x v="0"/>
    <x v="0"/>
    <x v="0"/>
    <s v="KEPL/02494/81-82"/>
    <s v="SAFAL MART PVT.LTD"/>
    <x v="0"/>
    <x v="17"/>
    <n v="2"/>
    <n v="360"/>
    <n v="121.69"/>
    <n v="43808.399999999994"/>
    <n v="-1682.24"/>
    <n v="0"/>
    <n v="5476.4004050000003"/>
    <n v="47602.560404999997"/>
  </r>
  <r>
    <x v="8"/>
    <x v="0"/>
    <x v="0"/>
    <x v="0"/>
    <s v="KEPL/02494/81-82"/>
    <s v="SAFAL MART PVT.LTD"/>
    <x v="2"/>
    <x v="23"/>
    <n v="4"/>
    <n v="720"/>
    <n v="182.53"/>
    <n v="131421.6"/>
    <n v="-5046.59"/>
    <n v="0"/>
    <n v="16428.750114999999"/>
    <n v="142803.76011500001"/>
  </r>
  <r>
    <x v="8"/>
    <x v="0"/>
    <x v="0"/>
    <x v="0"/>
    <s v="KEPL/02494/81-82"/>
    <s v="SAFAL MART PVT.LTD"/>
    <x v="0"/>
    <x v="20"/>
    <n v="1"/>
    <n v="120"/>
    <n v="121.69"/>
    <n v="14602.800000000001"/>
    <n v="-560.75"/>
    <n v="0"/>
    <n v="1825.4663680000001"/>
    <n v="15867.516368000001"/>
  </r>
  <r>
    <x v="8"/>
    <x v="0"/>
    <x v="0"/>
    <x v="0"/>
    <s v="KEPL/02494/81-82"/>
    <s v="SAFAL MART PVT.LTD"/>
    <x v="0"/>
    <x v="16"/>
    <n v="2"/>
    <n v="240"/>
    <n v="121.69"/>
    <n v="29205.600000000002"/>
    <n v="-1121.5"/>
    <n v="0"/>
    <n v="3650.9327370000001"/>
    <n v="31735.032737000001"/>
  </r>
  <r>
    <x v="9"/>
    <x v="0"/>
    <x v="0"/>
    <x v="0"/>
    <s v="KEPL/02496/81-82"/>
    <s v="AARYA TRADE LINK PVT.LTD"/>
    <x v="3"/>
    <x v="25"/>
    <n v="2"/>
    <n v="96"/>
    <n v="310.99"/>
    <n v="29855.039999999997"/>
    <n v="-1146.43"/>
    <n v="0"/>
    <n v="3732.1195600000001"/>
    <n v="32440.72956"/>
  </r>
  <r>
    <x v="9"/>
    <x v="0"/>
    <x v="0"/>
    <x v="0"/>
    <s v="KEPL/02496/81-82"/>
    <s v="AARYA TRADE LINK PVT.LTD"/>
    <x v="3"/>
    <x v="26"/>
    <n v="1"/>
    <n v="72"/>
    <n v="131.83000000000001"/>
    <n v="9491.76"/>
    <n v="-364.48"/>
    <n v="0"/>
    <n v="1186.5464830000001"/>
    <n v="10313.826483000001"/>
  </r>
  <r>
    <x v="9"/>
    <x v="0"/>
    <x v="0"/>
    <x v="0"/>
    <s v="KEPL/02496/81-82"/>
    <s v="AARYA TRADE LINK PVT.LTD"/>
    <x v="4"/>
    <x v="30"/>
    <n v="3"/>
    <n v="180"/>
    <n v="98.03"/>
    <n v="17645.400000000001"/>
    <n v="-677.58"/>
    <n v="0"/>
    <n v="2205.8167539999999"/>
    <n v="19173.636753999999"/>
  </r>
  <r>
    <x v="9"/>
    <x v="0"/>
    <x v="0"/>
    <x v="0"/>
    <s v="KEPL/02496/81-82"/>
    <s v="AARYA TRADE LINK PVT.LTD"/>
    <x v="0"/>
    <x v="21"/>
    <n v="1"/>
    <n v="80"/>
    <n v="189.3"/>
    <n v="15144"/>
    <n v="-581.53"/>
    <n v="0"/>
    <n v="1893.121232"/>
    <n v="16455.591231999999"/>
  </r>
  <r>
    <x v="9"/>
    <x v="0"/>
    <x v="0"/>
    <x v="0"/>
    <s v="KEPL/02496/81-82"/>
    <s v="AARYA TRADE LINK PVT.LTD"/>
    <x v="2"/>
    <x v="24"/>
    <n v="1"/>
    <n v="40"/>
    <n v="439.44"/>
    <n v="17577.599999999999"/>
    <n v="-674.98"/>
    <n v="0"/>
    <n v="2197.3407529999999"/>
    <n v="19099.960752999999"/>
  </r>
  <r>
    <x v="9"/>
    <x v="0"/>
    <x v="0"/>
    <x v="0"/>
    <s v="KEPL/02496/81-82"/>
    <s v="AARYA TRADE LINK PVT.LTD"/>
    <x v="4"/>
    <x v="29"/>
    <n v="1"/>
    <n v="120"/>
    <n v="57.46"/>
    <n v="6895.2"/>
    <n v="-264.77999999999997"/>
    <n v="0"/>
    <n v="861.95465999999999"/>
    <n v="7492.3746600000004"/>
  </r>
  <r>
    <x v="9"/>
    <x v="0"/>
    <x v="0"/>
    <x v="0"/>
    <s v="KEPL/02496/81-82"/>
    <s v="AARYA TRADE LINK PVT.LTD"/>
    <x v="2"/>
    <x v="28"/>
    <n v="0.63"/>
    <n v="50"/>
    <n v="169.01"/>
    <n v="8450.5"/>
    <n v="-324.5"/>
    <n v="0"/>
    <n v="1056.3800739999999"/>
    <n v="9182.3800740000006"/>
  </r>
  <r>
    <x v="9"/>
    <x v="0"/>
    <x v="0"/>
    <x v="0"/>
    <s v="KEPL/02496/81-82"/>
    <s v="AARYA TRADE LINK PVT.LTD"/>
    <x v="0"/>
    <x v="18"/>
    <n v="1"/>
    <n v="120"/>
    <n v="141.97"/>
    <n v="17036.400000000001"/>
    <n v="-654.20000000000005"/>
    <n v="0"/>
    <n v="2129.6861479999998"/>
    <n v="18511.886148000001"/>
  </r>
  <r>
    <x v="9"/>
    <x v="0"/>
    <x v="0"/>
    <x v="0"/>
    <s v="KEPL/02496/81-82"/>
    <s v="AARYA TRADE LINK PVT.LTD"/>
    <x v="0"/>
    <x v="19"/>
    <n v="1"/>
    <n v="180"/>
    <n v="155.49"/>
    <n v="27988.2"/>
    <n v="-1074.75"/>
    <n v="0"/>
    <n v="3498.7487440000004"/>
    <n v="30412.198744000001"/>
  </r>
  <r>
    <x v="9"/>
    <x v="0"/>
    <x v="0"/>
    <x v="0"/>
    <s v="KEPL/02496/81-82"/>
    <s v="AARYA TRADE LINK PVT.LTD"/>
    <x v="3"/>
    <x v="31"/>
    <n v="1"/>
    <n v="72"/>
    <n v="148.72999999999999"/>
    <n v="10708.56"/>
    <n v="-411.21"/>
    <n v="0"/>
    <n v="1338.655593"/>
    <n v="11636.005593"/>
  </r>
  <r>
    <x v="10"/>
    <x v="0"/>
    <x v="0"/>
    <x v="0"/>
    <s v="KEPL/02514/81-82"/>
    <s v="BEERA BARJEE INTERNATIONAL PVT.LTD"/>
    <x v="0"/>
    <x v="27"/>
    <n v="2"/>
    <n v="240"/>
    <n v="118.31"/>
    <n v="28394.399999999998"/>
    <n v="-1090.3399999999999"/>
    <n v="0"/>
    <n v="3549.5285650000001"/>
    <n v="30853.588564999998"/>
  </r>
  <r>
    <x v="10"/>
    <x v="0"/>
    <x v="0"/>
    <x v="0"/>
    <s v="KEPL/02514/81-82"/>
    <s v="BEERA BARJEE INTERNATIONAL PVT.LTD"/>
    <x v="4"/>
    <x v="30"/>
    <n v="0.47"/>
    <n v="28"/>
    <n v="98.03"/>
    <n v="2744.8399999999997"/>
    <n v="-105.4"/>
    <n v="0"/>
    <n v="343.127274"/>
    <n v="2982.567274"/>
  </r>
  <r>
    <x v="10"/>
    <x v="0"/>
    <x v="0"/>
    <x v="0"/>
    <s v="KEPL/02514/81-82"/>
    <s v="BEERA BARJEE INTERNATIONAL PVT.LTD"/>
    <x v="2"/>
    <x v="22"/>
    <n v="1"/>
    <n v="40"/>
    <n v="297.45999999999998"/>
    <n v="11898.4"/>
    <n v="-456.9"/>
    <n v="0"/>
    <n v="1487.3953200000001"/>
    <n v="12928.89532"/>
  </r>
  <r>
    <x v="10"/>
    <x v="0"/>
    <x v="0"/>
    <x v="0"/>
    <s v="KEPL/02514/81-82"/>
    <s v="BEERA BARJEE INTERNATIONAL PVT.LTD"/>
    <x v="3"/>
    <x v="26"/>
    <n v="1"/>
    <n v="72"/>
    <n v="131.83000000000001"/>
    <n v="9491.76"/>
    <n v="-364.48"/>
    <n v="0"/>
    <n v="1186.5466560000002"/>
    <n v="10313.826655999999"/>
  </r>
  <r>
    <x v="10"/>
    <x v="0"/>
    <x v="0"/>
    <x v="0"/>
    <s v="KEPL/02514/81-82"/>
    <s v="BEERA BARJEE INTERNATIONAL PVT.LTD"/>
    <x v="3"/>
    <x v="31"/>
    <n v="1"/>
    <n v="72"/>
    <n v="148.72999999999999"/>
    <n v="10708.56"/>
    <n v="-411.21"/>
    <n v="0"/>
    <n v="1338.655788"/>
    <n v="11636.005788"/>
  </r>
  <r>
    <x v="10"/>
    <x v="0"/>
    <x v="0"/>
    <x v="0"/>
    <s v="KEPL/02514/81-82"/>
    <s v="BEERA BARJEE INTERNATIONAL PVT.LTD"/>
    <x v="4"/>
    <x v="29"/>
    <n v="1"/>
    <n v="120"/>
    <n v="57.46"/>
    <n v="6895.2"/>
    <n v="-264.77999999999997"/>
    <n v="0"/>
    <n v="861.95478600000001"/>
    <n v="7492.3747860000003"/>
  </r>
  <r>
    <x v="10"/>
    <x v="0"/>
    <x v="0"/>
    <x v="0"/>
    <s v="KEPL/02514/81-82"/>
    <s v="BEERA BARJEE INTERNATIONAL PVT.LTD"/>
    <x v="0"/>
    <x v="21"/>
    <n v="1"/>
    <n v="80"/>
    <n v="189.3"/>
    <n v="15144"/>
    <n v="-581.53"/>
    <n v="0"/>
    <n v="1893.1215080000002"/>
    <n v="16455.591508000001"/>
  </r>
  <r>
    <x v="10"/>
    <x v="0"/>
    <x v="0"/>
    <x v="0"/>
    <s v="KEPL/02514/81-82"/>
    <s v="BEERA BARJEE INTERNATIONAL PVT.LTD"/>
    <x v="3"/>
    <x v="25"/>
    <n v="2"/>
    <n v="96"/>
    <n v="310.99"/>
    <n v="29855.039999999997"/>
    <n v="-1146.43"/>
    <n v="0"/>
    <n v="3732.1201039999996"/>
    <n v="32440.730103999998"/>
  </r>
  <r>
    <x v="11"/>
    <x v="0"/>
    <x v="0"/>
    <x v="0"/>
    <s v="KEPL/02519/81-82"/>
    <s v="NEPAL SENA SUPATH MULYA CANTEEN"/>
    <x v="0"/>
    <x v="2"/>
    <n v="0.56000000000000005"/>
    <n v="100"/>
    <n v="64.23"/>
    <n v="6423"/>
    <n v="0"/>
    <n v="0"/>
    <n v="834.99013300000001"/>
    <n v="7257.9901330000002"/>
  </r>
  <r>
    <x v="11"/>
    <x v="0"/>
    <x v="0"/>
    <x v="0"/>
    <s v="KEPL/02519/81-82"/>
    <s v="NEPAL SENA SUPATH MULYA CANTEEN"/>
    <x v="0"/>
    <x v="15"/>
    <n v="0.56000000000000005"/>
    <n v="100"/>
    <n v="114.93"/>
    <n v="11493"/>
    <n v="0"/>
    <n v="0"/>
    <n v="1494.0902379999998"/>
    <n v="12987.090238000001"/>
  </r>
  <r>
    <x v="11"/>
    <x v="0"/>
    <x v="0"/>
    <x v="0"/>
    <s v="KEPL/02519/81-82"/>
    <s v="NEPAL SENA SUPATH MULYA CANTEEN"/>
    <x v="1"/>
    <x v="1"/>
    <n v="1"/>
    <n v="100"/>
    <n v="108.17"/>
    <n v="10817"/>
    <n v="0"/>
    <n v="0"/>
    <n v="1406.2102240000002"/>
    <n v="12223.210224"/>
  </r>
  <r>
    <x v="11"/>
    <x v="0"/>
    <x v="0"/>
    <x v="0"/>
    <s v="KEPL/02519/81-82"/>
    <s v="NEPAL SENA SUPATH MULYA CANTEEN"/>
    <x v="0"/>
    <x v="9"/>
    <n v="0.56000000000000005"/>
    <n v="100"/>
    <n v="70.989999999999995"/>
    <n v="7099"/>
    <n v="0"/>
    <n v="0"/>
    <n v="922.87014700000009"/>
    <n v="8021.8701469999996"/>
  </r>
  <r>
    <x v="11"/>
    <x v="0"/>
    <x v="0"/>
    <x v="0"/>
    <s v="KEPL/02519/81-82"/>
    <s v="NEPAL SENA SUPATH MULYA CANTEEN"/>
    <x v="0"/>
    <x v="17"/>
    <n v="0.56000000000000005"/>
    <n v="100"/>
    <n v="121.69"/>
    <n v="12169"/>
    <n v="0"/>
    <n v="0"/>
    <n v="1581.9702519999998"/>
    <n v="13750.970251999999"/>
  </r>
  <r>
    <x v="11"/>
    <x v="0"/>
    <x v="0"/>
    <x v="0"/>
    <s v="KEPL/02519/81-82"/>
    <s v="NEPAL SENA SUPATH MULYA CANTEEN"/>
    <x v="1"/>
    <x v="4"/>
    <n v="1"/>
    <n v="40"/>
    <n v="260.27999999999997"/>
    <n v="10411.200000000001"/>
    <n v="0"/>
    <n v="0"/>
    <n v="1353.4562159999998"/>
    <n v="11764.656215999999"/>
  </r>
  <r>
    <x v="11"/>
    <x v="0"/>
    <x v="0"/>
    <x v="0"/>
    <s v="KEPL/02519/81-82"/>
    <s v="NEPAL SENA SUPATH MULYA CANTEEN"/>
    <x v="0"/>
    <x v="21"/>
    <n v="1"/>
    <n v="80"/>
    <n v="189.3"/>
    <n v="15144"/>
    <n v="0"/>
    <n v="0"/>
    <n v="1968.7203139999999"/>
    <n v="17112.720313999998"/>
  </r>
  <r>
    <x v="11"/>
    <x v="0"/>
    <x v="0"/>
    <x v="0"/>
    <s v="KEPL/02519/81-82"/>
    <s v="NEPAL SENA SUPATH MULYA CANTEEN"/>
    <x v="2"/>
    <x v="5"/>
    <n v="0.56000000000000005"/>
    <n v="100"/>
    <n v="94.65"/>
    <n v="9465"/>
    <n v="0"/>
    <n v="0"/>
    <n v="1230.450196"/>
    <n v="10695.450196"/>
  </r>
  <r>
    <x v="11"/>
    <x v="0"/>
    <x v="0"/>
    <x v="0"/>
    <s v="KEPL/02519/81-82"/>
    <s v="NEPAL SENA SUPATH MULYA CANTEEN"/>
    <x v="3"/>
    <x v="25"/>
    <n v="1"/>
    <n v="48"/>
    <n v="310.99"/>
    <n v="14927.519999999999"/>
    <n v="0"/>
    <n v="0"/>
    <n v="1940.57791"/>
    <n v="16868.09791"/>
  </r>
  <r>
    <x v="11"/>
    <x v="0"/>
    <x v="0"/>
    <x v="0"/>
    <s v="KEPL/02519/81-82"/>
    <s v="NEPAL SENA SUPATH MULYA CANTEEN"/>
    <x v="0"/>
    <x v="14"/>
    <n v="0.56000000000000005"/>
    <n v="100"/>
    <n v="136.15"/>
    <n v="13615"/>
    <n v="0"/>
    <n v="0"/>
    <n v="1769.950282"/>
    <n v="15384.950282"/>
  </r>
  <r>
    <x v="11"/>
    <x v="0"/>
    <x v="0"/>
    <x v="0"/>
    <s v="KEPL/02519/81-82"/>
    <s v="NEPAL SENA SUPATH MULYA CANTEEN"/>
    <x v="0"/>
    <x v="20"/>
    <n v="0.83"/>
    <n v="100"/>
    <n v="121.69"/>
    <n v="12169"/>
    <n v="0"/>
    <n v="0"/>
    <n v="1581.9702519999998"/>
    <n v="13750.970251999999"/>
  </r>
  <r>
    <x v="11"/>
    <x v="0"/>
    <x v="0"/>
    <x v="0"/>
    <s v="KEPL/02519/81-82"/>
    <s v="NEPAL SENA SUPATH MULYA CANTEEN"/>
    <x v="3"/>
    <x v="26"/>
    <n v="1"/>
    <n v="72"/>
    <n v="131.83000000000001"/>
    <n v="9491.76"/>
    <n v="0"/>
    <n v="0"/>
    <n v="1233.928997"/>
    <n v="10725.688996999999"/>
  </r>
  <r>
    <x v="11"/>
    <x v="0"/>
    <x v="0"/>
    <x v="0"/>
    <s v="KEPL/02519/81-82"/>
    <s v="NEPAL SENA SUPATH MULYA CANTEEN"/>
    <x v="2"/>
    <x v="23"/>
    <n v="0.56000000000000005"/>
    <n v="100"/>
    <n v="182.53"/>
    <n v="18253"/>
    <n v="0"/>
    <n v="0"/>
    <n v="2372.8903789999999"/>
    <n v="20625.890379"/>
  </r>
  <r>
    <x v="11"/>
    <x v="0"/>
    <x v="0"/>
    <x v="0"/>
    <s v="KEPL/02519/81-82"/>
    <s v="NEPAL SENA SUPATH MULYA CANTEEN"/>
    <x v="2"/>
    <x v="8"/>
    <n v="1"/>
    <n v="120"/>
    <n v="57.46"/>
    <n v="6895.2"/>
    <n v="0"/>
    <n v="0"/>
    <n v="896.37614299999996"/>
    <n v="7791.5761430000002"/>
  </r>
  <r>
    <x v="11"/>
    <x v="0"/>
    <x v="0"/>
    <x v="0"/>
    <s v="KEPL/02519/81-82"/>
    <s v="NEPAL SENA SUPATH MULYA CANTEEN"/>
    <x v="0"/>
    <x v="0"/>
    <n v="0.56000000000000005"/>
    <n v="100"/>
    <n v="64.23"/>
    <n v="6423"/>
    <n v="0"/>
    <n v="0"/>
    <n v="834.99013300000001"/>
    <n v="7257.9901330000002"/>
  </r>
  <r>
    <x v="11"/>
    <x v="0"/>
    <x v="0"/>
    <x v="0"/>
    <s v="KEPL/02519/81-82"/>
    <s v="NEPAL SENA SUPATH MULYA CANTEEN"/>
    <x v="0"/>
    <x v="11"/>
    <n v="0.56000000000000005"/>
    <n v="100"/>
    <n v="64.23"/>
    <n v="6423"/>
    <n v="0"/>
    <n v="0"/>
    <n v="834.99013300000001"/>
    <n v="7257.9901330000002"/>
  </r>
  <r>
    <x v="11"/>
    <x v="0"/>
    <x v="0"/>
    <x v="0"/>
    <s v="KEPL/02519/81-82"/>
    <s v="NEPAL SENA SUPATH MULYA CANTEEN"/>
    <x v="3"/>
    <x v="31"/>
    <n v="1"/>
    <n v="72"/>
    <n v="148.72999999999999"/>
    <n v="10708.56"/>
    <n v="0"/>
    <n v="0"/>
    <n v="1392.1130219999998"/>
    <n v="12100.673022000001"/>
  </r>
  <r>
    <x v="11"/>
    <x v="0"/>
    <x v="0"/>
    <x v="0"/>
    <s v="KEPL/02519/81-82"/>
    <s v="NEPAL SENA SUPATH MULYA CANTEEN"/>
    <x v="1"/>
    <x v="3"/>
    <n v="1"/>
    <n v="40"/>
    <n v="459.72"/>
    <n v="18388.8"/>
    <n v="0"/>
    <n v="0"/>
    <n v="2390.5443810000002"/>
    <n v="20779.344380999999"/>
  </r>
  <r>
    <x v="11"/>
    <x v="0"/>
    <x v="0"/>
    <x v="0"/>
    <s v="KEPL/02519/81-82"/>
    <s v="NEPAL SENA SUPATH MULYA CANTEEN"/>
    <x v="0"/>
    <x v="16"/>
    <n v="0.83"/>
    <n v="100"/>
    <n v="121.69"/>
    <n v="12169"/>
    <n v="0"/>
    <n v="0"/>
    <n v="1581.9702519999998"/>
    <n v="13750.970251999999"/>
  </r>
  <r>
    <x v="11"/>
    <x v="0"/>
    <x v="0"/>
    <x v="0"/>
    <s v="KEPL/02519/81-82"/>
    <s v="NEPAL SENA SUPATH MULYA CANTEEN"/>
    <x v="1"/>
    <x v="6"/>
    <n v="1"/>
    <n v="100"/>
    <n v="189.3"/>
    <n v="18930"/>
    <n v="0"/>
    <n v="0"/>
    <n v="2460.9003929999999"/>
    <n v="21390.900393"/>
  </r>
  <r>
    <x v="11"/>
    <x v="0"/>
    <x v="0"/>
    <x v="0"/>
    <s v="KEPL/02520/81-82"/>
    <s v="NEPAL SENA SUPATH MULYA CANTEEN"/>
    <x v="1"/>
    <x v="12"/>
    <n v="1"/>
    <n v="40"/>
    <n v="311.54000000000002"/>
    <n v="12461.599999999999"/>
    <s v=""/>
    <s v=""/>
    <s v=""/>
    <n v="12461.6"/>
  </r>
  <r>
    <x v="11"/>
    <x v="0"/>
    <x v="0"/>
    <x v="0"/>
    <s v="KEPL/02520/81-82"/>
    <s v="NEPAL SENA SUPATH MULYA CANTEEN"/>
    <x v="1"/>
    <x v="13"/>
    <n v="1"/>
    <n v="100"/>
    <n v="130.77000000000001"/>
    <n v="13077"/>
    <s v=""/>
    <s v=""/>
    <s v=""/>
    <n v="13077"/>
  </r>
  <r>
    <x v="12"/>
    <x v="1"/>
    <x v="0"/>
    <x v="0"/>
    <s v="KEPL/02577/81-82"/>
    <s v="DS SPICECO L &amp; D"/>
    <x v="3"/>
    <x v="25"/>
    <n v="0.1"/>
    <n v="5"/>
    <n v="310.99"/>
    <n v="1554.95"/>
    <n v="-59.71"/>
    <n v="0"/>
    <n v="194.38009600000001"/>
    <n v="1689.6200960000001"/>
  </r>
  <r>
    <x v="12"/>
    <x v="1"/>
    <x v="0"/>
    <x v="0"/>
    <s v="KEPL/02577/81-82"/>
    <s v="DS SPICECO L &amp; D"/>
    <x v="3"/>
    <x v="26"/>
    <n v="7.0000000000000007E-2"/>
    <n v="5"/>
    <n v="131.83000000000001"/>
    <n v="659.15000000000009"/>
    <n v="-25.31"/>
    <n v="0"/>
    <n v="82.398731999999995"/>
    <n v="716.23873200000003"/>
  </r>
  <r>
    <x v="12"/>
    <x v="1"/>
    <x v="0"/>
    <x v="0"/>
    <s v="KEPL/02577/81-82"/>
    <s v="DS SPICECO L &amp; D"/>
    <x v="3"/>
    <x v="31"/>
    <n v="7.0000000000000007E-2"/>
    <n v="5"/>
    <n v="148.72999999999999"/>
    <n v="743.65"/>
    <n v="-28.56"/>
    <n v="0"/>
    <n v="92.961172000000005"/>
    <n v="808.05117199999995"/>
  </r>
  <r>
    <x v="13"/>
    <x v="1"/>
    <x v="0"/>
    <x v="0"/>
    <s v="KEPL/02579/81-82"/>
    <s v="WELSON TRADE &amp; RASAN MART"/>
    <x v="0"/>
    <x v="11"/>
    <n v="2"/>
    <n v="360"/>
    <n v="64.23"/>
    <n v="23122.799999999999"/>
    <n v="-2101.8599999999997"/>
    <n v="0"/>
    <n v="2732.7223169999997"/>
    <n v="23753.662316999998"/>
  </r>
  <r>
    <x v="13"/>
    <x v="1"/>
    <x v="0"/>
    <x v="0"/>
    <s v="KEPL/02579/81-82"/>
    <s v="WELSON TRADE &amp; RASAN MART"/>
    <x v="0"/>
    <x v="10"/>
    <n v="1"/>
    <n v="180"/>
    <n v="60.84"/>
    <n v="10951.199999999999"/>
    <n v="-995.46"/>
    <n v="0"/>
    <n v="1294.2462549999998"/>
    <n v="11249.986255"/>
  </r>
  <r>
    <x v="13"/>
    <x v="1"/>
    <x v="0"/>
    <x v="0"/>
    <s v="KEPL/02579/81-82"/>
    <s v="WELSON TRADE &amp; RASAN MART"/>
    <x v="0"/>
    <x v="20"/>
    <n v="1"/>
    <n v="120"/>
    <n v="121.69"/>
    <n v="14602.800000000001"/>
    <n v="-1327.39"/>
    <n v="0"/>
    <n v="1725.8033739999998"/>
    <n v="15001.213374000001"/>
  </r>
  <r>
    <x v="13"/>
    <x v="1"/>
    <x v="0"/>
    <x v="0"/>
    <s v="KEPL/02579/81-82"/>
    <s v="WELSON TRADE &amp; RASAN MART"/>
    <x v="2"/>
    <x v="7"/>
    <n v="1"/>
    <n v="120"/>
    <n v="152.11000000000001"/>
    <n v="18253.2"/>
    <n v="-1659.2199999999998"/>
    <n v="0"/>
    <n v="2157.2174919999998"/>
    <n v="18751.197491999999"/>
  </r>
  <r>
    <x v="13"/>
    <x v="1"/>
    <x v="0"/>
    <x v="0"/>
    <s v="KEPL/02579/81-82"/>
    <s v="WELSON TRADE &amp; RASAN MART"/>
    <x v="0"/>
    <x v="9"/>
    <n v="1"/>
    <n v="180"/>
    <n v="70.989999999999995"/>
    <n v="12778.2"/>
    <n v="-1161.54"/>
    <n v="0"/>
    <n v="1510.1658649999999"/>
    <n v="13126.825865000001"/>
  </r>
  <r>
    <x v="13"/>
    <x v="1"/>
    <x v="0"/>
    <x v="0"/>
    <s v="KEPL/02579/81-82"/>
    <s v="WELSON TRADE &amp; RASAN MART"/>
    <x v="0"/>
    <x v="2"/>
    <n v="2"/>
    <n v="360"/>
    <n v="64.23"/>
    <n v="23122.799999999999"/>
    <n v="-2101.8599999999997"/>
    <n v="0"/>
    <n v="2732.7223169999997"/>
    <n v="23753.662316999998"/>
  </r>
  <r>
    <x v="13"/>
    <x v="1"/>
    <x v="0"/>
    <x v="0"/>
    <s v="KEPL/02579/81-82"/>
    <s v="WELSON TRADE &amp; RASAN MART"/>
    <x v="0"/>
    <x v="16"/>
    <n v="1"/>
    <n v="120"/>
    <n v="121.69"/>
    <n v="14602.800000000001"/>
    <n v="-1327.39"/>
    <n v="0"/>
    <n v="1725.8033739999998"/>
    <n v="15001.213374000001"/>
  </r>
  <r>
    <x v="13"/>
    <x v="1"/>
    <x v="0"/>
    <x v="0"/>
    <s v="KEPL/02579/81-82"/>
    <s v="WELSON TRADE &amp; RASAN MART"/>
    <x v="1"/>
    <x v="6"/>
    <n v="1"/>
    <n v="100"/>
    <n v="189.3"/>
    <n v="18930"/>
    <n v="-1720.7399999999998"/>
    <n v="0"/>
    <n v="2237.203896"/>
    <n v="19446.463896000001"/>
  </r>
  <r>
    <x v="13"/>
    <x v="1"/>
    <x v="0"/>
    <x v="0"/>
    <s v="KEPL/02579/81-82"/>
    <s v="WELSON TRADE &amp; RASAN MART"/>
    <x v="0"/>
    <x v="27"/>
    <n v="1"/>
    <n v="120"/>
    <n v="118.31"/>
    <n v="14197.199999999999"/>
    <n v="-1290.53"/>
    <n v="0"/>
    <n v="1677.8671720000002"/>
    <n v="14584.537172"/>
  </r>
  <r>
    <x v="13"/>
    <x v="1"/>
    <x v="0"/>
    <x v="0"/>
    <s v="KEPL/02579/81-82"/>
    <s v="WELSON TRADE &amp; RASAN MART"/>
    <x v="2"/>
    <x v="5"/>
    <n v="1"/>
    <n v="180"/>
    <n v="94.65"/>
    <n v="17037"/>
    <n v="-1548.6599999999999"/>
    <n v="0"/>
    <n v="2013.4842859999999"/>
    <n v="17501.824285999999"/>
  </r>
  <r>
    <x v="13"/>
    <x v="1"/>
    <x v="0"/>
    <x v="0"/>
    <s v="KEPL/02579/81-82"/>
    <s v="WELSON TRADE &amp; RASAN MART"/>
    <x v="0"/>
    <x v="17"/>
    <n v="1"/>
    <n v="180"/>
    <n v="121.69"/>
    <n v="21904.199999999997"/>
    <n v="-1991.09"/>
    <n v="0"/>
    <n v="2588.7044110000002"/>
    <n v="22501.814410999999"/>
  </r>
  <r>
    <x v="13"/>
    <x v="1"/>
    <x v="0"/>
    <x v="0"/>
    <s v="KEPL/02579/81-82"/>
    <s v="WELSON TRADE &amp; RASAN MART"/>
    <x v="0"/>
    <x v="19"/>
    <n v="1"/>
    <n v="180"/>
    <n v="155.49"/>
    <n v="27988.2"/>
    <n v="-2544.13"/>
    <n v="0"/>
    <n v="3307.7292419999999"/>
    <n v="28751.799242000001"/>
  </r>
  <r>
    <x v="13"/>
    <x v="1"/>
    <x v="0"/>
    <x v="0"/>
    <s v="KEPL/02580/81-82"/>
    <s v="SHIVA SHAKTI CONCERN"/>
    <x v="2"/>
    <x v="5"/>
    <n v="1"/>
    <n v="180"/>
    <n v="94.65"/>
    <n v="17037"/>
    <n v="-1548.6599999999999"/>
    <n v="0"/>
    <n v="2013.485727"/>
    <n v="17501.825726999999"/>
  </r>
  <r>
    <x v="13"/>
    <x v="1"/>
    <x v="0"/>
    <x v="0"/>
    <s v="KEPL/02580/81-82"/>
    <s v="SHIVA SHAKTI CONCERN"/>
    <x v="0"/>
    <x v="11"/>
    <n v="1"/>
    <n v="180"/>
    <n v="64.23"/>
    <n v="11561.4"/>
    <n v="-1050.9299999999998"/>
    <n v="0"/>
    <n v="1366.362136"/>
    <n v="11876.832136000001"/>
  </r>
  <r>
    <x v="13"/>
    <x v="1"/>
    <x v="0"/>
    <x v="0"/>
    <s v="KEPL/02580/81-82"/>
    <s v="SHIVA SHAKTI CONCERN"/>
    <x v="0"/>
    <x v="2"/>
    <n v="1"/>
    <n v="180"/>
    <n v="64.23"/>
    <n v="11561.4"/>
    <n v="-1050.9299999999998"/>
    <n v="0"/>
    <n v="1366.362136"/>
    <n v="11876.832136000001"/>
  </r>
  <r>
    <x v="13"/>
    <x v="1"/>
    <x v="0"/>
    <x v="0"/>
    <s v="KEPL/02581/81-82"/>
    <s v="AMRIT TRADE CONCERN"/>
    <x v="3"/>
    <x v="26"/>
    <n v="1"/>
    <n v="72"/>
    <n v="131.83000000000001"/>
    <n v="9491.76"/>
    <n v="-862.8"/>
    <n v="0"/>
    <n v="1121.7644850000001"/>
    <n v="9750.7244850000006"/>
  </r>
  <r>
    <x v="13"/>
    <x v="1"/>
    <x v="0"/>
    <x v="0"/>
    <s v="KEPL/02581/81-82"/>
    <s v="AMRIT TRADE CONCERN"/>
    <x v="0"/>
    <x v="27"/>
    <n v="1"/>
    <n v="120"/>
    <n v="118.31"/>
    <n v="14197.199999999999"/>
    <n v="-1290.53"/>
    <n v="0"/>
    <n v="1677.866628"/>
    <n v="14584.536628"/>
  </r>
  <r>
    <x v="13"/>
    <x v="1"/>
    <x v="0"/>
    <x v="0"/>
    <s v="KEPL/02581/81-82"/>
    <s v="AMRIT TRADE CONCERN"/>
    <x v="0"/>
    <x v="18"/>
    <n v="0.75"/>
    <n v="90"/>
    <n v="141.97"/>
    <n v="12777.3"/>
    <n v="-1161.46"/>
    <n v="0"/>
    <n v="1510.0587759999999"/>
    <n v="13125.898776"/>
  </r>
  <r>
    <x v="13"/>
    <x v="1"/>
    <x v="0"/>
    <x v="0"/>
    <s v="KEPL/02581/81-82"/>
    <s v="AMRIT TRADE CONCERN"/>
    <x v="3"/>
    <x v="31"/>
    <n v="1"/>
    <n v="72"/>
    <n v="148.72999999999999"/>
    <n v="10708.56"/>
    <n v="-973.41"/>
    <n v="0"/>
    <n v="1265.5691440000001"/>
    <n v="11000.719144000001"/>
  </r>
  <r>
    <x v="13"/>
    <x v="1"/>
    <x v="0"/>
    <x v="0"/>
    <s v="KEPL/02581/81-82"/>
    <s v="AMRIT TRADE CONCERN"/>
    <x v="0"/>
    <x v="19"/>
    <n v="1"/>
    <n v="180"/>
    <n v="155.49"/>
    <n v="27988.2"/>
    <n v="-2544.13"/>
    <n v="0"/>
    <n v="3307.7281700000003"/>
    <n v="28751.798169999998"/>
  </r>
  <r>
    <x v="13"/>
    <x v="1"/>
    <x v="0"/>
    <x v="0"/>
    <s v="KEPL/02581/81-82"/>
    <s v="AMRIT TRADE CONCERN"/>
    <x v="0"/>
    <x v="21"/>
    <n v="1"/>
    <n v="80"/>
    <n v="189.3"/>
    <n v="15144"/>
    <n v="-1376.5900000000001"/>
    <n v="0"/>
    <n v="1789.7627970000001"/>
    <n v="15557.172796999999"/>
  </r>
  <r>
    <x v="14"/>
    <x v="1"/>
    <x v="0"/>
    <x v="0"/>
    <s v="KEPL/02584/81-82"/>
    <s v="BEERA BARJEE INTERNATIONAL PVT.LTD"/>
    <x v="0"/>
    <x v="2"/>
    <n v="1"/>
    <n v="180"/>
    <n v="64.23"/>
    <n v="11561.4"/>
    <n v="-1050.9299999999998"/>
    <n v="0"/>
    <n v="1366.3610019999999"/>
    <n v="11876.831002000001"/>
  </r>
  <r>
    <x v="14"/>
    <x v="1"/>
    <x v="0"/>
    <x v="0"/>
    <s v="KEPL/02584/81-82"/>
    <s v="BEERA BARJEE INTERNATIONAL PVT.LTD"/>
    <x v="0"/>
    <x v="11"/>
    <n v="1"/>
    <n v="180"/>
    <n v="64.23"/>
    <n v="11561.4"/>
    <n v="-1050.9299999999998"/>
    <n v="0"/>
    <n v="1366.3610019999999"/>
    <n v="11876.831002000001"/>
  </r>
  <r>
    <x v="14"/>
    <x v="1"/>
    <x v="0"/>
    <x v="0"/>
    <s v="KEPL/02584/81-82"/>
    <s v="BEERA BARJEE INTERNATIONAL PVT.LTD"/>
    <x v="0"/>
    <x v="9"/>
    <n v="1"/>
    <n v="180"/>
    <n v="70.989999999999995"/>
    <n v="12778.2"/>
    <n v="-1161.54"/>
    <n v="0"/>
    <n v="1510.165692"/>
    <n v="13126.825692"/>
  </r>
  <r>
    <x v="14"/>
    <x v="1"/>
    <x v="0"/>
    <x v="0"/>
    <s v="KEPL/02584/81-82"/>
    <s v="BEERA BARJEE INTERNATIONAL PVT.LTD"/>
    <x v="0"/>
    <x v="0"/>
    <n v="1"/>
    <n v="180"/>
    <n v="64.23"/>
    <n v="11561.4"/>
    <n v="-1050.9299999999998"/>
    <n v="0"/>
    <n v="1366.3610019999999"/>
    <n v="11876.831002000001"/>
  </r>
  <r>
    <x v="14"/>
    <x v="1"/>
    <x v="0"/>
    <x v="0"/>
    <s v="KEPL/02584/81-82"/>
    <s v="BEERA BARJEE INTERNATIONAL PVT.LTD"/>
    <x v="2"/>
    <x v="7"/>
    <n v="1"/>
    <n v="120"/>
    <n v="152.11000000000001"/>
    <n v="18253.2"/>
    <n v="-1659.2199999999998"/>
    <n v="0"/>
    <n v="2157.2172460000002"/>
    <n v="18751.197246"/>
  </r>
  <r>
    <x v="14"/>
    <x v="1"/>
    <x v="0"/>
    <x v="0"/>
    <s v="KEPL/02584/81-82"/>
    <s v="BEERA BARJEE INTERNATIONAL PVT.LTD"/>
    <x v="2"/>
    <x v="5"/>
    <n v="1"/>
    <n v="180"/>
    <n v="94.65"/>
    <n v="17037"/>
    <n v="-1548.6599999999999"/>
    <n v="0"/>
    <n v="2013.484056"/>
    <n v="17501.824056000001"/>
  </r>
  <r>
    <x v="15"/>
    <x v="1"/>
    <x v="0"/>
    <x v="0"/>
    <s v="KEPL/02588/81-82"/>
    <s v="SHIVA SHAKTI CONCERN"/>
    <x v="3"/>
    <x v="26"/>
    <n v="0.5"/>
    <n v="36"/>
    <n v="131.83000000000001"/>
    <n v="4745.88"/>
    <n v="-431.4"/>
    <n v="0"/>
    <n v="560.882159"/>
    <n v="4875.3621590000002"/>
  </r>
  <r>
    <x v="15"/>
    <x v="1"/>
    <x v="0"/>
    <x v="0"/>
    <s v="KEPL/02588/81-82"/>
    <s v="SHIVA SHAKTI CONCERN"/>
    <x v="3"/>
    <x v="31"/>
    <n v="1.58"/>
    <n v="114"/>
    <n v="148.72999999999999"/>
    <n v="16955.22"/>
    <n v="-1541.23"/>
    <n v="0"/>
    <n v="2003.817841"/>
    <n v="17417.807841000002"/>
  </r>
  <r>
    <x v="15"/>
    <x v="1"/>
    <x v="0"/>
    <x v="0"/>
    <s v="KEPL/02589/81-82"/>
    <s v="NEPAL SENA SUPATH MULYA CANTEEN"/>
    <x v="0"/>
    <x v="15"/>
    <n v="0.22"/>
    <n v="40"/>
    <n v="115.72"/>
    <n v="4628.8"/>
    <n v="0"/>
    <n v="0"/>
    <n v="601.74415199999999"/>
    <n v="5230.5441520000004"/>
  </r>
  <r>
    <x v="15"/>
    <x v="1"/>
    <x v="0"/>
    <x v="0"/>
    <s v="KEPL/02589/81-82"/>
    <s v="NEPAL SENA SUPATH MULYA CANTEEN"/>
    <x v="0"/>
    <x v="17"/>
    <n v="0.22"/>
    <n v="40"/>
    <n v="122.53"/>
    <n v="4901.2"/>
    <n v="0"/>
    <n v="0"/>
    <n v="637.15616100000011"/>
    <n v="5538.3561609999997"/>
  </r>
  <r>
    <x v="15"/>
    <x v="1"/>
    <x v="0"/>
    <x v="0"/>
    <s v="KEPL/02589/81-82"/>
    <s v="NEPAL SENA SUPATH MULYA CANTEEN"/>
    <x v="0"/>
    <x v="0"/>
    <n v="0.22"/>
    <n v="40"/>
    <n v="64.67"/>
    <n v="2586.8000000000002"/>
    <n v="0"/>
    <n v="0"/>
    <n v="336.284085"/>
    <n v="2923.084085"/>
  </r>
  <r>
    <x v="15"/>
    <x v="1"/>
    <x v="0"/>
    <x v="0"/>
    <s v="KEPL/02589/81-82"/>
    <s v="NEPAL SENA SUPATH MULYA CANTEEN"/>
    <x v="3"/>
    <x v="25"/>
    <n v="0.13"/>
    <n v="6"/>
    <n v="313.14"/>
    <n v="1878.84"/>
    <n v="0"/>
    <n v="0"/>
    <n v="244.24926200000002"/>
    <n v="2123.089262"/>
  </r>
  <r>
    <x v="15"/>
    <x v="1"/>
    <x v="0"/>
    <x v="0"/>
    <s v="KEPL/02589/81-82"/>
    <s v="NEPAL SENA SUPATH MULYA CANTEEN"/>
    <x v="0"/>
    <x v="20"/>
    <n v="0.33"/>
    <n v="40"/>
    <n v="122.53"/>
    <n v="4901.2"/>
    <n v="0"/>
    <n v="0"/>
    <n v="637.15616100000011"/>
    <n v="5538.3561609999997"/>
  </r>
  <r>
    <x v="15"/>
    <x v="1"/>
    <x v="0"/>
    <x v="0"/>
    <s v="KEPL/02589/81-82"/>
    <s v="NEPAL SENA SUPATH MULYA CANTEEN"/>
    <x v="0"/>
    <x v="14"/>
    <n v="0.22"/>
    <n v="40"/>
    <n v="136.15"/>
    <n v="5446.0000000000009"/>
    <n v="0"/>
    <n v="0"/>
    <n v="707.98017900000002"/>
    <n v="6153.9801790000001"/>
  </r>
  <r>
    <x v="15"/>
    <x v="1"/>
    <x v="0"/>
    <x v="0"/>
    <s v="KEPL/02590/81-82"/>
    <s v="NEPAL SENA SUPATH MULYA CANTEEN"/>
    <x v="1"/>
    <x v="13"/>
    <n v="0.5"/>
    <n v="50"/>
    <n v="130.77000000000001"/>
    <n v="6538.5"/>
    <s v=""/>
    <s v=""/>
    <s v=""/>
    <n v="6538.5"/>
  </r>
  <r>
    <x v="15"/>
    <x v="1"/>
    <x v="0"/>
    <x v="0"/>
    <s v="KEPL/02590/81-82"/>
    <s v="NEPAL SENA SUPATH MULYA CANTEEN"/>
    <x v="1"/>
    <x v="12"/>
    <n v="0.3"/>
    <n v="12"/>
    <n v="311.54000000000002"/>
    <n v="3738.48"/>
    <s v=""/>
    <s v=""/>
    <s v=""/>
    <n v="3738.48"/>
  </r>
  <r>
    <x v="15"/>
    <x v="1"/>
    <x v="0"/>
    <x v="0"/>
    <s v="KEPL/02591/81-82"/>
    <s v="NEPAL SENA SUPATH MULYA CANTEEN"/>
    <x v="0"/>
    <x v="2"/>
    <n v="0.28000000000000003"/>
    <n v="50"/>
    <n v="64.67"/>
    <n v="3233.5"/>
    <n v="0"/>
    <n v="0"/>
    <n v="420.35489899999999"/>
    <n v="3653.8548989999999"/>
  </r>
  <r>
    <x v="15"/>
    <x v="1"/>
    <x v="0"/>
    <x v="0"/>
    <s v="KEPL/02591/81-82"/>
    <s v="NEPAL SENA SUPATH MULYA CANTEEN"/>
    <x v="2"/>
    <x v="23"/>
    <n v="0.28000000000000003"/>
    <n v="50"/>
    <n v="183.8"/>
    <n v="9190"/>
    <n v="0"/>
    <n v="0"/>
    <n v="1194.699713"/>
    <n v="10384.699713"/>
  </r>
  <r>
    <x v="15"/>
    <x v="1"/>
    <x v="0"/>
    <x v="0"/>
    <s v="KEPL/02591/81-82"/>
    <s v="NEPAL SENA SUPATH MULYA CANTEEN"/>
    <x v="0"/>
    <x v="17"/>
    <n v="0.28000000000000003"/>
    <n v="50"/>
    <n v="122.53"/>
    <n v="6126.5"/>
    <n v="0"/>
    <n v="0"/>
    <n v="796.44480900000008"/>
    <n v="6922.9448089999996"/>
  </r>
  <r>
    <x v="15"/>
    <x v="1"/>
    <x v="0"/>
    <x v="0"/>
    <s v="KEPL/02591/81-82"/>
    <s v="NEPAL SENA SUPATH MULYA CANTEEN"/>
    <x v="0"/>
    <x v="15"/>
    <n v="0.28000000000000003"/>
    <n v="50"/>
    <n v="115.72"/>
    <n v="5785.9999999999991"/>
    <n v="0"/>
    <n v="0"/>
    <n v="752.17981999999995"/>
    <n v="6538.1798200000003"/>
  </r>
  <r>
    <x v="15"/>
    <x v="1"/>
    <x v="0"/>
    <x v="0"/>
    <s v="KEPL/02591/81-82"/>
    <s v="NEPAL SENA SUPATH MULYA CANTEEN"/>
    <x v="0"/>
    <x v="0"/>
    <n v="0.28000000000000003"/>
    <n v="50"/>
    <n v="64.67"/>
    <n v="3233.5"/>
    <n v="0"/>
    <n v="0"/>
    <n v="420.35489899999999"/>
    <n v="3653.8548989999999"/>
  </r>
  <r>
    <x v="15"/>
    <x v="1"/>
    <x v="0"/>
    <x v="0"/>
    <s v="KEPL/02591/81-82"/>
    <s v="NEPAL SENA SUPATH MULYA CANTEEN"/>
    <x v="0"/>
    <x v="11"/>
    <n v="0.28000000000000003"/>
    <n v="50"/>
    <n v="64.67"/>
    <n v="3233.5"/>
    <n v="0"/>
    <n v="0"/>
    <n v="420.35489899999999"/>
    <n v="3653.8548989999999"/>
  </r>
  <r>
    <x v="15"/>
    <x v="1"/>
    <x v="0"/>
    <x v="0"/>
    <s v="KEPL/02591/81-82"/>
    <s v="NEPAL SENA SUPATH MULYA CANTEEN"/>
    <x v="0"/>
    <x v="9"/>
    <n v="0.28000000000000003"/>
    <n v="50"/>
    <n v="71.48"/>
    <n v="3574"/>
    <n v="0"/>
    <n v="0"/>
    <n v="464.619889"/>
    <n v="4038.6198890000001"/>
  </r>
  <r>
    <x v="15"/>
    <x v="1"/>
    <x v="0"/>
    <x v="0"/>
    <s v="KEPL/02591/81-82"/>
    <s v="NEPAL SENA SUPATH MULYA CANTEEN"/>
    <x v="1"/>
    <x v="3"/>
    <n v="0.3"/>
    <n v="12"/>
    <n v="462.9"/>
    <n v="5554.8"/>
    <n v="0"/>
    <n v="0"/>
    <n v="722.12382700000001"/>
    <n v="6276.9238269999996"/>
  </r>
  <r>
    <x v="15"/>
    <x v="1"/>
    <x v="0"/>
    <x v="0"/>
    <s v="KEPL/02591/81-82"/>
    <s v="NEPAL SENA SUPATH MULYA CANTEEN"/>
    <x v="1"/>
    <x v="1"/>
    <n v="0.5"/>
    <n v="50"/>
    <n v="108.92"/>
    <n v="5446.0000000000009"/>
    <n v="0"/>
    <n v="0"/>
    <n v="707.97982999999999"/>
    <n v="6153.9798300000002"/>
  </r>
  <r>
    <x v="15"/>
    <x v="1"/>
    <x v="0"/>
    <x v="0"/>
    <s v="KEPL/02591/81-82"/>
    <s v="NEPAL SENA SUPATH MULYA CANTEEN"/>
    <x v="0"/>
    <x v="14"/>
    <n v="0.28000000000000003"/>
    <n v="50"/>
    <n v="136.15"/>
    <n v="6807.5"/>
    <n v="0"/>
    <n v="0"/>
    <n v="884.97478799999999"/>
    <n v="7692.4747880000004"/>
  </r>
  <r>
    <x v="15"/>
    <x v="1"/>
    <x v="0"/>
    <x v="0"/>
    <s v="KEPL/02591/81-82"/>
    <s v="NEPAL SENA SUPATH MULYA CANTEEN"/>
    <x v="1"/>
    <x v="6"/>
    <n v="0.5"/>
    <n v="50"/>
    <n v="190.61"/>
    <n v="9530.5"/>
    <n v="0"/>
    <n v="0"/>
    <n v="1238.9647029999999"/>
    <n v="10769.464703"/>
  </r>
  <r>
    <x v="15"/>
    <x v="1"/>
    <x v="0"/>
    <x v="0"/>
    <s v="KEPL/02591/81-82"/>
    <s v="NEPAL SENA SUPATH MULYA CANTEEN"/>
    <x v="1"/>
    <x v="4"/>
    <n v="0.3"/>
    <n v="12"/>
    <n v="262.08"/>
    <n v="3144.96"/>
    <n v="0"/>
    <n v="0"/>
    <n v="408.84470199999998"/>
    <n v="3553.8047019999999"/>
  </r>
  <r>
    <x v="15"/>
    <x v="1"/>
    <x v="0"/>
    <x v="0"/>
    <s v="KEPL/02591/81-82"/>
    <s v="NEPAL SENA SUPATH MULYA CANTEEN"/>
    <x v="2"/>
    <x v="5"/>
    <n v="0.28000000000000003"/>
    <n v="50"/>
    <n v="95.3"/>
    <n v="4765"/>
    <n v="0"/>
    <n v="0"/>
    <n v="619.44985099999997"/>
    <n v="5384.4498510000003"/>
  </r>
  <r>
    <x v="15"/>
    <x v="1"/>
    <x v="0"/>
    <x v="0"/>
    <s v="KEPL/02591/81-82"/>
    <s v="NEPAL SENA SUPATH MULYA CANTEEN"/>
    <x v="3"/>
    <x v="25"/>
    <n v="0.13"/>
    <n v="6"/>
    <n v="313.14"/>
    <n v="1878.84"/>
    <n v="0"/>
    <n v="0"/>
    <n v="244.24914100000001"/>
    <n v="2123.0891409999999"/>
  </r>
  <r>
    <x v="15"/>
    <x v="1"/>
    <x v="0"/>
    <x v="0"/>
    <s v="KEPL/02591/81-82"/>
    <s v="NEPAL SENA SUPATH MULYA CANTEEN"/>
    <x v="0"/>
    <x v="20"/>
    <n v="0.42"/>
    <n v="50"/>
    <n v="122.53"/>
    <n v="6126.5"/>
    <n v="0"/>
    <n v="0"/>
    <n v="796.44480900000008"/>
    <n v="6922.9448089999996"/>
  </r>
  <r>
    <x v="15"/>
    <x v="1"/>
    <x v="0"/>
    <x v="0"/>
    <s v="KEPL/02591/81-82"/>
    <s v="NEPAL SENA SUPATH MULYA CANTEEN"/>
    <x v="0"/>
    <x v="21"/>
    <n v="0.63"/>
    <n v="50"/>
    <n v="190.61"/>
    <n v="9530.5"/>
    <n v="0"/>
    <n v="0"/>
    <n v="1238.9647029999999"/>
    <n v="10769.464703"/>
  </r>
  <r>
    <x v="15"/>
    <x v="1"/>
    <x v="0"/>
    <x v="0"/>
    <s v="KEPL/02591/81-82"/>
    <s v="NEPAL SENA SUPATH MULYA CANTEEN"/>
    <x v="0"/>
    <x v="16"/>
    <n v="0.42"/>
    <n v="50"/>
    <n v="122.53"/>
    <n v="6126.5"/>
    <n v="0"/>
    <n v="0"/>
    <n v="796.44480900000008"/>
    <n v="6922.9448089999996"/>
  </r>
  <r>
    <x v="15"/>
    <x v="1"/>
    <x v="0"/>
    <x v="0"/>
    <s v="KEPL/02591/81-82"/>
    <s v="NEPAL SENA SUPATH MULYA CANTEEN"/>
    <x v="2"/>
    <x v="8"/>
    <n v="0.42"/>
    <n v="50"/>
    <n v="57.86"/>
    <n v="2892.9999999999995"/>
    <n v="0"/>
    <n v="0"/>
    <n v="376.08990999999997"/>
    <n v="3269.0899100000001"/>
  </r>
  <r>
    <x v="16"/>
    <x v="1"/>
    <x v="0"/>
    <x v="0"/>
    <s v="KEPL/02592/81-82"/>
    <s v="HAMRO KIRANA PASAL"/>
    <x v="2"/>
    <x v="7"/>
    <n v="1"/>
    <n v="120"/>
    <n v="152.11000000000001"/>
    <n v="18253.2"/>
    <n v="-1659.2199999999998"/>
    <n v="0"/>
    <n v="2157.2191430000003"/>
    <n v="18751.199143000002"/>
  </r>
  <r>
    <x v="16"/>
    <x v="1"/>
    <x v="0"/>
    <x v="0"/>
    <s v="KEPL/02592/81-82"/>
    <s v="HAMRO KIRANA PASAL"/>
    <x v="4"/>
    <x v="29"/>
    <n v="0.75"/>
    <n v="90"/>
    <n v="57.46"/>
    <n v="5171.3999999999996"/>
    <n v="-470.08"/>
    <n v="0"/>
    <n v="611.17209400000002"/>
    <n v="5312.4920940000002"/>
  </r>
  <r>
    <x v="16"/>
    <x v="1"/>
    <x v="0"/>
    <x v="0"/>
    <s v="KEPL/02592/81-82"/>
    <s v="HAMRO KIRANA PASAL"/>
    <x v="0"/>
    <x v="0"/>
    <n v="1"/>
    <n v="180"/>
    <n v="64.23"/>
    <n v="11561.4"/>
    <n v="-1050.9299999999998"/>
    <n v="0"/>
    <n v="1366.3622039999998"/>
    <n v="11876.832204"/>
  </r>
  <r>
    <x v="16"/>
    <x v="1"/>
    <x v="0"/>
    <x v="0"/>
    <s v="KEPL/02592/81-82"/>
    <s v="HAMRO KIRANA PASAL"/>
    <x v="2"/>
    <x v="8"/>
    <n v="1"/>
    <n v="120"/>
    <n v="57.46"/>
    <n v="6895.2"/>
    <n v="-626.77"/>
    <n v="0"/>
    <n v="814.89655900000002"/>
    <n v="7083.3265590000001"/>
  </r>
  <r>
    <x v="17"/>
    <x v="1"/>
    <x v="0"/>
    <x v="0"/>
    <s v="KEPL/02606/81-82"/>
    <s v="SIMPEX SOLUTION PVT. LTD"/>
    <x v="2"/>
    <x v="8"/>
    <n v="0.13"/>
    <n v="16"/>
    <n v="60.18"/>
    <n v="962.88"/>
    <n v="0"/>
    <n v="0"/>
    <n v="125.17403299999999"/>
    <n v="1088.0540329999999"/>
  </r>
  <r>
    <x v="17"/>
    <x v="1"/>
    <x v="0"/>
    <x v="0"/>
    <s v="KEPL/02606/81-82"/>
    <s v="SIMPEX SOLUTION PVT. LTD"/>
    <x v="4"/>
    <x v="29"/>
    <n v="0.7"/>
    <n v="84"/>
    <n v="60.18"/>
    <n v="5055.12"/>
    <n v="0"/>
    <n v="0"/>
    <n v="657.16367100000002"/>
    <n v="5712.2836710000001"/>
  </r>
  <r>
    <x v="17"/>
    <x v="1"/>
    <x v="0"/>
    <x v="0"/>
    <s v="KEPL/02606/81-82"/>
    <s v="SIMPEX SOLUTION PVT. LTD"/>
    <x v="0"/>
    <x v="11"/>
    <n v="0.09"/>
    <n v="16"/>
    <n v="67.260000000000005"/>
    <n v="1076.1600000000001"/>
    <n v="0"/>
    <n v="0"/>
    <n v="139.90038899999999"/>
    <n v="1216.060389"/>
  </r>
  <r>
    <x v="17"/>
    <x v="1"/>
    <x v="0"/>
    <x v="0"/>
    <s v="KEPL/02606/81-82"/>
    <s v="SIMPEX SOLUTION PVT. LTD"/>
    <x v="0"/>
    <x v="10"/>
    <n v="0.1"/>
    <n v="18"/>
    <n v="63.72"/>
    <n v="1146.96"/>
    <n v="0"/>
    <n v="0"/>
    <n v="149.10436199999998"/>
    <n v="1296.0643620000001"/>
  </r>
  <r>
    <x v="17"/>
    <x v="1"/>
    <x v="0"/>
    <x v="0"/>
    <s v="KEPL/02606/81-82"/>
    <s v="SIMPEX SOLUTION PVT. LTD"/>
    <x v="0"/>
    <x v="9"/>
    <n v="0.05"/>
    <n v="9"/>
    <n v="74.34"/>
    <n v="669.06"/>
    <n v="0"/>
    <n v="0"/>
    <n v="86.977544999999992"/>
    <n v="756.03754500000002"/>
  </r>
  <r>
    <x v="17"/>
    <x v="1"/>
    <x v="0"/>
    <x v="0"/>
    <s v="KEPL/02608/81-82"/>
    <s v="SHIVA SHAKTI CONCERN"/>
    <x v="3"/>
    <x v="31"/>
    <n v="1"/>
    <n v="72"/>
    <n v="148.72999999999999"/>
    <n v="10708.56"/>
    <n v="-973.41"/>
    <n v="0"/>
    <n v="1265.5695819999999"/>
    <n v="11000.719582"/>
  </r>
  <r>
    <x v="17"/>
    <x v="1"/>
    <x v="0"/>
    <x v="0"/>
    <s v="KEPL/02608/81-82"/>
    <s v="SHIVA SHAKTI CONCERN"/>
    <x v="0"/>
    <x v="18"/>
    <n v="1"/>
    <n v="120"/>
    <n v="141.97"/>
    <n v="17036.400000000001"/>
    <n v="-1548.61"/>
    <n v="0"/>
    <n v="2013.41283"/>
    <n v="17501.202829999998"/>
  </r>
  <r>
    <x v="17"/>
    <x v="1"/>
    <x v="0"/>
    <x v="0"/>
    <s v="KEPL/02608/81-82"/>
    <s v="SHIVA SHAKTI CONCERN"/>
    <x v="2"/>
    <x v="8"/>
    <n v="1"/>
    <n v="120"/>
    <n v="57.46"/>
    <n v="6895.2"/>
    <n v="-626.77"/>
    <n v="0"/>
    <n v="814.89595299999996"/>
    <n v="7083.3259529999996"/>
  </r>
  <r>
    <x v="17"/>
    <x v="1"/>
    <x v="0"/>
    <x v="0"/>
    <s v="KEPL/02608/81-82"/>
    <s v="SHIVA SHAKTI CONCERN"/>
    <x v="2"/>
    <x v="28"/>
    <n v="0.25"/>
    <n v="20"/>
    <n v="169.01"/>
    <n v="3380.2"/>
    <n v="-307.26"/>
    <n v="0"/>
    <n v="399.48222599999997"/>
    <n v="3472.4222260000001"/>
  </r>
  <r>
    <x v="17"/>
    <x v="1"/>
    <x v="0"/>
    <x v="0"/>
    <s v="KEPL/02608/81-82"/>
    <s v="SHIVA SHAKTI CONCERN"/>
    <x v="0"/>
    <x v="19"/>
    <n v="1"/>
    <n v="180"/>
    <n v="155.49"/>
    <n v="27988.2"/>
    <n v="-2544.13"/>
    <n v="0"/>
    <n v="3307.7293140000002"/>
    <n v="28751.799314"/>
  </r>
  <r>
    <x v="17"/>
    <x v="1"/>
    <x v="0"/>
    <x v="0"/>
    <s v="KEPL/02608/81-82"/>
    <s v="SHIVA SHAKTI CONCERN"/>
    <x v="4"/>
    <x v="30"/>
    <n v="1"/>
    <n v="60"/>
    <n v="98.03"/>
    <n v="5881.8"/>
    <n v="-534.66"/>
    <n v="0"/>
    <n v="695.12824499999999"/>
    <n v="6042.2682450000002"/>
  </r>
  <r>
    <x v="17"/>
    <x v="1"/>
    <x v="0"/>
    <x v="0"/>
    <s v="KEPL/02608/81-82"/>
    <s v="SHIVA SHAKTI CONCERN"/>
    <x v="3"/>
    <x v="25"/>
    <n v="1.01"/>
    <n v="48"/>
    <n v="310.99"/>
    <n v="14927.519999999999"/>
    <n v="-1356.91"/>
    <n v="0"/>
    <n v="1764.179414"/>
    <n v="15334.789414000001"/>
  </r>
  <r>
    <x v="17"/>
    <x v="1"/>
    <x v="0"/>
    <x v="0"/>
    <s v="KEPL/02608/81-82"/>
    <s v="SHIVA SHAKTI CONCERN"/>
    <x v="3"/>
    <x v="26"/>
    <n v="0.5"/>
    <n v="36"/>
    <n v="131.83000000000001"/>
    <n v="4745.88"/>
    <n v="-431.4"/>
    <n v="0"/>
    <n v="560.88243599999998"/>
    <n v="4875.3624360000003"/>
  </r>
  <r>
    <x v="17"/>
    <x v="1"/>
    <x v="0"/>
    <x v="0"/>
    <s v="KEPL/02609/81-82"/>
    <s v="AMRIT TRADE CONCERN"/>
    <x v="2"/>
    <x v="28"/>
    <n v="0.25"/>
    <n v="20"/>
    <n v="169.01"/>
    <n v="3380.2"/>
    <n v="-307.26"/>
    <n v="0"/>
    <n v="399.482597"/>
    <n v="3472.4225970000002"/>
  </r>
  <r>
    <x v="17"/>
    <x v="1"/>
    <x v="0"/>
    <x v="0"/>
    <s v="KEPL/02609/81-82"/>
    <s v="AMRIT TRADE CONCERN"/>
    <x v="3"/>
    <x v="26"/>
    <n v="0.5"/>
    <n v="36"/>
    <n v="131.83000000000001"/>
    <n v="4745.88"/>
    <n v="-431.4"/>
    <n v="0"/>
    <n v="560.88295700000003"/>
    <n v="4875.3629570000003"/>
  </r>
  <r>
    <x v="17"/>
    <x v="1"/>
    <x v="0"/>
    <x v="0"/>
    <s v="KEPL/02609/81-82"/>
    <s v="AMRIT TRADE CONCERN"/>
    <x v="4"/>
    <x v="29"/>
    <n v="0.25"/>
    <n v="30"/>
    <n v="57.46"/>
    <n v="1723.8"/>
    <n v="-156.69"/>
    <n v="0"/>
    <n v="203.724502"/>
    <n v="1770.8345019999999"/>
  </r>
  <r>
    <x v="17"/>
    <x v="1"/>
    <x v="0"/>
    <x v="0"/>
    <s v="KEPL/02609/81-82"/>
    <s v="AMRIT TRADE CONCERN"/>
    <x v="3"/>
    <x v="25"/>
    <n v="1"/>
    <n v="48"/>
    <n v="310.99"/>
    <n v="14927.519999999999"/>
    <n v="-1356.91"/>
    <n v="0"/>
    <n v="1764.181053"/>
    <n v="15334.791053000001"/>
  </r>
  <r>
    <x v="17"/>
    <x v="1"/>
    <x v="0"/>
    <x v="0"/>
    <s v="KEPL/02609/81-82"/>
    <s v="AMRIT TRADE CONCERN"/>
    <x v="4"/>
    <x v="30"/>
    <n v="1"/>
    <n v="60"/>
    <n v="98.03"/>
    <n v="5881.8"/>
    <n v="-534.66"/>
    <n v="0"/>
    <n v="695.12889099999995"/>
    <n v="6042.2688909999997"/>
  </r>
  <r>
    <x v="17"/>
    <x v="1"/>
    <x v="0"/>
    <x v="0"/>
    <s v="KEPL/02610/81-82"/>
    <s v="DURGA AND AAMOSH SUPPLIERS PVT.LTD"/>
    <x v="0"/>
    <x v="2"/>
    <n v="2"/>
    <n v="360"/>
    <n v="64.23"/>
    <n v="23122.799999999999"/>
    <n v="-2101.8599999999997"/>
    <n v="0"/>
    <n v="2732.722984"/>
    <n v="23753.662983999999"/>
  </r>
  <r>
    <x v="17"/>
    <x v="1"/>
    <x v="0"/>
    <x v="0"/>
    <s v="KEPL/02610/81-82"/>
    <s v="DURGA AND AAMOSH SUPPLIERS PVT.LTD"/>
    <x v="0"/>
    <x v="0"/>
    <n v="1"/>
    <n v="180"/>
    <n v="64.23"/>
    <n v="11561.4"/>
    <n v="-1050.9299999999998"/>
    <n v="0"/>
    <n v="1366.361492"/>
    <n v="11876.831491999999"/>
  </r>
  <r>
    <x v="17"/>
    <x v="1"/>
    <x v="0"/>
    <x v="0"/>
    <s v="KEPL/02610/81-82"/>
    <s v="DURGA AND AAMOSH SUPPLIERS PVT.LTD"/>
    <x v="2"/>
    <x v="5"/>
    <n v="3"/>
    <n v="540"/>
    <n v="94.65"/>
    <n v="51110.999999999993"/>
    <n v="-4645.99"/>
    <n v="0"/>
    <n v="6040.4530329999998"/>
    <n v="52505.463033"/>
  </r>
  <r>
    <x v="17"/>
    <x v="1"/>
    <x v="0"/>
    <x v="0"/>
    <s v="KEPL/02610/81-82"/>
    <s v="DURGA AND AAMOSH SUPPLIERS PVT.LTD"/>
    <x v="2"/>
    <x v="8"/>
    <n v="0.92"/>
    <n v="110"/>
    <n v="57.46"/>
    <n v="6320.6"/>
    <n v="-574.54"/>
    <n v="0"/>
    <n v="746.98801399999991"/>
    <n v="6493.048014"/>
  </r>
  <r>
    <x v="17"/>
    <x v="1"/>
    <x v="0"/>
    <x v="0"/>
    <s v="KEPL/02610/81-82"/>
    <s v="DURGA AND AAMOSH SUPPLIERS PVT.LTD"/>
    <x v="0"/>
    <x v="11"/>
    <n v="3"/>
    <n v="540"/>
    <n v="64.23"/>
    <n v="34684.199999999997"/>
    <n v="-3152.79"/>
    <n v="0"/>
    <n v="4099.084476"/>
    <n v="35630.494476"/>
  </r>
  <r>
    <x v="17"/>
    <x v="1"/>
    <x v="0"/>
    <x v="0"/>
    <s v="KESR/0115/81-82"/>
    <s v="AARYA TRADE LINK PVT.LTD"/>
    <x v="1"/>
    <x v="13"/>
    <n v="-1"/>
    <n v="-100"/>
    <n v="124.88"/>
    <n v="-12488"/>
    <n v="479.54"/>
    <n v="0"/>
    <n v="0"/>
    <n v="-12008.46"/>
  </r>
  <r>
    <x v="17"/>
    <x v="1"/>
    <x v="0"/>
    <x v="0"/>
    <s v="KESR/0115/81-82"/>
    <s v="AARYA TRADE LINK PVT.LTD"/>
    <x v="1"/>
    <x v="12"/>
    <n v="-1"/>
    <n v="-40"/>
    <n v="297.52"/>
    <n v="-11900.8"/>
    <n v="456.99"/>
    <n v="0"/>
    <n v="0"/>
    <n v="-11443.81"/>
  </r>
  <r>
    <x v="17"/>
    <x v="1"/>
    <x v="0"/>
    <x v="0"/>
    <s v="KESR/0116/81-82"/>
    <s v="AARYA TRADE LINK PVT.LTD"/>
    <x v="4"/>
    <x v="29"/>
    <n v="-1"/>
    <n v="-120"/>
    <n v="57.46"/>
    <n v="-6895.2"/>
    <n v="264.77999999999997"/>
    <n v="0"/>
    <n v="-861.95490699999993"/>
    <n v="-7492.3749070000003"/>
  </r>
  <r>
    <x v="17"/>
    <x v="1"/>
    <x v="0"/>
    <x v="0"/>
    <s v="KESR/0116/81-82"/>
    <s v="AARYA TRADE LINK PVT.LTD"/>
    <x v="1"/>
    <x v="3"/>
    <n v="-1"/>
    <n v="-40"/>
    <n v="459.72"/>
    <n v="-18388.8"/>
    <n v="706.12999999999988"/>
    <n v="0"/>
    <n v="-2298.7479189999999"/>
    <n v="-19981.417919"/>
  </r>
  <r>
    <x v="17"/>
    <x v="1"/>
    <x v="0"/>
    <x v="0"/>
    <s v="KESR/0116/81-82"/>
    <s v="AARYA TRADE LINK PVT.LTD"/>
    <x v="1"/>
    <x v="6"/>
    <n v="-1"/>
    <n v="-100"/>
    <n v="189.3"/>
    <n v="-18930"/>
    <n v="726.91000000000008"/>
    <n v="0"/>
    <n v="-2366.4025429999997"/>
    <n v="-20569.492543"/>
  </r>
  <r>
    <x v="17"/>
    <x v="1"/>
    <x v="0"/>
    <x v="0"/>
    <s v="KESR/0116/81-82"/>
    <s v="AARYA TRADE LINK PVT.LTD"/>
    <x v="0"/>
    <x v="10"/>
    <n v="-0.89"/>
    <n v="-160"/>
    <n v="60.84"/>
    <n v="-9734.4"/>
    <n v="373.8"/>
    <n v="0"/>
    <n v="-1216.8784330000001"/>
    <n v="-10577.478433"/>
  </r>
  <r>
    <x v="17"/>
    <x v="1"/>
    <x v="0"/>
    <x v="0"/>
    <s v="KESR/0116/81-82"/>
    <s v="AARYA TRADE LINK PVT.LTD"/>
    <x v="0"/>
    <x v="21"/>
    <n v="-1"/>
    <n v="-80"/>
    <n v="189.3"/>
    <n v="-15144"/>
    <n v="581.53"/>
    <n v="0"/>
    <n v="-1893.121774"/>
    <n v="-16455.591774"/>
  </r>
  <r>
    <x v="17"/>
    <x v="1"/>
    <x v="0"/>
    <x v="0"/>
    <s v="KESR/0116/81-82"/>
    <s v="AARYA TRADE LINK PVT.LTD"/>
    <x v="3"/>
    <x v="31"/>
    <n v="-1"/>
    <n v="-72"/>
    <n v="148.72999999999999"/>
    <n v="-10708.56"/>
    <n v="411.21"/>
    <n v="0"/>
    <n v="-1338.6559770000001"/>
    <n v="-11636.005977000001"/>
  </r>
  <r>
    <x v="17"/>
    <x v="1"/>
    <x v="0"/>
    <x v="0"/>
    <s v="KESR/0116/81-82"/>
    <s v="AARYA TRADE LINK PVT.LTD"/>
    <x v="2"/>
    <x v="24"/>
    <n v="-0.7"/>
    <n v="-28"/>
    <n v="439.44"/>
    <n v="-12304.32"/>
    <n v="472.49"/>
    <n v="0"/>
    <n v="-1538.1384479999999"/>
    <n v="-13369.968448"/>
  </r>
  <r>
    <x v="17"/>
    <x v="1"/>
    <x v="0"/>
    <x v="0"/>
    <s v="KESR/0117/81-82"/>
    <s v="AARYA TRADE LINK PVT.LTD"/>
    <x v="2"/>
    <x v="28"/>
    <n v="-0.5"/>
    <n v="-40"/>
    <n v="169.01"/>
    <n v="-6760.4"/>
    <n v="259.60000000000002"/>
    <n v="0"/>
    <n v="-845.10402699999997"/>
    <n v="-7345.9040269999996"/>
  </r>
  <r>
    <x v="17"/>
    <x v="1"/>
    <x v="0"/>
    <x v="0"/>
    <s v="KESR/0117/81-82"/>
    <s v="AARYA TRADE LINK PVT.LTD"/>
    <x v="0"/>
    <x v="18"/>
    <n v="-1"/>
    <n v="-120"/>
    <n v="141.97"/>
    <n v="-17036.400000000001"/>
    <n v="654.20000000000005"/>
    <n v="0"/>
    <n v="-2129.6860689999999"/>
    <n v="-18511.886069"/>
  </r>
  <r>
    <x v="17"/>
    <x v="1"/>
    <x v="0"/>
    <x v="0"/>
    <s v="KESR/0117/81-82"/>
    <s v="AARYA TRADE LINK PVT.LTD"/>
    <x v="1"/>
    <x v="4"/>
    <n v="-1"/>
    <n v="-40"/>
    <n v="260.27999999999997"/>
    <n v="-10411.200000000001"/>
    <n v="399.79"/>
    <n v="0"/>
    <n v="-1301.483342"/>
    <n v="-11312.893341999999"/>
  </r>
  <r>
    <x v="17"/>
    <x v="1"/>
    <x v="0"/>
    <x v="0"/>
    <s v="KESR/0117/81-82"/>
    <s v="AARYA TRADE LINK PVT.LTD"/>
    <x v="4"/>
    <x v="30"/>
    <n v="-2.42"/>
    <n v="-145"/>
    <n v="98.03"/>
    <n v="-14214.35"/>
    <n v="545.83000000000004"/>
    <n v="0"/>
    <n v="-1776.907657"/>
    <n v="-15445.427657"/>
  </r>
  <r>
    <x v="17"/>
    <x v="1"/>
    <x v="0"/>
    <x v="0"/>
    <s v="KESR/0117/81-82"/>
    <s v="AARYA TRADE LINK PVT.LTD"/>
    <x v="1"/>
    <x v="1"/>
    <n v="-1"/>
    <n v="-100"/>
    <n v="108.17"/>
    <n v="-10817"/>
    <n v="415.37"/>
    <n v="0"/>
    <n v="-1352.2119440000001"/>
    <n v="-11753.841944"/>
  </r>
  <r>
    <x v="17"/>
    <x v="1"/>
    <x v="0"/>
    <x v="0"/>
    <s v="KESR/0117/81-82"/>
    <s v="AARYA TRADE LINK PVT.LTD"/>
    <x v="0"/>
    <x v="0"/>
    <n v="-0.97"/>
    <n v="-174"/>
    <n v="64.23"/>
    <n v="-11176.02"/>
    <n v="429.16"/>
    <n v="0"/>
    <n v="-1397.0918449999999"/>
    <n v="-12143.951845"/>
  </r>
  <r>
    <x v="17"/>
    <x v="1"/>
    <x v="0"/>
    <x v="0"/>
    <s v="KESR/0117/81-82"/>
    <s v="AARYA TRADE LINK PVT.LTD"/>
    <x v="0"/>
    <x v="11"/>
    <n v="-0.83"/>
    <n v="-150"/>
    <n v="64.23"/>
    <n v="-9634.5"/>
    <n v="369.96"/>
    <n v="0"/>
    <n v="-1204.3902389999998"/>
    <n v="-10468.930238999999"/>
  </r>
  <r>
    <x v="17"/>
    <x v="1"/>
    <x v="0"/>
    <x v="0"/>
    <s v="KESR/0117/81-82"/>
    <s v="AARYA TRADE LINK PVT.LTD"/>
    <x v="3"/>
    <x v="25"/>
    <n v="-2"/>
    <n v="-96"/>
    <n v="310.99"/>
    <n v="-29855.039999999997"/>
    <n v="1146.43"/>
    <n v="0"/>
    <n v="-3732.1194209999999"/>
    <n v="-32440.729421"/>
  </r>
  <r>
    <x v="17"/>
    <x v="1"/>
    <x v="0"/>
    <x v="0"/>
    <s v="KESR/0117/81-82"/>
    <s v="AARYA TRADE LINK PVT.LTD"/>
    <x v="0"/>
    <x v="9"/>
    <n v="-0.83"/>
    <n v="-149"/>
    <n v="70.989999999999995"/>
    <n v="-10577.51"/>
    <n v="406.18"/>
    <n v="0"/>
    <n v="-1322.2729429999999"/>
    <n v="-11493.602943"/>
  </r>
  <r>
    <x v="17"/>
    <x v="1"/>
    <x v="0"/>
    <x v="0"/>
    <s v="KESR/0117/81-82"/>
    <s v="AARYA TRADE LINK PVT.LTD"/>
    <x v="0"/>
    <x v="19"/>
    <n v="-1"/>
    <n v="-180"/>
    <n v="155.49"/>
    <n v="-27988.2"/>
    <n v="1074.75"/>
    <n v="0"/>
    <n v="-3498.7486130000002"/>
    <n v="-30412.198613"/>
  </r>
  <r>
    <x v="17"/>
    <x v="1"/>
    <x v="0"/>
    <x v="0"/>
    <s v="KESR/0117/81-82"/>
    <s v="AARYA TRADE LINK PVT.LTD"/>
    <x v="2"/>
    <x v="7"/>
    <n v="-1.91"/>
    <n v="-229"/>
    <n v="152.11000000000001"/>
    <n v="-34833.19"/>
    <n v="1337.5900000000001"/>
    <n v="0"/>
    <n v="-4354.4281410000003"/>
    <n v="-37850.028141000003"/>
  </r>
  <r>
    <x v="17"/>
    <x v="1"/>
    <x v="0"/>
    <x v="0"/>
    <s v="KESR/0117/81-82"/>
    <s v="AARYA TRADE LINK PVT.LTD"/>
    <x v="2"/>
    <x v="8"/>
    <n v="-0.75"/>
    <n v="-90"/>
    <n v="57.46"/>
    <n v="-5171.3999999999996"/>
    <n v="198.58"/>
    <n v="0"/>
    <n v="-646.46662099999992"/>
    <n v="-5619.2866210000002"/>
  </r>
  <r>
    <x v="17"/>
    <x v="1"/>
    <x v="0"/>
    <x v="0"/>
    <s v="KESR/0117/81-82"/>
    <s v="AARYA TRADE LINK PVT.LTD"/>
    <x v="0"/>
    <x v="2"/>
    <n v="-1.66"/>
    <n v="-299"/>
    <n v="64.23"/>
    <n v="-19204.769999999997"/>
    <n v="737.46"/>
    <n v="0"/>
    <n v="-2400.7503780000002"/>
    <n v="-20868.060377999998"/>
  </r>
  <r>
    <x v="17"/>
    <x v="1"/>
    <x v="0"/>
    <x v="0"/>
    <s v="KESR/0117/81-82"/>
    <s v="AARYA TRADE LINK PVT.LTD"/>
    <x v="3"/>
    <x v="26"/>
    <n v="-1"/>
    <n v="-72"/>
    <n v="131.83000000000001"/>
    <n v="-9491.76"/>
    <n v="364.48"/>
    <n v="0"/>
    <n v="-1186.5464380000001"/>
    <n v="-10313.826438"/>
  </r>
  <r>
    <x v="17"/>
    <x v="1"/>
    <x v="0"/>
    <x v="0"/>
    <s v="KESR/0117/81-82"/>
    <s v="AARYA TRADE LINK PVT.LTD"/>
    <x v="2"/>
    <x v="5"/>
    <n v="-1.78"/>
    <n v="-320"/>
    <n v="94.65"/>
    <n v="-30288"/>
    <n v="1163.06"/>
    <n v="0"/>
    <n v="-3786.2423219999996"/>
    <n v="-32911.182322000001"/>
  </r>
  <r>
    <x v="18"/>
    <x v="1"/>
    <x v="0"/>
    <x v="0"/>
    <s v="KEPL/02625/81-82"/>
    <s v="SAFAL MART PVT.LTD"/>
    <x v="0"/>
    <x v="19"/>
    <n v="1"/>
    <n v="180"/>
    <n v="155.49"/>
    <n v="27988.2"/>
    <n v="-2544.13"/>
    <n v="0"/>
    <n v="3307.7286639999998"/>
    <n v="28751.798664000002"/>
  </r>
  <r>
    <x v="18"/>
    <x v="1"/>
    <x v="0"/>
    <x v="0"/>
    <s v="KEPL/02625/81-82"/>
    <s v="SAFAL MART PVT.LTD"/>
    <x v="0"/>
    <x v="17"/>
    <n v="1"/>
    <n v="180"/>
    <n v="121.69"/>
    <n v="21904.199999999997"/>
    <n v="-1991.09"/>
    <n v="0"/>
    <n v="2588.7039589999999"/>
    <n v="22501.813958999999"/>
  </r>
  <r>
    <x v="18"/>
    <x v="1"/>
    <x v="0"/>
    <x v="0"/>
    <s v="KEPL/02625/81-82"/>
    <s v="SAFAL MART PVT.LTD"/>
    <x v="0"/>
    <x v="15"/>
    <n v="1"/>
    <n v="180"/>
    <n v="114.93"/>
    <n v="20687.400000000001"/>
    <n v="-1880.48"/>
    <n v="0"/>
    <n v="2444.8992779999999"/>
    <n v="21251.819277999999"/>
  </r>
  <r>
    <x v="18"/>
    <x v="1"/>
    <x v="0"/>
    <x v="0"/>
    <s v="KEPL/02625/81-82"/>
    <s v="SAFAL MART PVT.LTD"/>
    <x v="0"/>
    <x v="20"/>
    <n v="1"/>
    <n v="120"/>
    <n v="121.69"/>
    <n v="14602.800000000001"/>
    <n v="-1327.39"/>
    <n v="0"/>
    <n v="1725.803073"/>
    <n v="15001.213073000001"/>
  </r>
  <r>
    <x v="18"/>
    <x v="1"/>
    <x v="0"/>
    <x v="0"/>
    <s v="KEPL/02625/81-82"/>
    <s v="SAFAL MART PVT.LTD"/>
    <x v="2"/>
    <x v="23"/>
    <n v="1"/>
    <n v="180"/>
    <n v="182.53"/>
    <n v="32855.4"/>
    <n v="-2986.56"/>
    <n v="0"/>
    <n v="3882.9486889999998"/>
    <n v="33751.788689000001"/>
  </r>
  <r>
    <x v="18"/>
    <x v="1"/>
    <x v="0"/>
    <x v="0"/>
    <s v="KEPL/02625/81-82"/>
    <s v="SAFAL MART PVT.LTD"/>
    <x v="0"/>
    <x v="16"/>
    <n v="1"/>
    <n v="120"/>
    <n v="121.69"/>
    <n v="14602.800000000001"/>
    <n v="-1327.39"/>
    <n v="0"/>
    <n v="1725.803073"/>
    <n v="15001.213073000001"/>
  </r>
  <r>
    <x v="18"/>
    <x v="1"/>
    <x v="0"/>
    <x v="0"/>
    <s v="KEPL/02625/81-82"/>
    <s v="SAFAL MART PVT.LTD"/>
    <x v="0"/>
    <x v="21"/>
    <n v="1"/>
    <n v="80"/>
    <n v="189.3"/>
    <n v="15144"/>
    <n v="-1376.5900000000001"/>
    <n v="0"/>
    <n v="1789.763064"/>
    <n v="15557.173064000001"/>
  </r>
  <r>
    <x v="18"/>
    <x v="1"/>
    <x v="0"/>
    <x v="0"/>
    <s v="KEPL/02625/81-82"/>
    <s v="SAFAL MART PVT.LTD"/>
    <x v="0"/>
    <x v="27"/>
    <n v="1"/>
    <n v="120"/>
    <n v="118.31"/>
    <n v="14197.199999999999"/>
    <n v="-1290.53"/>
    <n v="0"/>
    <n v="1677.8668790000002"/>
    <n v="14584.536878999999"/>
  </r>
  <r>
    <x v="18"/>
    <x v="1"/>
    <x v="0"/>
    <x v="0"/>
    <s v="KEPL/02625/81-82"/>
    <s v="SAFAL MART PVT.LTD"/>
    <x v="0"/>
    <x v="14"/>
    <n v="1"/>
    <n v="180"/>
    <n v="135.21"/>
    <n v="24337.8"/>
    <n v="-2212.31"/>
    <n v="0"/>
    <n v="2876.3133209999996"/>
    <n v="25001.803320999999"/>
  </r>
  <r>
    <x v="19"/>
    <x v="1"/>
    <x v="0"/>
    <x v="0"/>
    <s v="KEPL/02628/81-82"/>
    <s v="SAFAL MART PVT.LTD"/>
    <x v="0"/>
    <x v="19"/>
    <n v="1"/>
    <n v="180"/>
    <n v="155.49"/>
    <n v="27988.2"/>
    <n v="-2544.13"/>
    <n v="0"/>
    <n v="3307.730532"/>
    <n v="28751.800532000001"/>
  </r>
  <r>
    <x v="19"/>
    <x v="1"/>
    <x v="0"/>
    <x v="0"/>
    <s v="KEPL/02628/81-82"/>
    <s v="SAFAL MART PVT.LTD"/>
    <x v="0"/>
    <x v="17"/>
    <n v="1"/>
    <n v="180"/>
    <n v="121.69"/>
    <n v="21904.199999999997"/>
    <n v="-1991.09"/>
    <n v="0"/>
    <n v="2588.7054209999997"/>
    <n v="22501.815420999999"/>
  </r>
  <r>
    <x v="19"/>
    <x v="1"/>
    <x v="0"/>
    <x v="0"/>
    <s v="KEPL/02628/81-82"/>
    <s v="SAFAL MART PVT.LTD"/>
    <x v="0"/>
    <x v="20"/>
    <n v="1"/>
    <n v="120"/>
    <n v="121.69"/>
    <n v="14602.800000000001"/>
    <n v="-1327.39"/>
    <n v="0"/>
    <n v="1725.8040470000001"/>
    <n v="15001.214046999999"/>
  </r>
  <r>
    <x v="19"/>
    <x v="1"/>
    <x v="0"/>
    <x v="0"/>
    <s v="KEPL/02629/81-82"/>
    <s v="BEERA BARJEE INTERNATIONAL PVT.LTD"/>
    <x v="2"/>
    <x v="24"/>
    <n v="1"/>
    <n v="40"/>
    <n v="439.44"/>
    <n v="17577.599999999999"/>
    <n v="-1597.8"/>
    <n v="0"/>
    <n v="2077.3723319999999"/>
    <n v="18057.172331999998"/>
  </r>
  <r>
    <x v="19"/>
    <x v="1"/>
    <x v="0"/>
    <x v="0"/>
    <s v="KEPL/02629/81-82"/>
    <s v="BEERA BARJEE INTERNATIONAL PVT.LTD"/>
    <x v="0"/>
    <x v="20"/>
    <n v="1"/>
    <n v="120"/>
    <n v="121.69"/>
    <n v="14602.800000000001"/>
    <n v="-1327.39"/>
    <n v="0"/>
    <n v="1725.801915"/>
    <n v="15001.211915"/>
  </r>
  <r>
    <x v="19"/>
    <x v="1"/>
    <x v="0"/>
    <x v="0"/>
    <s v="KEPL/02629/81-82"/>
    <s v="BEERA BARJEE INTERNATIONAL PVT.LTD"/>
    <x v="0"/>
    <x v="27"/>
    <n v="1"/>
    <n v="120"/>
    <n v="118.31"/>
    <n v="14197.199999999999"/>
    <n v="-1290.53"/>
    <n v="0"/>
    <n v="1677.865753"/>
    <n v="14584.535753"/>
  </r>
  <r>
    <x v="19"/>
    <x v="1"/>
    <x v="0"/>
    <x v="0"/>
    <s v="KEPL/02630/81-82"/>
    <s v="SHIVA SHAKTI CONCERN"/>
    <x v="1"/>
    <x v="1"/>
    <n v="1"/>
    <n v="100"/>
    <n v="108.17"/>
    <n v="10817"/>
    <n v="-983.2700000000001"/>
    <n v="0"/>
    <n v="1278.3853730000001"/>
    <n v="11112.115373000001"/>
  </r>
  <r>
    <x v="19"/>
    <x v="1"/>
    <x v="0"/>
    <x v="0"/>
    <s v="KEPL/02630/81-82"/>
    <s v="SHIVA SHAKTI CONCERN"/>
    <x v="1"/>
    <x v="6"/>
    <n v="1"/>
    <n v="100"/>
    <n v="189.3"/>
    <n v="18930"/>
    <n v="-1720.7399999999998"/>
    <n v="0"/>
    <n v="2237.2046270000001"/>
    <n v="19446.464627000001"/>
  </r>
  <r>
    <x v="19"/>
    <x v="1"/>
    <x v="0"/>
    <x v="0"/>
    <s v="KEPL/02631/81-82"/>
    <s v="SHIVA SHAKTI CONCERN"/>
    <x v="1"/>
    <x v="13"/>
    <n v="1"/>
    <n v="100"/>
    <n v="129.88"/>
    <n v="12988.000000000002"/>
    <n v="-1180.6099999999999"/>
    <n v="0"/>
    <n v="0"/>
    <n v="11807.39"/>
  </r>
  <r>
    <x v="20"/>
    <x v="1"/>
    <x v="0"/>
    <x v="0"/>
    <s v="KEPL/02654/81-82"/>
    <s v="SIMPEX SOLUTION PVT. LTD"/>
    <x v="0"/>
    <x v="11"/>
    <n v="0.06"/>
    <n v="10"/>
    <n v="67.260000000000005"/>
    <n v="672.6"/>
    <n v="0"/>
    <n v="0"/>
    <n v="87.437515000000005"/>
    <n v="760.03751499999998"/>
  </r>
  <r>
    <x v="20"/>
    <x v="1"/>
    <x v="0"/>
    <x v="0"/>
    <s v="KEPL/02654/81-82"/>
    <s v="SIMPEX SOLUTION PVT. LTD"/>
    <x v="2"/>
    <x v="5"/>
    <n v="0.06"/>
    <n v="11"/>
    <n v="99.12"/>
    <n v="1090.32"/>
    <n v="0"/>
    <n v="0"/>
    <n v="141.740813"/>
    <n v="1232.0608130000001"/>
  </r>
  <r>
    <x v="20"/>
    <x v="1"/>
    <x v="0"/>
    <x v="0"/>
    <s v="KEPL/02654/81-82"/>
    <s v="SIMPEX SOLUTION PVT. LTD"/>
    <x v="2"/>
    <x v="8"/>
    <n v="0.08"/>
    <n v="9"/>
    <n v="60.18"/>
    <n v="541.62"/>
    <n v="0"/>
    <n v="0"/>
    <n v="70.410208999999995"/>
    <n v="612.03020900000001"/>
  </r>
  <r>
    <x v="20"/>
    <x v="1"/>
    <x v="0"/>
    <x v="0"/>
    <s v="KEPL/02654/81-82"/>
    <s v="SIMPEX SOLUTION PVT. LTD"/>
    <x v="0"/>
    <x v="9"/>
    <n v="0.06"/>
    <n v="10"/>
    <n v="74.34"/>
    <n v="743.4"/>
    <n v="0"/>
    <n v="0"/>
    <n v="96.641463000000002"/>
    <n v="840.04146300000002"/>
  </r>
  <r>
    <x v="20"/>
    <x v="1"/>
    <x v="0"/>
    <x v="0"/>
    <s v="KESR/0125/81-82"/>
    <s v="AMRIT TRADE CONCERN"/>
    <x v="1"/>
    <x v="12"/>
    <n v="-1"/>
    <n v="-40"/>
    <n v="297.52"/>
    <n v="-11900.8"/>
    <n v="456.99"/>
    <n v="0"/>
    <n v="0"/>
    <n v="-11443.81"/>
  </r>
  <r>
    <x v="20"/>
    <x v="1"/>
    <x v="0"/>
    <x v="0"/>
    <s v="KESR/0125/81-82"/>
    <s v="AMRIT TRADE CONCERN"/>
    <x v="1"/>
    <x v="13"/>
    <n v="-1"/>
    <n v="-100"/>
    <n v="124.88"/>
    <n v="-12488"/>
    <n v="479.54"/>
    <n v="0"/>
    <n v="0"/>
    <n v="-12008.46"/>
  </r>
  <r>
    <x v="20"/>
    <x v="1"/>
    <x v="0"/>
    <x v="0"/>
    <s v="KESR/0126/81-82"/>
    <s v="AMRIT TRADE CONCERN"/>
    <x v="1"/>
    <x v="1"/>
    <n v="-1"/>
    <n v="-100"/>
    <n v="108.17"/>
    <n v="-10817"/>
    <n v="415.37"/>
    <n v="0"/>
    <n v="-1352.2111610000002"/>
    <n v="-11753.841161"/>
  </r>
  <r>
    <x v="20"/>
    <x v="1"/>
    <x v="0"/>
    <x v="0"/>
    <s v="KESR/0126/81-82"/>
    <s v="AMRIT TRADE CONCERN"/>
    <x v="1"/>
    <x v="6"/>
    <n v="-1"/>
    <n v="-100"/>
    <n v="189.3"/>
    <n v="-18930"/>
    <n v="726.91000000000008"/>
    <n v="0"/>
    <n v="-2366.4004070000001"/>
    <n v="-20569.490407000001"/>
  </r>
  <r>
    <x v="20"/>
    <x v="1"/>
    <x v="0"/>
    <x v="0"/>
    <s v="KESR/0126/81-82"/>
    <s v="AMRIT TRADE CONCERN"/>
    <x v="1"/>
    <x v="3"/>
    <n v="-1"/>
    <n v="-40"/>
    <n v="459.72"/>
    <n v="-18388.8"/>
    <n v="706.12999999999988"/>
    <n v="0"/>
    <n v="-2298.745844"/>
    <n v="-19981.415843999999"/>
  </r>
  <r>
    <x v="20"/>
    <x v="1"/>
    <x v="0"/>
    <x v="0"/>
    <s v="KESR/0126/81-82"/>
    <s v="AMRIT TRADE CONCERN"/>
    <x v="1"/>
    <x v="4"/>
    <n v="-1"/>
    <n v="-40"/>
    <n v="260.27999999999997"/>
    <n v="-10411.200000000001"/>
    <n v="399.79"/>
    <n v="0"/>
    <n v="-1301.4825890000002"/>
    <n v="-11312.892588999999"/>
  </r>
  <r>
    <x v="20"/>
    <x v="1"/>
    <x v="0"/>
    <x v="0"/>
    <s v="KESR/0127/81-82"/>
    <s v="SURUWAT ENTERPRISES"/>
    <x v="1"/>
    <x v="13"/>
    <n v="-1"/>
    <n v="-100"/>
    <n v="124.88"/>
    <n v="-12488"/>
    <n v="479.54"/>
    <n v="0"/>
    <n v="0"/>
    <n v="-12008.46"/>
  </r>
  <r>
    <x v="20"/>
    <x v="1"/>
    <x v="0"/>
    <x v="0"/>
    <s v="KESR/0127/81-82"/>
    <s v="SURUWAT ENTERPRISES"/>
    <x v="1"/>
    <x v="12"/>
    <n v="-1"/>
    <n v="-40"/>
    <n v="297.52"/>
    <n v="-11900.8"/>
    <n v="456.99"/>
    <n v="0"/>
    <n v="0"/>
    <n v="-11443.81"/>
  </r>
  <r>
    <x v="20"/>
    <x v="1"/>
    <x v="0"/>
    <x v="0"/>
    <s v="KESR/0128/81-82"/>
    <s v="SURUWAT ENTERPRISES"/>
    <x v="1"/>
    <x v="4"/>
    <n v="-1"/>
    <n v="-40"/>
    <n v="260.27999999999997"/>
    <n v="-10411.200000000001"/>
    <n v="399.79"/>
    <n v="0"/>
    <n v="-1301.4825890000002"/>
    <n v="-11312.892588999999"/>
  </r>
  <r>
    <x v="20"/>
    <x v="1"/>
    <x v="0"/>
    <x v="0"/>
    <s v="KESR/0128/81-82"/>
    <s v="SURUWAT ENTERPRISES"/>
    <x v="1"/>
    <x v="3"/>
    <n v="-1"/>
    <n v="-40"/>
    <n v="459.72"/>
    <n v="-18388.8"/>
    <n v="706.12999999999988"/>
    <n v="0"/>
    <n v="-2298.745844"/>
    <n v="-19981.415843999999"/>
  </r>
  <r>
    <x v="20"/>
    <x v="1"/>
    <x v="0"/>
    <x v="0"/>
    <s v="KESR/0128/81-82"/>
    <s v="SURUWAT ENTERPRISES"/>
    <x v="1"/>
    <x v="1"/>
    <n v="-1"/>
    <n v="-100"/>
    <n v="108.17"/>
    <n v="-10817"/>
    <n v="415.37"/>
    <n v="0"/>
    <n v="-1352.2111610000002"/>
    <n v="-11753.841161"/>
  </r>
  <r>
    <x v="20"/>
    <x v="1"/>
    <x v="0"/>
    <x v="0"/>
    <s v="KESR/0128/81-82"/>
    <s v="SURUWAT ENTERPRISES"/>
    <x v="1"/>
    <x v="6"/>
    <n v="-1"/>
    <n v="-100"/>
    <n v="189.3"/>
    <n v="-18930"/>
    <n v="726.91000000000008"/>
    <n v="0"/>
    <n v="-2366.4004070000001"/>
    <n v="-20569.490407000001"/>
  </r>
  <r>
    <x v="20"/>
    <x v="1"/>
    <x v="0"/>
    <x v="0"/>
    <s v="KESR/0129/81-82"/>
    <s v="HAMRO KIRANA PASAL"/>
    <x v="2"/>
    <x v="8"/>
    <n v="-0.08"/>
    <n v="-10"/>
    <n v="57.46"/>
    <n v="-574.6"/>
    <n v="22.06"/>
    <n v="0"/>
    <n v="-71.83"/>
    <n v="-624.37"/>
  </r>
  <r>
    <x v="21"/>
    <x v="1"/>
    <x v="0"/>
    <x v="0"/>
    <s v="KEPL/02665/81-82"/>
    <s v="SIMPEX SOLUTION PVT. LTD"/>
    <x v="0"/>
    <x v="17"/>
    <n v="0.06"/>
    <n v="10"/>
    <n v="127.43"/>
    <n v="1274.3000000000002"/>
    <n v="0"/>
    <n v="0"/>
    <n v="165.65952099999998"/>
    <n v="1439.959521"/>
  </r>
  <r>
    <x v="21"/>
    <x v="1"/>
    <x v="0"/>
    <x v="0"/>
    <s v="KEPL/02665/81-82"/>
    <s v="SIMPEX SOLUTION PVT. LTD"/>
    <x v="2"/>
    <x v="5"/>
    <n v="0.03"/>
    <n v="6"/>
    <n v="99.12"/>
    <n v="594.72"/>
    <n v="0"/>
    <n v="0"/>
    <n v="77.313843000000006"/>
    <n v="672.03384300000005"/>
  </r>
  <r>
    <x v="21"/>
    <x v="1"/>
    <x v="0"/>
    <x v="0"/>
    <s v="KEPL/02665/81-82"/>
    <s v="SIMPEX SOLUTION PVT. LTD"/>
    <x v="1"/>
    <x v="1"/>
    <n v="0.1"/>
    <n v="10"/>
    <n v="113.27"/>
    <n v="1132.7"/>
    <n v="0"/>
    <n v="0"/>
    <n v="147.251463"/>
    <n v="1279.9514630000001"/>
  </r>
  <r>
    <x v="21"/>
    <x v="1"/>
    <x v="0"/>
    <x v="0"/>
    <s v="KEPL/02665/81-82"/>
    <s v="SIMPEX SOLUTION PVT. LTD"/>
    <x v="0"/>
    <x v="2"/>
    <n v="0.06"/>
    <n v="10"/>
    <n v="67.260000000000005"/>
    <n v="672.6"/>
    <n v="0"/>
    <n v="0"/>
    <n v="87.438275000000004"/>
    <n v="760.038275"/>
  </r>
  <r>
    <x v="21"/>
    <x v="1"/>
    <x v="0"/>
    <x v="0"/>
    <s v="KEPL/02665/81-82"/>
    <s v="SIMPEX SOLUTION PVT. LTD"/>
    <x v="0"/>
    <x v="20"/>
    <n v="0.19"/>
    <n v="23"/>
    <n v="127.43"/>
    <n v="2930.89"/>
    <n v="0"/>
    <n v="0"/>
    <n v="381.01689799999997"/>
    <n v="3311.9068980000002"/>
  </r>
  <r>
    <x v="21"/>
    <x v="1"/>
    <x v="0"/>
    <x v="0"/>
    <s v="KEPL/02672/81-82"/>
    <s v="DS SPICECO L &amp; D"/>
    <x v="1"/>
    <x v="3"/>
    <n v="0.06"/>
    <n v="2"/>
    <n v="459.72"/>
    <n v="919.44"/>
    <n v="-83.58"/>
    <n v="0"/>
    <n v="108.659459"/>
    <n v="944.51945899999998"/>
  </r>
  <r>
    <x v="21"/>
    <x v="1"/>
    <x v="0"/>
    <x v="0"/>
    <s v="KEPL/02672/81-82"/>
    <s v="DS SPICECO L &amp; D"/>
    <x v="4"/>
    <x v="30"/>
    <n v="0.03"/>
    <n v="2"/>
    <n v="109.71"/>
    <n v="219.42"/>
    <n v="-19.95"/>
    <n v="0"/>
    <n v="25.930541000000002"/>
    <n v="225.400541"/>
  </r>
  <r>
    <x v="21"/>
    <x v="1"/>
    <x v="0"/>
    <x v="0"/>
    <s v="KEPL/02673/81-82"/>
    <s v="DS SPICECO L &amp; D"/>
    <x v="1"/>
    <x v="12"/>
    <n v="0.06"/>
    <n v="2"/>
    <n v="309.39999999999998"/>
    <n v="618.79999999999995"/>
    <n v="-56.25"/>
    <n v="0"/>
    <n v="0"/>
    <n v="562.54999999999995"/>
  </r>
  <r>
    <x v="22"/>
    <x v="2"/>
    <x v="0"/>
    <x v="0"/>
    <s v="KEPL/02809/81-82"/>
    <s v="SIMPEX SOLUTION PVT. LTD"/>
    <x v="0"/>
    <x v="17"/>
    <n v="0.06"/>
    <n v="10"/>
    <n v="127.43"/>
    <n v="1274.3000000000002"/>
    <n v="0"/>
    <n v="0"/>
    <n v="165.66"/>
    <n v="1439.96"/>
  </r>
  <r>
    <x v="22"/>
    <x v="2"/>
    <x v="0"/>
    <x v="0"/>
    <s v="KEPL/02810/81-82"/>
    <s v="SIMPEX SOLUTION PVT. LTD"/>
    <x v="1"/>
    <x v="13"/>
    <n v="0.1"/>
    <n v="10"/>
    <n v="136"/>
    <n v="1360"/>
    <s v=""/>
    <s v=""/>
    <s v=""/>
    <n v="1360"/>
  </r>
  <r>
    <x v="22"/>
    <x v="2"/>
    <x v="0"/>
    <x v="0"/>
    <s v="KEPL/02811/81-82"/>
    <s v="SHIVA SHAKTI CONCERN"/>
    <x v="2"/>
    <x v="5"/>
    <n v="1"/>
    <n v="180"/>
    <n v="94.65"/>
    <n v="17037"/>
    <n v="-1548.6599999999999"/>
    <n v="0"/>
    <n v="2013.483491"/>
    <n v="17501.823490999999"/>
  </r>
  <r>
    <x v="22"/>
    <x v="2"/>
    <x v="0"/>
    <x v="0"/>
    <s v="KEPL/02811/81-82"/>
    <s v="SHIVA SHAKTI CONCERN"/>
    <x v="0"/>
    <x v="27"/>
    <n v="1"/>
    <n v="120"/>
    <n v="118.31"/>
    <n v="14197.199999999999"/>
    <n v="-1290.53"/>
    <n v="0"/>
    <n v="1677.866509"/>
    <n v="14584.536509"/>
  </r>
  <r>
    <x v="22"/>
    <x v="2"/>
    <x v="0"/>
    <x v="0"/>
    <s v="KEPL/02812/81-82"/>
    <s v="SHIVA SHAKTI CONCERN"/>
    <x v="1"/>
    <x v="12"/>
    <n v="0.9"/>
    <n v="36"/>
    <n v="309.39999999999998"/>
    <n v="11138.400000000001"/>
    <n v="-1012.48"/>
    <n v="0"/>
    <n v="0"/>
    <n v="10125.92"/>
  </r>
  <r>
    <x v="23"/>
    <x v="2"/>
    <x v="0"/>
    <x v="0"/>
    <s v="KEPL/02817/81-82"/>
    <s v="BHAT BHATENI SUPERMARKET &amp; DEPARTMENTAL STORE PVT. LTD."/>
    <x v="1"/>
    <x v="13"/>
    <n v="1"/>
    <n v="100"/>
    <n v="119"/>
    <n v="11900.000000000002"/>
    <s v=""/>
    <s v=""/>
    <s v=""/>
    <n v="11900"/>
  </r>
  <r>
    <x v="23"/>
    <x v="2"/>
    <x v="0"/>
    <x v="0"/>
    <s v="KEPL/02817/81-82"/>
    <s v="BHAT BHATENI SUPERMARKET &amp; DEPARTMENTAL STORE PVT. LTD."/>
    <x v="1"/>
    <x v="12"/>
    <n v="1"/>
    <n v="40"/>
    <n v="283.5"/>
    <n v="11340.000000000002"/>
    <s v=""/>
    <s v=""/>
    <s v=""/>
    <n v="11340"/>
  </r>
  <r>
    <x v="23"/>
    <x v="2"/>
    <x v="0"/>
    <x v="0"/>
    <s v="KEPL/02817/81-82"/>
    <s v="BHAT BHATENI SUPERMARKET &amp; DEPARTMENTAL STORE PVT. LTD."/>
    <x v="1"/>
    <x v="13"/>
    <n v="1"/>
    <n v="100"/>
    <n v="119"/>
    <n v="11900.000000000002"/>
    <s v=""/>
    <s v=""/>
    <s v=""/>
    <n v="11900"/>
  </r>
  <r>
    <x v="23"/>
    <x v="2"/>
    <x v="0"/>
    <x v="0"/>
    <s v="KEPL/02817/81-82"/>
    <s v="BHAT BHATENI SUPERMARKET &amp; DEPARTMENTAL STORE PVT. LTD."/>
    <x v="1"/>
    <x v="12"/>
    <n v="1"/>
    <n v="40"/>
    <n v="283.5"/>
    <n v="11340.000000000002"/>
    <s v=""/>
    <s v=""/>
    <s v=""/>
    <n v="11340"/>
  </r>
  <r>
    <x v="23"/>
    <x v="2"/>
    <x v="0"/>
    <x v="0"/>
    <s v="KEPL/02818/81-82"/>
    <s v="BHAT BHATENI SUPERMARKET &amp; DEPARTMENTAL STORE PVT. LTD."/>
    <x v="0"/>
    <x v="16"/>
    <n v="5.5"/>
    <n v="660"/>
    <n v="111.5"/>
    <n v="73590"/>
    <n v="0"/>
    <n v="0"/>
    <n v="9566.7000789999984"/>
    <n v="83156.700079000002"/>
  </r>
  <r>
    <x v="23"/>
    <x v="2"/>
    <x v="0"/>
    <x v="0"/>
    <s v="KEPL/02818/81-82"/>
    <s v="BHAT BHATENI SUPERMARKET &amp; DEPARTMENTAL STORE PVT. LTD."/>
    <x v="0"/>
    <x v="27"/>
    <n v="10.5"/>
    <n v="1260"/>
    <n v="108.41"/>
    <n v="136596.6"/>
    <n v="0"/>
    <n v="0"/>
    <n v="17757.558147"/>
    <n v="154354.15814700001"/>
  </r>
  <r>
    <x v="23"/>
    <x v="2"/>
    <x v="0"/>
    <x v="0"/>
    <s v="KEPL/02818/81-82"/>
    <s v="BHAT BHATENI SUPERMARKET &amp; DEPARTMENTAL STORE PVT. LTD."/>
    <x v="0"/>
    <x v="2"/>
    <n v="9.5"/>
    <n v="1710"/>
    <n v="58.85"/>
    <n v="100633.49999999999"/>
    <n v="0"/>
    <n v="0"/>
    <n v="13082.355109"/>
    <n v="113715.855109"/>
  </r>
  <r>
    <x v="23"/>
    <x v="2"/>
    <x v="0"/>
    <x v="0"/>
    <s v="KEPL/02818/81-82"/>
    <s v="BHAT BHATENI SUPERMARKET &amp; DEPARTMENTAL STORE PVT. LTD."/>
    <x v="0"/>
    <x v="15"/>
    <n v="6"/>
    <n v="1080"/>
    <n v="105.31"/>
    <n v="113734.8"/>
    <n v="0"/>
    <n v="0"/>
    <n v="14785.524122999999"/>
    <n v="128520.324123"/>
  </r>
  <r>
    <x v="23"/>
    <x v="2"/>
    <x v="0"/>
    <x v="0"/>
    <s v="KEPL/02818/81-82"/>
    <s v="BHAT BHATENI SUPERMARKET &amp; DEPARTMENTAL STORE PVT. LTD."/>
    <x v="0"/>
    <x v="20"/>
    <n v="9.5"/>
    <n v="1140"/>
    <n v="111.5"/>
    <n v="127110"/>
    <n v="0"/>
    <n v="0"/>
    <n v="16524.300136999998"/>
    <n v="143634.30013700001"/>
  </r>
  <r>
    <x v="23"/>
    <x v="2"/>
    <x v="0"/>
    <x v="0"/>
    <s v="KEPL/02818/81-82"/>
    <s v="BHAT BHATENI SUPERMARKET &amp; DEPARTMENTAL STORE PVT. LTD."/>
    <x v="0"/>
    <x v="17"/>
    <n v="9.5"/>
    <n v="1710"/>
    <n v="111.5"/>
    <n v="190665"/>
    <n v="0"/>
    <n v="0"/>
    <n v="24786.450205999998"/>
    <n v="215451.45020600001"/>
  </r>
  <r>
    <x v="23"/>
    <x v="2"/>
    <x v="0"/>
    <x v="0"/>
    <s v="KEPL/02818/81-82"/>
    <s v="BHAT BHATENI SUPERMARKET &amp; DEPARTMENTAL STORE PVT. LTD."/>
    <x v="0"/>
    <x v="9"/>
    <n v="9.5"/>
    <n v="1710"/>
    <n v="65.040000000000006"/>
    <n v="111218.40000000001"/>
    <n v="0"/>
    <n v="0"/>
    <n v="14458.39212"/>
    <n v="125676.79212"/>
  </r>
  <r>
    <x v="23"/>
    <x v="2"/>
    <x v="0"/>
    <x v="0"/>
    <s v="KEPL/02818/81-82"/>
    <s v="BHAT BHATENI SUPERMARKET &amp; DEPARTMENTAL STORE PVT. LTD."/>
    <x v="2"/>
    <x v="5"/>
    <n v="9.5"/>
    <n v="1710"/>
    <n v="86.73"/>
    <n v="148308.29999999999"/>
    <n v="0"/>
    <n v="0"/>
    <n v="19280.079160000001"/>
    <n v="167588.37916000001"/>
  </r>
  <r>
    <x v="23"/>
    <x v="2"/>
    <x v="0"/>
    <x v="0"/>
    <s v="KEPL/02818/81-82"/>
    <s v="BHAT BHATENI SUPERMARKET &amp; DEPARTMENTAL STORE PVT. LTD."/>
    <x v="0"/>
    <x v="14"/>
    <n v="9.5"/>
    <n v="1710"/>
    <n v="123.89"/>
    <n v="211851.90000000002"/>
    <n v="0"/>
    <n v="0"/>
    <n v="27540.747229000001"/>
    <n v="239392.64722899999"/>
  </r>
  <r>
    <x v="23"/>
    <x v="2"/>
    <x v="0"/>
    <x v="0"/>
    <s v="KEPL/02818/81-82"/>
    <s v="BHAT BHATENI SUPERMARKET &amp; DEPARTMENTAL STORE PVT. LTD."/>
    <x v="2"/>
    <x v="23"/>
    <n v="2.5"/>
    <n v="450"/>
    <n v="167.26"/>
    <n v="75267"/>
    <n v="0"/>
    <n v="0"/>
    <n v="9784.7100809999993"/>
    <n v="85051.710080999997"/>
  </r>
  <r>
    <x v="23"/>
    <x v="2"/>
    <x v="0"/>
    <x v="0"/>
    <s v="KEPL/02818/81-82"/>
    <s v="BHAT BHATENI SUPERMARKET &amp; DEPARTMENTAL STORE PVT. LTD."/>
    <x v="0"/>
    <x v="19"/>
    <n v="4.83"/>
    <n v="870"/>
    <n v="142.47999999999999"/>
    <n v="123957.6"/>
    <n v="0"/>
    <n v="0"/>
    <n v="16114.488134000001"/>
    <n v="140072.08813399999"/>
  </r>
  <r>
    <x v="23"/>
    <x v="2"/>
    <x v="0"/>
    <x v="0"/>
    <s v="KEPL/02818/81-82"/>
    <s v="BHAT BHATENI SUPERMARKET &amp; DEPARTMENTAL STORE PVT. LTD."/>
    <x v="2"/>
    <x v="7"/>
    <n v="3.79"/>
    <n v="455"/>
    <n v="139.38"/>
    <n v="63417.9"/>
    <n v="0"/>
    <n v="0"/>
    <n v="8244.3270680000005"/>
    <n v="71662.227067999993"/>
  </r>
  <r>
    <x v="23"/>
    <x v="2"/>
    <x v="0"/>
    <x v="0"/>
    <s v="KEPL/02818/81-82"/>
    <s v="BHAT BHATENI SUPERMARKET &amp; DEPARTMENTAL STORE PVT. LTD."/>
    <x v="2"/>
    <x v="7"/>
    <n v="1.88"/>
    <n v="225"/>
    <n v="139.38"/>
    <n v="31360.5"/>
    <n v="0"/>
    <n v="0"/>
    <n v="4076.8650339999999"/>
    <n v="35437.365034000002"/>
  </r>
  <r>
    <x v="23"/>
    <x v="2"/>
    <x v="0"/>
    <x v="0"/>
    <s v="KEPL/02818/81-82"/>
    <s v="BHAT BHATENI SUPERMARKET &amp; DEPARTMENTAL STORE PVT. LTD."/>
    <x v="0"/>
    <x v="10"/>
    <n v="9.5"/>
    <n v="1710"/>
    <n v="55.75"/>
    <n v="95332.5"/>
    <n v="0"/>
    <n v="0"/>
    <n v="12393.225102999999"/>
    <n v="107725.725103"/>
  </r>
  <r>
    <x v="23"/>
    <x v="2"/>
    <x v="0"/>
    <x v="0"/>
    <s v="KEPL/02818/81-82"/>
    <s v="BHAT BHATENI SUPERMARKET &amp; DEPARTMENTAL STORE PVT. LTD."/>
    <x v="2"/>
    <x v="22"/>
    <n v="2"/>
    <n v="80"/>
    <n v="272.57"/>
    <n v="21805.599999999999"/>
    <n v="0"/>
    <n v="0"/>
    <n v="2834.728024"/>
    <n v="24640.328023999999"/>
  </r>
  <r>
    <x v="23"/>
    <x v="2"/>
    <x v="0"/>
    <x v="0"/>
    <s v="KEPL/02818/81-82"/>
    <s v="BHAT BHATENI SUPERMARKET &amp; DEPARTMENTAL STORE PVT. LTD."/>
    <x v="0"/>
    <x v="21"/>
    <n v="2"/>
    <n v="160"/>
    <n v="173.45"/>
    <n v="27751.999999999996"/>
    <n v="0"/>
    <n v="0"/>
    <n v="3607.7600299999999"/>
    <n v="31359.760030000001"/>
  </r>
  <r>
    <x v="23"/>
    <x v="2"/>
    <x v="0"/>
    <x v="0"/>
    <s v="KEPL/02818/81-82"/>
    <s v="BHAT BHATENI SUPERMARKET &amp; DEPARTMENTAL STORE PVT. LTD."/>
    <x v="0"/>
    <x v="0"/>
    <n v="9.5"/>
    <n v="1710"/>
    <n v="58.85"/>
    <n v="100633.49999999999"/>
    <n v="0"/>
    <n v="0"/>
    <n v="13082.355109"/>
    <n v="113715.855109"/>
  </r>
  <r>
    <x v="23"/>
    <x v="2"/>
    <x v="0"/>
    <x v="0"/>
    <s v="KEPL/02818/81-82"/>
    <s v="BHAT BHATENI SUPERMARKET &amp; DEPARTMENTAL STORE PVT. LTD."/>
    <x v="0"/>
    <x v="11"/>
    <n v="9.5"/>
    <n v="1710"/>
    <n v="58.85"/>
    <n v="100633.49999999999"/>
    <n v="0"/>
    <n v="0"/>
    <n v="13082.355109"/>
    <n v="113715.855109"/>
  </r>
  <r>
    <x v="23"/>
    <x v="2"/>
    <x v="0"/>
    <x v="0"/>
    <s v="KEPL/02819/81-82"/>
    <s v="BHAT BHATENI SUPERMARKET &amp; DEPARTMENTAL STORE PVT. LTD."/>
    <x v="1"/>
    <x v="1"/>
    <n v="1"/>
    <n v="100"/>
    <n v="99.12"/>
    <n v="9912"/>
    <n v="0"/>
    <n v="0"/>
    <n v="1288.560313"/>
    <n v="11200.560313"/>
  </r>
  <r>
    <x v="23"/>
    <x v="2"/>
    <x v="0"/>
    <x v="0"/>
    <s v="KEPL/02819/81-82"/>
    <s v="BHAT BHATENI SUPERMARKET &amp; DEPARTMENTAL STORE PVT. LTD."/>
    <x v="1"/>
    <x v="3"/>
    <n v="1"/>
    <n v="40"/>
    <n v="421.24"/>
    <n v="16849.599999999999"/>
    <n v="0"/>
    <n v="0"/>
    <n v="2190.4485319999999"/>
    <n v="19040.048532000001"/>
  </r>
  <r>
    <x v="23"/>
    <x v="2"/>
    <x v="0"/>
    <x v="0"/>
    <s v="KEPL/02819/81-82"/>
    <s v="BHAT BHATENI SUPERMARKET &amp; DEPARTMENTAL STORE PVT. LTD."/>
    <x v="1"/>
    <x v="1"/>
    <n v="1"/>
    <n v="100"/>
    <n v="99.12"/>
    <n v="9912"/>
    <n v="0"/>
    <n v="0"/>
    <n v="1288.560313"/>
    <n v="11200.560313"/>
  </r>
  <r>
    <x v="23"/>
    <x v="2"/>
    <x v="0"/>
    <x v="0"/>
    <s v="KEPL/02819/81-82"/>
    <s v="BHAT BHATENI SUPERMARKET &amp; DEPARTMENTAL STORE PVT. LTD."/>
    <x v="1"/>
    <x v="6"/>
    <n v="1"/>
    <n v="100"/>
    <n v="173.45"/>
    <n v="17345"/>
    <n v="0"/>
    <n v="0"/>
    <n v="2254.850547"/>
    <n v="19599.850546999998"/>
  </r>
  <r>
    <x v="23"/>
    <x v="2"/>
    <x v="0"/>
    <x v="0"/>
    <s v="KEPL/02819/81-82"/>
    <s v="BHAT BHATENI SUPERMARKET &amp; DEPARTMENTAL STORE PVT. LTD."/>
    <x v="1"/>
    <x v="6"/>
    <n v="1"/>
    <n v="100"/>
    <n v="173.45"/>
    <n v="17345"/>
    <n v="0"/>
    <n v="0"/>
    <n v="2254.850547"/>
    <n v="19599.850546999998"/>
  </r>
  <r>
    <x v="23"/>
    <x v="2"/>
    <x v="0"/>
    <x v="0"/>
    <s v="KEPL/02819/81-82"/>
    <s v="BHAT BHATENI SUPERMARKET &amp; DEPARTMENTAL STORE PVT. LTD."/>
    <x v="1"/>
    <x v="3"/>
    <n v="1"/>
    <n v="40"/>
    <n v="421.24"/>
    <n v="16849.599999999999"/>
    <n v="0"/>
    <n v="0"/>
    <n v="2190.4485319999999"/>
    <n v="19040.048532000001"/>
  </r>
  <r>
    <x v="23"/>
    <x v="2"/>
    <x v="0"/>
    <x v="0"/>
    <s v="KEPL/02819/81-82"/>
    <s v="BHAT BHATENI SUPERMARKET &amp; DEPARTMENTAL STORE PVT. LTD."/>
    <x v="1"/>
    <x v="1"/>
    <n v="1"/>
    <n v="100"/>
    <n v="99.12"/>
    <n v="9912"/>
    <n v="0"/>
    <n v="0"/>
    <n v="1288.560313"/>
    <n v="11200.560313"/>
  </r>
  <r>
    <x v="23"/>
    <x v="2"/>
    <x v="0"/>
    <x v="0"/>
    <s v="KEPL/02819/81-82"/>
    <s v="BHAT BHATENI SUPERMARKET &amp; DEPARTMENTAL STORE PVT. LTD."/>
    <x v="1"/>
    <x v="4"/>
    <n v="1"/>
    <n v="40"/>
    <n v="238.5"/>
    <n v="9539.9999999999982"/>
    <n v="0"/>
    <n v="0"/>
    <n v="1240.2003010000001"/>
    <n v="10780.200301000001"/>
  </r>
  <r>
    <x v="23"/>
    <x v="2"/>
    <x v="0"/>
    <x v="0"/>
    <s v="KEPL/02819/81-82"/>
    <s v="BHAT BHATENI SUPERMARKET &amp; DEPARTMENTAL STORE PVT. LTD."/>
    <x v="1"/>
    <x v="4"/>
    <n v="1"/>
    <n v="40"/>
    <n v="238.5"/>
    <n v="9539.9999999999982"/>
    <n v="0"/>
    <n v="0"/>
    <n v="1240.2003010000001"/>
    <n v="10780.200301000001"/>
  </r>
  <r>
    <x v="23"/>
    <x v="2"/>
    <x v="0"/>
    <x v="0"/>
    <s v="KEPL/02819/81-82"/>
    <s v="BHAT BHATENI SUPERMARKET &amp; DEPARTMENTAL STORE PVT. LTD."/>
    <x v="1"/>
    <x v="4"/>
    <n v="1"/>
    <n v="40"/>
    <n v="238.5"/>
    <n v="9539.9999999999982"/>
    <n v="0"/>
    <n v="0"/>
    <n v="1240.2003010000001"/>
    <n v="10780.200301000001"/>
  </r>
  <r>
    <x v="24"/>
    <x v="2"/>
    <x v="0"/>
    <x v="0"/>
    <s v="KEPL/02837/81-82"/>
    <s v="SIMPEX SOLUTION PVT. LTD"/>
    <x v="0"/>
    <x v="2"/>
    <n v="7.0000000000000007E-2"/>
    <n v="12"/>
    <n v="67.260000000000005"/>
    <n v="807.12"/>
    <n v="0"/>
    <n v="0"/>
    <n v="104.924882"/>
    <n v="912.04488200000003"/>
  </r>
  <r>
    <x v="24"/>
    <x v="2"/>
    <x v="0"/>
    <x v="0"/>
    <s v="KEPL/02837/81-82"/>
    <s v="SIMPEX SOLUTION PVT. LTD"/>
    <x v="2"/>
    <x v="5"/>
    <n v="0.06"/>
    <n v="10"/>
    <n v="99.12"/>
    <n v="991.2"/>
    <n v="0"/>
    <n v="0"/>
    <n v="128.855118"/>
    <n v="1120.055118"/>
  </r>
  <r>
    <x v="24"/>
    <x v="2"/>
    <x v="0"/>
    <x v="0"/>
    <s v="KEPL/02838/81-82"/>
    <s v="SIMPEX SOLUTION PVT. LTD"/>
    <x v="1"/>
    <x v="13"/>
    <n v="0.1"/>
    <n v="10"/>
    <n v="136"/>
    <n v="1360"/>
    <s v=""/>
    <s v=""/>
    <s v=""/>
    <n v="1360"/>
  </r>
  <r>
    <x v="25"/>
    <x v="2"/>
    <x v="0"/>
    <x v="0"/>
    <s v="KEPL/02839/81-82"/>
    <s v="SIMPEX SOLUTION PVT. LTD"/>
    <x v="0"/>
    <x v="0"/>
    <n v="0.06"/>
    <n v="10"/>
    <n v="67.260000000000005"/>
    <n v="672.6"/>
    <n v="0"/>
    <n v="0"/>
    <n v="87.436924000000005"/>
    <n v="760.036924"/>
  </r>
  <r>
    <x v="25"/>
    <x v="2"/>
    <x v="0"/>
    <x v="0"/>
    <s v="KEPL/02839/81-82"/>
    <s v="SIMPEX SOLUTION PVT. LTD"/>
    <x v="0"/>
    <x v="15"/>
    <n v="0.06"/>
    <n v="10"/>
    <n v="120.35"/>
    <n v="1203.5000000000002"/>
    <n v="0"/>
    <n v="0"/>
    <n v="156.45307599999998"/>
    <n v="1359.953076"/>
  </r>
  <r>
    <x v="26"/>
    <x v="2"/>
    <x v="0"/>
    <x v="0"/>
    <s v="KEPL/02859/81-82"/>
    <s v="SIMPEX SOLUTION PVT. LTD"/>
    <x v="0"/>
    <x v="2"/>
    <n v="0.1"/>
    <n v="18"/>
    <n v="67.260000000000005"/>
    <n v="1210.68"/>
    <n v="0"/>
    <n v="0"/>
    <n v="157.38815099999999"/>
    <n v="1368.0681509999999"/>
  </r>
  <r>
    <x v="26"/>
    <x v="2"/>
    <x v="0"/>
    <x v="0"/>
    <s v="KEPL/02859/81-82"/>
    <s v="SIMPEX SOLUTION PVT. LTD"/>
    <x v="0"/>
    <x v="11"/>
    <n v="0.14000000000000001"/>
    <n v="26"/>
    <n v="67.260000000000005"/>
    <n v="1748.76"/>
    <n v="0"/>
    <n v="0"/>
    <n v="227.33844099999999"/>
    <n v="1976.0984410000001"/>
  </r>
  <r>
    <x v="26"/>
    <x v="2"/>
    <x v="0"/>
    <x v="0"/>
    <s v="KEPL/02859/81-82"/>
    <s v="SIMPEX SOLUTION PVT. LTD"/>
    <x v="0"/>
    <x v="15"/>
    <n v="0.03"/>
    <n v="5"/>
    <n v="120.35"/>
    <n v="601.75000000000011"/>
    <n v="0"/>
    <n v="0"/>
    <n v="78.227376000000007"/>
    <n v="679.97737600000005"/>
  </r>
  <r>
    <x v="26"/>
    <x v="2"/>
    <x v="0"/>
    <x v="0"/>
    <s v="KEPL/02859/81-82"/>
    <s v="SIMPEX SOLUTION PVT. LTD"/>
    <x v="2"/>
    <x v="5"/>
    <n v="0.21"/>
    <n v="38"/>
    <n v="99.12"/>
    <n v="3766.56"/>
    <n v="0"/>
    <n v="0"/>
    <n v="489.65202600000003"/>
    <n v="4256.2120260000002"/>
  </r>
  <r>
    <x v="26"/>
    <x v="2"/>
    <x v="0"/>
    <x v="0"/>
    <s v="KEPL/02859/81-82"/>
    <s v="SIMPEX SOLUTION PVT. LTD"/>
    <x v="4"/>
    <x v="30"/>
    <n v="0.13"/>
    <n v="8"/>
    <n v="102.65"/>
    <n v="821.2"/>
    <n v="0"/>
    <n v="0"/>
    <n v="106.755831"/>
    <n v="927.95583099999999"/>
  </r>
  <r>
    <x v="26"/>
    <x v="2"/>
    <x v="0"/>
    <x v="0"/>
    <s v="KEPL/02859/81-82"/>
    <s v="SIMPEX SOLUTION PVT. LTD"/>
    <x v="1"/>
    <x v="1"/>
    <n v="0.14000000000000001"/>
    <n v="14"/>
    <n v="113.27"/>
    <n v="1585.78"/>
    <n v="0"/>
    <n v="0"/>
    <n v="206.15107399999999"/>
    <n v="1791.9310740000001"/>
  </r>
  <r>
    <x v="26"/>
    <x v="2"/>
    <x v="0"/>
    <x v="0"/>
    <s v="KEPL/02859/81-82"/>
    <s v="SIMPEX SOLUTION PVT. LTD"/>
    <x v="2"/>
    <x v="8"/>
    <n v="7.0000000000000007E-2"/>
    <n v="8"/>
    <n v="60.18"/>
    <n v="481.44"/>
    <n v="0"/>
    <n v="0"/>
    <n v="62.587100999999997"/>
    <n v="544.02710100000002"/>
  </r>
  <r>
    <x v="26"/>
    <x v="2"/>
    <x v="0"/>
    <x v="0"/>
    <s v="KEPL/02860/81-82"/>
    <s v="SIMPEX SOLUTION PVT. LTD"/>
    <x v="1"/>
    <x v="13"/>
    <n v="7.0000000000000007E-2"/>
    <n v="7"/>
    <n v="136"/>
    <n v="952"/>
    <s v=""/>
    <s v=""/>
    <s v=""/>
    <n v="952"/>
  </r>
  <r>
    <x v="27"/>
    <x v="2"/>
    <x v="0"/>
    <x v="0"/>
    <s v="KEPL/02874/81-82"/>
    <s v="SHIVA SHAKTI CONCERN"/>
    <x v="1"/>
    <x v="3"/>
    <n v="1"/>
    <n v="40"/>
    <n v="459.72"/>
    <n v="18388.8"/>
    <n v="-1671.54"/>
    <n v="0"/>
    <n v="2173.244146"/>
    <n v="18890.504145999999"/>
  </r>
  <r>
    <x v="27"/>
    <x v="2"/>
    <x v="0"/>
    <x v="0"/>
    <s v="KEPL/02874/81-82"/>
    <s v="SHIVA SHAKTI CONCERN"/>
    <x v="2"/>
    <x v="5"/>
    <n v="2"/>
    <n v="360"/>
    <n v="94.65"/>
    <n v="34074"/>
    <n v="-3097.3300000000004"/>
    <n v="0"/>
    <n v="4026.9677410000004"/>
    <n v="35003.637740999999"/>
  </r>
  <r>
    <x v="27"/>
    <x v="2"/>
    <x v="0"/>
    <x v="0"/>
    <s v="KEPL/02874/81-82"/>
    <s v="SHIVA SHAKTI CONCERN"/>
    <x v="1"/>
    <x v="4"/>
    <n v="1"/>
    <n v="40"/>
    <n v="260.27999999999997"/>
    <n v="10411.200000000001"/>
    <n v="-946.38"/>
    <n v="0"/>
    <n v="1230.4267960000002"/>
    <n v="10695.246795999999"/>
  </r>
  <r>
    <x v="27"/>
    <x v="2"/>
    <x v="0"/>
    <x v="0"/>
    <s v="KEPL/02874/81-82"/>
    <s v="SHIVA SHAKTI CONCERN"/>
    <x v="0"/>
    <x v="2"/>
    <n v="1"/>
    <n v="180"/>
    <n v="64.23"/>
    <n v="11561.4"/>
    <n v="-1050.9299999999998"/>
    <n v="0"/>
    <n v="1366.3613170000001"/>
    <n v="11876.831317"/>
  </r>
  <r>
    <x v="27"/>
    <x v="2"/>
    <x v="0"/>
    <x v="0"/>
    <s v="KESR/0136/81-82"/>
    <s v="DURGA AND AAMOSH SUPPLIERS PVT.LTD"/>
    <x v="1"/>
    <x v="12"/>
    <n v="-1"/>
    <n v="-40"/>
    <n v="297.52"/>
    <n v="-11900.8"/>
    <n v="0"/>
    <n v="456.99194399999999"/>
    <n v="0"/>
    <n v="-11443.808056"/>
  </r>
  <r>
    <x v="27"/>
    <x v="2"/>
    <x v="0"/>
    <x v="0"/>
    <s v="KESR/0136/81-82"/>
    <s v="DURGA AND AAMOSH SUPPLIERS PVT.LTD"/>
    <x v="1"/>
    <x v="13"/>
    <n v="-0.94"/>
    <n v="-94"/>
    <n v="124.88"/>
    <n v="-11738.720000000001"/>
    <n v="0"/>
    <n v="450.76805600000006"/>
    <n v="0"/>
    <n v="-11287.951944"/>
  </r>
  <r>
    <x v="27"/>
    <x v="2"/>
    <x v="0"/>
    <x v="0"/>
    <s v="KESR/0137/81-82"/>
    <s v="DURGA AND AAMOSH SUPPLIERS PVT.LTD"/>
    <x v="1"/>
    <x v="1"/>
    <n v="-0.85"/>
    <n v="-85"/>
    <n v="108.17"/>
    <n v="-9194.4499999999989"/>
    <n v="0"/>
    <n v="353.06634099999997"/>
    <n v="-1149.379547"/>
    <n v="-9990.7632059999996"/>
  </r>
  <r>
    <x v="27"/>
    <x v="2"/>
    <x v="0"/>
    <x v="0"/>
    <s v="KESR/0137/81-82"/>
    <s v="DURGA AND AAMOSH SUPPLIERS PVT.LTD"/>
    <x v="1"/>
    <x v="6"/>
    <n v="-0.95"/>
    <n v="-95"/>
    <n v="189.3"/>
    <n v="-17983.5"/>
    <n v="0"/>
    <n v="690.56534599999998"/>
    <n v="-2248.0808619999998"/>
    <n v="-19541.015515999999"/>
  </r>
  <r>
    <x v="27"/>
    <x v="2"/>
    <x v="0"/>
    <x v="0"/>
    <s v="KESR/0137/81-82"/>
    <s v="DURGA AND AAMOSH SUPPLIERS PVT.LTD"/>
    <x v="1"/>
    <x v="3"/>
    <n v="-1"/>
    <n v="-40"/>
    <n v="459.72"/>
    <n v="-18388.8"/>
    <n v="0"/>
    <n v="706.12884300000007"/>
    <n v="-2298.7465929999998"/>
    <n v="-19981.417750000001"/>
  </r>
  <r>
    <x v="27"/>
    <x v="2"/>
    <x v="0"/>
    <x v="0"/>
    <s v="KESR/0137/81-82"/>
    <s v="DURGA AND AAMOSH SUPPLIERS PVT.LTD"/>
    <x v="1"/>
    <x v="4"/>
    <n v="-1"/>
    <n v="-40"/>
    <n v="260.27999999999997"/>
    <n v="-10411.200000000001"/>
    <n v="0"/>
    <n v="399.78946999999999"/>
    <n v="-1301.4829970000001"/>
    <n v="-11312.893527"/>
  </r>
  <r>
    <x v="27"/>
    <x v="2"/>
    <x v="0"/>
    <x v="0"/>
    <s v="KESR/0138/81-82"/>
    <s v="HAMRO KIRANA PASAL"/>
    <x v="1"/>
    <x v="3"/>
    <n v="-0.88"/>
    <n v="-35"/>
    <n v="449.72"/>
    <n v="-15740.199999999999"/>
    <n v="0"/>
    <n v="604.424802"/>
    <n v="-1967.650776"/>
    <n v="-17103.425974000002"/>
  </r>
  <r>
    <x v="27"/>
    <x v="2"/>
    <x v="0"/>
    <x v="0"/>
    <s v="KESR/0138/81-82"/>
    <s v="HAMRO KIRANA PASAL"/>
    <x v="1"/>
    <x v="4"/>
    <n v="-0.88"/>
    <n v="-35"/>
    <n v="260.27999999999997"/>
    <n v="-9109.7999999999993"/>
    <n v="0"/>
    <n v="349.81696900000003"/>
    <n v="-1138.7977940000001"/>
    <n v="-9898.7808249999998"/>
  </r>
  <r>
    <x v="27"/>
    <x v="2"/>
    <x v="0"/>
    <x v="0"/>
    <s v="KESR/0138/81-82"/>
    <s v="HAMRO KIRANA PASAL"/>
    <x v="1"/>
    <x v="6"/>
    <n v="-0.9"/>
    <n v="-90"/>
    <n v="189.3"/>
    <n v="-17037"/>
    <n v="0"/>
    <n v="654.22201499999994"/>
    <n v="-2129.7611379999998"/>
    <n v="-18512.539122999999"/>
  </r>
  <r>
    <x v="27"/>
    <x v="2"/>
    <x v="0"/>
    <x v="0"/>
    <s v="KESR/0138/81-82"/>
    <s v="HAMRO KIRANA PASAL"/>
    <x v="1"/>
    <x v="1"/>
    <n v="-0.9"/>
    <n v="-90"/>
    <n v="108.17"/>
    <n v="-9735.3000000000011"/>
    <n v="0"/>
    <n v="373.83621399999998"/>
    <n v="-1216.990292"/>
    <n v="-10578.454078000001"/>
  </r>
  <r>
    <x v="27"/>
    <x v="2"/>
    <x v="0"/>
    <x v="0"/>
    <s v="KESR/0139/81-82"/>
    <s v="HAMRO KIRANA PASAL"/>
    <x v="1"/>
    <x v="12"/>
    <n v="-0.85"/>
    <n v="-34"/>
    <n v="297.52"/>
    <n v="-10115.68"/>
    <n v="0"/>
    <n v="388.44334699999996"/>
    <n v="0"/>
    <n v="-9727.2366529999999"/>
  </r>
  <r>
    <x v="27"/>
    <x v="2"/>
    <x v="0"/>
    <x v="0"/>
    <s v="KESR/0139/81-82"/>
    <s v="HAMRO KIRANA PASAL"/>
    <x v="1"/>
    <x v="13"/>
    <n v="-0.9"/>
    <n v="-90"/>
    <n v="124.88"/>
    <n v="-11239.199999999999"/>
    <n v="0"/>
    <n v="431.58665300000001"/>
    <n v="0"/>
    <n v="-10807.613347"/>
  </r>
  <r>
    <x v="28"/>
    <x v="2"/>
    <x v="0"/>
    <x v="0"/>
    <s v="KESR/0152/81-82"/>
    <s v="SIMPEX SOLUTION PVT. LTD"/>
    <x v="2"/>
    <x v="8"/>
    <n v="-7.0000000000000007E-2"/>
    <n v="-8"/>
    <n v="60.18"/>
    <n v="-481.44"/>
    <n v="0"/>
    <n v="0"/>
    <n v="-62.59"/>
    <n v="-544.03"/>
  </r>
  <r>
    <x v="29"/>
    <x v="2"/>
    <x v="0"/>
    <x v="0"/>
    <s v="KEPL/02973/81-82"/>
    <s v="SHIVA SHAKTI CONCERN"/>
    <x v="3"/>
    <x v="26"/>
    <n v="1"/>
    <n v="72"/>
    <n v="131.83000000000001"/>
    <n v="9491.76"/>
    <n v="-862.8"/>
    <n v="0"/>
    <n v="1121.764811"/>
    <n v="9750.724811"/>
  </r>
  <r>
    <x v="29"/>
    <x v="2"/>
    <x v="0"/>
    <x v="0"/>
    <s v="KEPL/02973/81-82"/>
    <s v="SHIVA SHAKTI CONCERN"/>
    <x v="0"/>
    <x v="32"/>
    <n v="1"/>
    <n v="120"/>
    <n v="64.23"/>
    <n v="7707.5999999999995"/>
    <n v="-700.62"/>
    <n v="0"/>
    <n v="910.90740900000003"/>
    <n v="7917.8874089999999"/>
  </r>
  <r>
    <x v="29"/>
    <x v="2"/>
    <x v="0"/>
    <x v="0"/>
    <s v="KEPL/02973/81-82"/>
    <s v="SHIVA SHAKTI CONCERN"/>
    <x v="4"/>
    <x v="29"/>
    <n v="1"/>
    <n v="120"/>
    <n v="57.46"/>
    <n v="6895.2"/>
    <n v="-626.77"/>
    <n v="0"/>
    <n v="814.89590799999996"/>
    <n v="7083.3259079999998"/>
  </r>
  <r>
    <x v="29"/>
    <x v="2"/>
    <x v="0"/>
    <x v="0"/>
    <s v="KEPL/02973/81-82"/>
    <s v="SHIVA SHAKTI CONCERN"/>
    <x v="2"/>
    <x v="33"/>
    <n v="1"/>
    <n v="180"/>
    <n v="91.27"/>
    <n v="16428.599999999999"/>
    <n v="-1493.36"/>
    <n v="0"/>
    <n v="1941.5812189999999"/>
    <n v="16876.821219000001"/>
  </r>
  <r>
    <x v="29"/>
    <x v="2"/>
    <x v="0"/>
    <x v="0"/>
    <s v="KEPL/02973/81-82"/>
    <s v="SHIVA SHAKTI CONCERN"/>
    <x v="2"/>
    <x v="23"/>
    <n v="1"/>
    <n v="180"/>
    <n v="182.53"/>
    <n v="32855.4"/>
    <n v="-2986.56"/>
    <n v="0"/>
    <n v="3882.949239"/>
    <n v="33751.789238999998"/>
  </r>
  <r>
    <x v="29"/>
    <x v="2"/>
    <x v="0"/>
    <x v="0"/>
    <s v="KEPL/02973/81-82"/>
    <s v="SHIVA SHAKTI CONCERN"/>
    <x v="3"/>
    <x v="25"/>
    <n v="2"/>
    <n v="96"/>
    <n v="310.99"/>
    <n v="29855.039999999997"/>
    <n v="-2713.82"/>
    <n v="0"/>
    <n v="3528.358635"/>
    <n v="30669.578635000002"/>
  </r>
  <r>
    <x v="29"/>
    <x v="2"/>
    <x v="0"/>
    <x v="0"/>
    <s v="KEPL/02973/81-82"/>
    <s v="SHIVA SHAKTI CONCERN"/>
    <x v="2"/>
    <x v="7"/>
    <n v="1"/>
    <n v="120"/>
    <n v="152.11000000000001"/>
    <n v="18253.2"/>
    <n v="-1659.2199999999998"/>
    <n v="0"/>
    <n v="2157.2174209999998"/>
    <n v="18751.197421000001"/>
  </r>
  <r>
    <x v="29"/>
    <x v="2"/>
    <x v="0"/>
    <x v="0"/>
    <s v="KEPL/02973/81-82"/>
    <s v="SHIVA SHAKTI CONCERN"/>
    <x v="4"/>
    <x v="30"/>
    <n v="5"/>
    <n v="300"/>
    <n v="101.41"/>
    <n v="30423"/>
    <n v="-2765.45"/>
    <n v="0"/>
    <n v="3595.4815360000002"/>
    <n v="31253.031535999999"/>
  </r>
  <r>
    <x v="29"/>
    <x v="2"/>
    <x v="0"/>
    <x v="0"/>
    <s v="KEPL/02973/81-82"/>
    <s v="SHIVA SHAKTI CONCERN"/>
    <x v="2"/>
    <x v="34"/>
    <n v="1"/>
    <n v="80"/>
    <n v="229.86"/>
    <n v="18388.8"/>
    <n v="-1671.54"/>
    <n v="0"/>
    <n v="2173.2438219999999"/>
    <n v="18890.503821999999"/>
  </r>
  <r>
    <x v="29"/>
    <x v="2"/>
    <x v="0"/>
    <x v="0"/>
    <s v="KEPL/02974/81-82"/>
    <s v="BEERA BARJEE INTERNATIONAL PVT.LTD"/>
    <x v="2"/>
    <x v="23"/>
    <n v="1"/>
    <n v="180"/>
    <n v="182.53"/>
    <n v="32855.4"/>
    <n v="-2986.56"/>
    <n v="0"/>
    <n v="3882.9496210000002"/>
    <n v="33751.789621000004"/>
  </r>
  <r>
    <x v="29"/>
    <x v="2"/>
    <x v="0"/>
    <x v="0"/>
    <s v="KEPL/02974/81-82"/>
    <s v="BEERA BARJEE INTERNATIONAL PVT.LTD"/>
    <x v="0"/>
    <x v="19"/>
    <n v="1"/>
    <n v="180"/>
    <n v="155.49"/>
    <n v="27988.2"/>
    <n v="-2544.13"/>
    <n v="0"/>
    <n v="3307.7294589999997"/>
    <n v="28751.799459000002"/>
  </r>
  <r>
    <x v="29"/>
    <x v="2"/>
    <x v="0"/>
    <x v="0"/>
    <s v="KEPL/02974/81-82"/>
    <s v="BEERA BARJEE INTERNATIONAL PVT.LTD"/>
    <x v="0"/>
    <x v="35"/>
    <n v="1"/>
    <n v="80"/>
    <n v="169.01"/>
    <n v="13520.8"/>
    <n v="-1229.04"/>
    <n v="0"/>
    <n v="1597.9289729999998"/>
    <n v="13889.688973"/>
  </r>
  <r>
    <x v="29"/>
    <x v="2"/>
    <x v="0"/>
    <x v="0"/>
    <s v="KEPL/02974/81-82"/>
    <s v="BEERA BARJEE INTERNATIONAL PVT.LTD"/>
    <x v="0"/>
    <x v="36"/>
    <n v="1"/>
    <n v="80"/>
    <n v="162.25"/>
    <n v="12979.999999999998"/>
    <n v="-1179.8800000000001"/>
    <n v="0"/>
    <n v="1534.015766"/>
    <n v="13334.135765999999"/>
  </r>
  <r>
    <x v="29"/>
    <x v="2"/>
    <x v="0"/>
    <x v="0"/>
    <s v="KEPL/02974/81-82"/>
    <s v="BEERA BARJEE INTERNATIONAL PVT.LTD"/>
    <x v="0"/>
    <x v="37"/>
    <n v="1"/>
    <n v="180"/>
    <n v="101.41"/>
    <n v="18253.8"/>
    <n v="-1659.27"/>
    <n v="0"/>
    <n v="2157.2891340000001"/>
    <n v="18751.819134000001"/>
  </r>
  <r>
    <x v="29"/>
    <x v="2"/>
    <x v="0"/>
    <x v="0"/>
    <s v="KEPL/02974/81-82"/>
    <s v="BEERA BARJEE INTERNATIONAL PVT.LTD"/>
    <x v="0"/>
    <x v="38"/>
    <n v="1"/>
    <n v="120"/>
    <n v="84.51"/>
    <n v="10141.199999999999"/>
    <n v="-921.84"/>
    <n v="0"/>
    <n v="1198.5169300000002"/>
    <n v="10417.87693"/>
  </r>
  <r>
    <x v="29"/>
    <x v="2"/>
    <x v="0"/>
    <x v="0"/>
    <s v="KEPL/02974/81-82"/>
    <s v="BEERA BARJEE INTERNATIONAL PVT.LTD"/>
    <x v="0"/>
    <x v="39"/>
    <n v="1"/>
    <n v="180"/>
    <n v="87.89"/>
    <n v="15820.199999999999"/>
    <n v="-1438.0600000000002"/>
    <n v="0"/>
    <n v="1869.6784030000001"/>
    <n v="16251.818402999999"/>
  </r>
  <r>
    <x v="29"/>
    <x v="2"/>
    <x v="0"/>
    <x v="0"/>
    <s v="KEPL/02974/81-82"/>
    <s v="BEERA BARJEE INTERNATIONAL PVT.LTD"/>
    <x v="4"/>
    <x v="30"/>
    <n v="2"/>
    <n v="120"/>
    <n v="101.41"/>
    <n v="12169.2"/>
    <n v="-1106.18"/>
    <n v="0"/>
    <n v="1438.1927560000001"/>
    <n v="12501.212756000001"/>
  </r>
  <r>
    <x v="29"/>
    <x v="2"/>
    <x v="0"/>
    <x v="0"/>
    <s v="KEPL/02974/81-82"/>
    <s v="BEERA BARJEE INTERNATIONAL PVT.LTD"/>
    <x v="4"/>
    <x v="29"/>
    <n v="1"/>
    <n v="120"/>
    <n v="57.46"/>
    <n v="6895.2"/>
    <n v="-626.77"/>
    <n v="0"/>
    <n v="814.8959880000001"/>
    <n v="7083.3259879999996"/>
  </r>
  <r>
    <x v="29"/>
    <x v="2"/>
    <x v="0"/>
    <x v="0"/>
    <s v="KEPL/02974/81-82"/>
    <s v="BEERA BARJEE INTERNATIONAL PVT.LTD"/>
    <x v="2"/>
    <x v="33"/>
    <n v="1"/>
    <n v="180"/>
    <n v="91.27"/>
    <n v="16428.599999999999"/>
    <n v="-1493.36"/>
    <n v="0"/>
    <n v="1941.5814109999999"/>
    <n v="16876.821411000001"/>
  </r>
  <r>
    <x v="29"/>
    <x v="2"/>
    <x v="0"/>
    <x v="0"/>
    <s v="KEPL/02974/81-82"/>
    <s v="BEERA BARJEE INTERNATIONAL PVT.LTD"/>
    <x v="0"/>
    <x v="27"/>
    <n v="1"/>
    <n v="120"/>
    <n v="118.31"/>
    <n v="14197.199999999999"/>
    <n v="-1290.53"/>
    <n v="0"/>
    <n v="1677.8672820000002"/>
    <n v="14584.537281999999"/>
  </r>
  <r>
    <x v="29"/>
    <x v="2"/>
    <x v="0"/>
    <x v="0"/>
    <s v="KEPL/02974/81-82"/>
    <s v="BEERA BARJEE INTERNATIONAL PVT.LTD"/>
    <x v="3"/>
    <x v="31"/>
    <n v="2"/>
    <n v="144"/>
    <n v="148.72999999999999"/>
    <n v="21417.119999999999"/>
    <n v="-1946.82"/>
    <n v="0"/>
    <n v="2531.1392740000001"/>
    <n v="22001.439274"/>
  </r>
  <r>
    <x v="29"/>
    <x v="2"/>
    <x v="0"/>
    <x v="0"/>
    <s v="KEPL/02974/81-82"/>
    <s v="BEERA BARJEE INTERNATIONAL PVT.LTD"/>
    <x v="0"/>
    <x v="18"/>
    <n v="1"/>
    <n v="120"/>
    <n v="141.97"/>
    <n v="17036.400000000001"/>
    <n v="-1548.61"/>
    <n v="0"/>
    <n v="2013.412918"/>
    <n v="17501.202917999999"/>
  </r>
  <r>
    <x v="29"/>
    <x v="2"/>
    <x v="0"/>
    <x v="0"/>
    <s v="KEPL/02974/81-82"/>
    <s v="BEERA BARJEE INTERNATIONAL PVT.LTD"/>
    <x v="3"/>
    <x v="26"/>
    <n v="2"/>
    <n v="144"/>
    <n v="131.83000000000001"/>
    <n v="18983.52"/>
    <n v="-1725.6"/>
    <n v="0"/>
    <n v="2243.5298430000003"/>
    <n v="19501.449842999999"/>
  </r>
  <r>
    <x v="29"/>
    <x v="2"/>
    <x v="0"/>
    <x v="0"/>
    <s v="KEPL/02974/81-82"/>
    <s v="BEERA BARJEE INTERNATIONAL PVT.LTD"/>
    <x v="0"/>
    <x v="40"/>
    <n v="1"/>
    <n v="120"/>
    <n v="77.75"/>
    <n v="9330"/>
    <n v="-848.1"/>
    <n v="0"/>
    <n v="1102.6471199999999"/>
    <n v="9584.5471199999993"/>
  </r>
  <r>
    <x v="29"/>
    <x v="2"/>
    <x v="0"/>
    <x v="0"/>
    <s v="KEPL/02974/81-82"/>
    <s v="BEERA BARJEE INTERNATIONAL PVT.LTD"/>
    <x v="0"/>
    <x v="41"/>
    <n v="1"/>
    <n v="120"/>
    <n v="162.25"/>
    <n v="19470"/>
    <n v="-1769.8200000000002"/>
    <n v="0"/>
    <n v="2301.0236500000001"/>
    <n v="20001.203649999999"/>
  </r>
  <r>
    <x v="29"/>
    <x v="2"/>
    <x v="0"/>
    <x v="0"/>
    <s v="KEPL/02974/81-82"/>
    <s v="BEERA BARJEE INTERNATIONAL PVT.LTD"/>
    <x v="0"/>
    <x v="42"/>
    <n v="1"/>
    <n v="120"/>
    <n v="94.65"/>
    <n v="11358"/>
    <n v="-1032.44"/>
    <n v="0"/>
    <n v="1342.3229460000002"/>
    <n v="11667.882946"/>
  </r>
  <r>
    <x v="29"/>
    <x v="2"/>
    <x v="0"/>
    <x v="0"/>
    <s v="KEPL/02974/81-82"/>
    <s v="BEERA BARJEE INTERNATIONAL PVT.LTD"/>
    <x v="5"/>
    <x v="43"/>
    <n v="1"/>
    <n v="60"/>
    <n v="148.72999999999999"/>
    <n v="8923.8000000000011"/>
    <n v="-811.17"/>
    <n v="0"/>
    <n v="1054.642014"/>
    <n v="9167.2720140000001"/>
  </r>
  <r>
    <x v="29"/>
    <x v="2"/>
    <x v="0"/>
    <x v="0"/>
    <s v="KEPL/02974/81-82"/>
    <s v="BEERA BARJEE INTERNATIONAL PVT.LTD"/>
    <x v="3"/>
    <x v="25"/>
    <n v="2"/>
    <n v="96"/>
    <n v="310.99"/>
    <n v="29855.039999999997"/>
    <n v="-2713.82"/>
    <n v="0"/>
    <n v="3528.3589830000001"/>
    <n v="30669.578982999999"/>
  </r>
  <r>
    <x v="29"/>
    <x v="2"/>
    <x v="0"/>
    <x v="0"/>
    <s v="KEPL/02974/81-82"/>
    <s v="BEERA BARJEE INTERNATIONAL PVT.LTD"/>
    <x v="0"/>
    <x v="44"/>
    <n v="1"/>
    <n v="180"/>
    <n v="128.44999999999999"/>
    <n v="23121.000000000004"/>
    <n v="-2101.6999999999998"/>
    <n v="0"/>
    <n v="2732.5092960000002"/>
    <n v="23751.809295999999"/>
  </r>
  <r>
    <x v="29"/>
    <x v="2"/>
    <x v="0"/>
    <x v="0"/>
    <s v="KEPL/02974/81-82"/>
    <s v="BEERA BARJEE INTERNATIONAL PVT.LTD"/>
    <x v="0"/>
    <x v="45"/>
    <n v="1"/>
    <n v="80"/>
    <n v="141.97"/>
    <n v="11357.599999999999"/>
    <n v="-1032.4099999999999"/>
    <n v="0"/>
    <n v="1342.274846"/>
    <n v="11667.464846000001"/>
  </r>
  <r>
    <x v="29"/>
    <x v="2"/>
    <x v="0"/>
    <x v="0"/>
    <s v="KEPL/02974/81-82"/>
    <s v="BEERA BARJEE INTERNATIONAL PVT.LTD"/>
    <x v="2"/>
    <x v="28"/>
    <n v="1"/>
    <n v="80"/>
    <n v="169.01"/>
    <n v="13520.8"/>
    <n v="-1229.04"/>
    <n v="0"/>
    <n v="1597.9289729999998"/>
    <n v="13889.688973"/>
  </r>
  <r>
    <x v="29"/>
    <x v="2"/>
    <x v="0"/>
    <x v="0"/>
    <s v="KEPL/02974/81-82"/>
    <s v="BEERA BARJEE INTERNATIONAL PVT.LTD"/>
    <x v="2"/>
    <x v="8"/>
    <n v="1"/>
    <n v="120"/>
    <n v="57.46"/>
    <n v="6895.2"/>
    <n v="-626.77"/>
    <n v="0"/>
    <n v="814.8959880000001"/>
    <n v="7083.3259879999996"/>
  </r>
  <r>
    <x v="29"/>
    <x v="2"/>
    <x v="0"/>
    <x v="0"/>
    <s v="KEPL/02974/81-82"/>
    <s v="BEERA BARJEE INTERNATIONAL PVT.LTD"/>
    <x v="3"/>
    <x v="46"/>
    <n v="1"/>
    <n v="100"/>
    <n v="98.03"/>
    <n v="9803"/>
    <n v="-891.08999999999992"/>
    <n v="0"/>
    <n v="1158.5484260000001"/>
    <n v="10070.458425999999"/>
  </r>
  <r>
    <x v="30"/>
    <x v="3"/>
    <x v="1"/>
    <x v="0"/>
    <s v="KEPL/03004/81-82"/>
    <s v="SIMPEX SOLUTION PVT. LTD"/>
    <x v="1"/>
    <x v="13"/>
    <n v="0.11"/>
    <n v="11"/>
    <n v="120.35"/>
    <n v="1323.85"/>
    <s v=""/>
    <s v=""/>
    <s v=""/>
    <n v="1323.85"/>
  </r>
  <r>
    <x v="30"/>
    <x v="3"/>
    <x v="1"/>
    <x v="0"/>
    <s v="KEPL/03005/81-82"/>
    <s v="SIMPEX SOLUTION PVT. LTD"/>
    <x v="0"/>
    <x v="15"/>
    <n v="0.04"/>
    <n v="7"/>
    <n v="120.35"/>
    <n v="842.44999999999993"/>
    <n v="0"/>
    <n v="0"/>
    <n v="109.51855"/>
    <n v="951.96855000000005"/>
  </r>
  <r>
    <x v="30"/>
    <x v="3"/>
    <x v="1"/>
    <x v="0"/>
    <s v="KEPL/03005/81-82"/>
    <s v="SIMPEX SOLUTION PVT. LTD"/>
    <x v="3"/>
    <x v="31"/>
    <n v="0.19"/>
    <n v="14"/>
    <n v="155.75"/>
    <n v="2180.5"/>
    <n v="0"/>
    <n v="0"/>
    <n v="283.46512899999999"/>
    <n v="2463.9651290000002"/>
  </r>
  <r>
    <x v="30"/>
    <x v="3"/>
    <x v="1"/>
    <x v="0"/>
    <s v="KEPL/03005/81-82"/>
    <s v="SIMPEX SOLUTION PVT. LTD"/>
    <x v="0"/>
    <x v="10"/>
    <n v="0.12"/>
    <n v="22"/>
    <n v="63.72"/>
    <n v="1401.84"/>
    <n v="0"/>
    <n v="0"/>
    <n v="182.239283"/>
    <n v="1584.079283"/>
  </r>
  <r>
    <x v="30"/>
    <x v="3"/>
    <x v="1"/>
    <x v="0"/>
    <s v="KEPL/03005/81-82"/>
    <s v="SIMPEX SOLUTION PVT. LTD"/>
    <x v="3"/>
    <x v="26"/>
    <n v="0.06"/>
    <n v="4"/>
    <n v="138.05000000000001"/>
    <n v="552.20000000000005"/>
    <n v="0"/>
    <n v="0"/>
    <n v="71.786032999999989"/>
    <n v="623.98603300000002"/>
  </r>
  <r>
    <x v="30"/>
    <x v="3"/>
    <x v="1"/>
    <x v="0"/>
    <s v="KEPL/03005/81-82"/>
    <s v="SIMPEX SOLUTION PVT. LTD"/>
    <x v="2"/>
    <x v="5"/>
    <n v="0.42"/>
    <n v="76"/>
    <n v="99.12"/>
    <n v="7533.12"/>
    <n v="0"/>
    <n v="0"/>
    <n v="979.30604400000004"/>
    <n v="8512.4260439999998"/>
  </r>
  <r>
    <x v="30"/>
    <x v="3"/>
    <x v="1"/>
    <x v="0"/>
    <s v="KEPL/03005/81-82"/>
    <s v="SIMPEX SOLUTION PVT. LTD"/>
    <x v="0"/>
    <x v="2"/>
    <n v="0.21"/>
    <n v="38"/>
    <n v="67.260000000000005"/>
    <n v="2555.8799999999997"/>
    <n v="0"/>
    <n v="0"/>
    <n v="332.26455099999998"/>
    <n v="2888.1445509999999"/>
  </r>
  <r>
    <x v="30"/>
    <x v="3"/>
    <x v="1"/>
    <x v="0"/>
    <s v="KEPL/03005/81-82"/>
    <s v="SIMPEX SOLUTION PVT. LTD"/>
    <x v="4"/>
    <x v="29"/>
    <n v="0.66"/>
    <n v="79"/>
    <n v="60.18"/>
    <n v="4754.22"/>
    <n v="0"/>
    <n v="0"/>
    <n v="618.04888000000005"/>
    <n v="5372.2688799999996"/>
  </r>
  <r>
    <x v="30"/>
    <x v="3"/>
    <x v="1"/>
    <x v="0"/>
    <s v="KEPL/03005/81-82"/>
    <s v="SIMPEX SOLUTION PVT. LTD"/>
    <x v="0"/>
    <x v="27"/>
    <n v="0.06"/>
    <n v="7"/>
    <n v="123.89"/>
    <n v="867.23"/>
    <n v="0"/>
    <n v="0"/>
    <n v="112.739951"/>
    <n v="979.96995100000004"/>
  </r>
  <r>
    <x v="30"/>
    <x v="3"/>
    <x v="1"/>
    <x v="0"/>
    <s v="KEPL/03005/81-82"/>
    <s v="SIMPEX SOLUTION PVT. LTD"/>
    <x v="2"/>
    <x v="8"/>
    <n v="0.28999999999999998"/>
    <n v="35"/>
    <n v="60.18"/>
    <n v="2106.3000000000002"/>
    <n v="0"/>
    <n v="0"/>
    <n v="273.81912399999999"/>
    <n v="2380.1191239999998"/>
  </r>
  <r>
    <x v="30"/>
    <x v="3"/>
    <x v="1"/>
    <x v="0"/>
    <s v="KEPL/03005/81-82"/>
    <s v="SIMPEX SOLUTION PVT. LTD"/>
    <x v="0"/>
    <x v="0"/>
    <n v="7.0000000000000007E-2"/>
    <n v="13"/>
    <n v="67.260000000000005"/>
    <n v="874.38"/>
    <n v="0"/>
    <n v="0"/>
    <n v="113.66945200000001"/>
    <n v="988.04945199999997"/>
  </r>
  <r>
    <x v="30"/>
    <x v="3"/>
    <x v="1"/>
    <x v="0"/>
    <s v="KEPL/03005/81-82"/>
    <s v="SIMPEX SOLUTION PVT. LTD"/>
    <x v="4"/>
    <x v="30"/>
    <n v="0.23"/>
    <n v="14"/>
    <n v="106.19"/>
    <n v="1486.6599999999999"/>
    <n v="0"/>
    <n v="0"/>
    <n v="193.26588799999999"/>
    <n v="1679.925888"/>
  </r>
  <r>
    <x v="30"/>
    <x v="3"/>
    <x v="1"/>
    <x v="0"/>
    <s v="KEPL/03005/81-82"/>
    <s v="SIMPEX SOLUTION PVT. LTD"/>
    <x v="0"/>
    <x v="11"/>
    <n v="0.26"/>
    <n v="46"/>
    <n v="67.260000000000005"/>
    <n v="3093.9599999999996"/>
    <n v="0"/>
    <n v="0"/>
    <n v="402.21498299999996"/>
    <n v="3496.1749829999999"/>
  </r>
  <r>
    <x v="30"/>
    <x v="3"/>
    <x v="1"/>
    <x v="0"/>
    <s v="KEPL/03005/81-82"/>
    <s v="SIMPEX SOLUTION PVT. LTD"/>
    <x v="1"/>
    <x v="1"/>
    <n v="0.2"/>
    <n v="20"/>
    <n v="113.27"/>
    <n v="2265.4"/>
    <n v="0"/>
    <n v="0"/>
    <n v="294.50213400000001"/>
    <n v="2559.9021339999999"/>
  </r>
  <r>
    <x v="30"/>
    <x v="3"/>
    <x v="1"/>
    <x v="0"/>
    <s v="KEPL/03011/81-82"/>
    <s v="DS SPICECO L &amp; D"/>
    <x v="4"/>
    <x v="30"/>
    <n v="0.05"/>
    <n v="3"/>
    <n v="98.03"/>
    <n v="294.08999999999997"/>
    <n v="-26.73"/>
    <n v="0"/>
    <n v="34.754077000000002"/>
    <n v="302.11407700000001"/>
  </r>
  <r>
    <x v="30"/>
    <x v="3"/>
    <x v="1"/>
    <x v="0"/>
    <s v="KEPL/03011/81-82"/>
    <s v="DS SPICECO L &amp; D"/>
    <x v="3"/>
    <x v="31"/>
    <n v="0.01"/>
    <n v="1"/>
    <n v="148.72999999999999"/>
    <n v="148.72999999999999"/>
    <n v="-13.52"/>
    <n v="0"/>
    <n v="17.575923"/>
    <n v="152.785923"/>
  </r>
  <r>
    <x v="31"/>
    <x v="3"/>
    <x v="1"/>
    <x v="0"/>
    <s v="KEPL/03016/81-82"/>
    <s v="DURGA AND AAMOSH SUPPLIERS PVT.LTD"/>
    <x v="0"/>
    <x v="32"/>
    <n v="1"/>
    <n v="120"/>
    <n v="64.23"/>
    <n v="7707.5999999999995"/>
    <n v="-700.62"/>
    <n v="0"/>
    <n v="910.90763300000003"/>
    <n v="7917.8876330000003"/>
  </r>
  <r>
    <x v="31"/>
    <x v="3"/>
    <x v="1"/>
    <x v="0"/>
    <s v="KEPL/03016/81-82"/>
    <s v="DURGA AND AAMOSH SUPPLIERS PVT.LTD"/>
    <x v="3"/>
    <x v="25"/>
    <n v="1"/>
    <n v="48"/>
    <n v="310.99"/>
    <n v="14927.519999999999"/>
    <n v="-1356.91"/>
    <n v="0"/>
    <n v="1764.1797509999999"/>
    <n v="15334.789751"/>
  </r>
  <r>
    <x v="31"/>
    <x v="3"/>
    <x v="1"/>
    <x v="0"/>
    <s v="KEPL/03016/81-82"/>
    <s v="DURGA AND AAMOSH SUPPLIERS PVT.LTD"/>
    <x v="3"/>
    <x v="26"/>
    <n v="1"/>
    <n v="72"/>
    <n v="131.83000000000001"/>
    <n v="9491.76"/>
    <n v="-862.8"/>
    <n v="0"/>
    <n v="1121.765087"/>
    <n v="9750.7250870000007"/>
  </r>
  <r>
    <x v="31"/>
    <x v="3"/>
    <x v="1"/>
    <x v="0"/>
    <s v="KEPL/03016/81-82"/>
    <s v="DURGA AND AAMOSH SUPPLIERS PVT.LTD"/>
    <x v="3"/>
    <x v="31"/>
    <n v="1"/>
    <n v="72"/>
    <n v="148.72999999999999"/>
    <n v="10708.56"/>
    <n v="-973.41"/>
    <n v="0"/>
    <n v="1265.5698239999999"/>
    <n v="11000.719824"/>
  </r>
  <r>
    <x v="31"/>
    <x v="3"/>
    <x v="1"/>
    <x v="0"/>
    <s v="KEPL/03016/81-82"/>
    <s v="DURGA AND AAMOSH SUPPLIERS PVT.LTD"/>
    <x v="2"/>
    <x v="33"/>
    <n v="1"/>
    <n v="180"/>
    <n v="91.27"/>
    <n v="16428.599999999999"/>
    <n v="-1493.36"/>
    <n v="0"/>
    <n v="1941.5816969999998"/>
    <n v="16876.821696999999"/>
  </r>
  <r>
    <x v="31"/>
    <x v="3"/>
    <x v="1"/>
    <x v="0"/>
    <s v="KEPL/03016/81-82"/>
    <s v="DURGA AND AAMOSH SUPPLIERS PVT.LTD"/>
    <x v="2"/>
    <x v="7"/>
    <n v="1"/>
    <n v="120"/>
    <n v="152.11000000000001"/>
    <n v="18253.2"/>
    <n v="-1659.2199999999998"/>
    <n v="0"/>
    <n v="2157.217952"/>
    <n v="18751.197951999999"/>
  </r>
  <r>
    <x v="31"/>
    <x v="3"/>
    <x v="1"/>
    <x v="0"/>
    <s v="KEPL/03016/81-82"/>
    <s v="DURGA AND AAMOSH SUPPLIERS PVT.LTD"/>
    <x v="4"/>
    <x v="30"/>
    <n v="2"/>
    <n v="120"/>
    <n v="98.03"/>
    <n v="11763.6"/>
    <n v="-1069.3100000000002"/>
    <n v="0"/>
    <n v="1390.2580559999999"/>
    <n v="12084.548056"/>
  </r>
  <r>
    <x v="31"/>
    <x v="3"/>
    <x v="1"/>
    <x v="0"/>
    <s v="KEPL/03017/81-82"/>
    <s v="SURUWAT ENTERPRISES"/>
    <x v="2"/>
    <x v="28"/>
    <n v="1"/>
    <n v="80"/>
    <n v="169.01"/>
    <n v="13520.8"/>
    <n v="-1229.04"/>
    <n v="0"/>
    <n v="1597.929144"/>
    <n v="13889.689144"/>
  </r>
  <r>
    <x v="31"/>
    <x v="3"/>
    <x v="1"/>
    <x v="0"/>
    <s v="KEPL/03017/81-82"/>
    <s v="SURUWAT ENTERPRISES"/>
    <x v="0"/>
    <x v="32"/>
    <n v="1"/>
    <n v="120"/>
    <n v="64.23"/>
    <n v="7707.5999999999995"/>
    <n v="-700.62"/>
    <n v="0"/>
    <n v="910.9075959999999"/>
    <n v="7917.8875959999996"/>
  </r>
  <r>
    <x v="31"/>
    <x v="3"/>
    <x v="1"/>
    <x v="0"/>
    <s v="KEPL/03017/81-82"/>
    <s v="SURUWAT ENTERPRISES"/>
    <x v="4"/>
    <x v="29"/>
    <n v="1"/>
    <n v="120"/>
    <n v="57.46"/>
    <n v="6895.2"/>
    <n v="-626.77"/>
    <n v="0"/>
    <n v="814.89607599999999"/>
    <n v="7083.3260760000003"/>
  </r>
  <r>
    <x v="31"/>
    <x v="3"/>
    <x v="1"/>
    <x v="0"/>
    <s v="KEPL/03017/81-82"/>
    <s v="SURUWAT ENTERPRISES"/>
    <x v="3"/>
    <x v="31"/>
    <n v="1"/>
    <n v="72"/>
    <n v="148.72999999999999"/>
    <n v="10708.56"/>
    <n v="-973.41"/>
    <n v="0"/>
    <n v="1265.5697729999999"/>
    <n v="11000.719773000001"/>
  </r>
  <r>
    <x v="31"/>
    <x v="3"/>
    <x v="1"/>
    <x v="0"/>
    <s v="KEPL/03017/81-82"/>
    <s v="SURUWAT ENTERPRISES"/>
    <x v="0"/>
    <x v="18"/>
    <n v="1"/>
    <n v="120"/>
    <n v="141.97"/>
    <n v="17036.400000000001"/>
    <n v="-1548.61"/>
    <n v="0"/>
    <n v="2013.4131340000001"/>
    <n v="17501.203133999999"/>
  </r>
  <r>
    <x v="31"/>
    <x v="3"/>
    <x v="1"/>
    <x v="0"/>
    <s v="KEPL/03017/81-82"/>
    <s v="SURUWAT ENTERPRISES"/>
    <x v="0"/>
    <x v="19"/>
    <n v="1"/>
    <n v="180"/>
    <n v="155.49"/>
    <n v="27988.2"/>
    <n v="-2544.13"/>
    <n v="0"/>
    <n v="3307.729812"/>
    <n v="28751.799812000001"/>
  </r>
  <r>
    <x v="31"/>
    <x v="3"/>
    <x v="1"/>
    <x v="0"/>
    <s v="KEPL/03017/81-82"/>
    <s v="SURUWAT ENTERPRISES"/>
    <x v="3"/>
    <x v="25"/>
    <n v="1"/>
    <n v="48"/>
    <n v="310.99"/>
    <n v="14927.519999999999"/>
    <n v="-1356.91"/>
    <n v="0"/>
    <n v="1764.1796800000002"/>
    <n v="15334.78968"/>
  </r>
  <r>
    <x v="31"/>
    <x v="3"/>
    <x v="1"/>
    <x v="0"/>
    <s v="KEPL/03017/81-82"/>
    <s v="SURUWAT ENTERPRISES"/>
    <x v="4"/>
    <x v="30"/>
    <n v="1"/>
    <n v="60"/>
    <n v="98.03"/>
    <n v="5881.8"/>
    <n v="-534.66"/>
    <n v="0"/>
    <n v="695.12834999999995"/>
    <n v="6042.2683500000003"/>
  </r>
  <r>
    <x v="31"/>
    <x v="3"/>
    <x v="1"/>
    <x v="0"/>
    <s v="KEPL/03017/81-82"/>
    <s v="SURUWAT ENTERPRISES"/>
    <x v="3"/>
    <x v="26"/>
    <n v="1"/>
    <n v="72"/>
    <n v="131.83000000000001"/>
    <n v="9491.76"/>
    <n v="-862.8"/>
    <n v="0"/>
    <n v="1121.765042"/>
    <n v="9750.725042"/>
  </r>
  <r>
    <x v="31"/>
    <x v="3"/>
    <x v="1"/>
    <x v="0"/>
    <s v="KEPL/03017/81-82"/>
    <s v="SURUWAT ENTERPRISES"/>
    <x v="0"/>
    <x v="11"/>
    <n v="1"/>
    <n v="180"/>
    <n v="64.23"/>
    <n v="11561.4"/>
    <n v="-1050.9299999999998"/>
    <n v="0"/>
    <n v="1366.361394"/>
    <n v="11876.831394000001"/>
  </r>
  <r>
    <x v="32"/>
    <x v="3"/>
    <x v="1"/>
    <x v="0"/>
    <s v="KEPL/03020/81-82"/>
    <s v="SAFAL MART PVT.LTD"/>
    <x v="0"/>
    <x v="20"/>
    <n v="1"/>
    <n v="120"/>
    <n v="121.69"/>
    <n v="14602.800000000001"/>
    <n v="-1327.39"/>
    <n v="0"/>
    <n v="1725.8032250000001"/>
    <n v="15001.213225"/>
  </r>
  <r>
    <x v="32"/>
    <x v="3"/>
    <x v="1"/>
    <x v="0"/>
    <s v="KEPL/03020/81-82"/>
    <s v="SAFAL MART PVT.LTD"/>
    <x v="2"/>
    <x v="8"/>
    <n v="1"/>
    <n v="120"/>
    <n v="57.46"/>
    <n v="6895.2"/>
    <n v="-626.77"/>
    <n v="0"/>
    <n v="814.89586499999996"/>
    <n v="7083.3258649999998"/>
  </r>
  <r>
    <x v="32"/>
    <x v="3"/>
    <x v="1"/>
    <x v="0"/>
    <s v="KEPL/03020/81-82"/>
    <s v="SAFAL MART PVT.LTD"/>
    <x v="0"/>
    <x v="27"/>
    <n v="1"/>
    <n v="120"/>
    <n v="118.31"/>
    <n v="14197.199999999999"/>
    <n v="-1290.53"/>
    <n v="0"/>
    <n v="1677.867027"/>
    <n v="14584.537027"/>
  </r>
  <r>
    <x v="32"/>
    <x v="3"/>
    <x v="1"/>
    <x v="0"/>
    <s v="KEPL/03020/81-82"/>
    <s v="SAFAL MART PVT.LTD"/>
    <x v="0"/>
    <x v="17"/>
    <n v="2"/>
    <n v="360"/>
    <n v="121.69"/>
    <n v="43808.399999999994"/>
    <n v="-3982.18"/>
    <n v="0"/>
    <n v="5177.408375"/>
    <n v="45003.628375"/>
  </r>
  <r>
    <x v="32"/>
    <x v="3"/>
    <x v="1"/>
    <x v="0"/>
    <s v="KEPL/03020/81-82"/>
    <s v="SAFAL MART PVT.LTD"/>
    <x v="2"/>
    <x v="23"/>
    <n v="10"/>
    <n v="1800"/>
    <n v="182.53"/>
    <n v="328554"/>
    <n v="-29865.56"/>
    <n v="0"/>
    <n v="38829.495509"/>
    <n v="337517.93550899997"/>
  </r>
  <r>
    <x v="33"/>
    <x v="3"/>
    <x v="1"/>
    <x v="0"/>
    <s v="KEPL/03027/81-82"/>
    <s v="BEERA BARJEE INTERNATIONAL PVT.LTD"/>
    <x v="0"/>
    <x v="2"/>
    <n v="1"/>
    <n v="180"/>
    <n v="64.23"/>
    <n v="11561.4"/>
    <n v="-1050.9299999999998"/>
    <n v="0"/>
    <n v="1366.3613780000001"/>
    <n v="11876.831378000001"/>
  </r>
  <r>
    <x v="33"/>
    <x v="3"/>
    <x v="1"/>
    <x v="0"/>
    <s v="KEPL/03027/81-82"/>
    <s v="BEERA BARJEE INTERNATIONAL PVT.LTD"/>
    <x v="2"/>
    <x v="34"/>
    <n v="1"/>
    <n v="80"/>
    <n v="229.86"/>
    <n v="18388.8"/>
    <n v="-1671.54"/>
    <n v="0"/>
    <n v="2173.2442430000001"/>
    <n v="18890.504242999999"/>
  </r>
  <r>
    <x v="33"/>
    <x v="3"/>
    <x v="1"/>
    <x v="0"/>
    <s v="KEPL/03027/81-82"/>
    <s v="BEERA BARJEE INTERNATIONAL PVT.LTD"/>
    <x v="3"/>
    <x v="47"/>
    <n v="2"/>
    <n v="200"/>
    <n v="70.989999999999995"/>
    <n v="14198"/>
    <n v="-1290.5999999999999"/>
    <n v="0"/>
    <n v="1677.962342"/>
    <n v="14585.362342"/>
  </r>
  <r>
    <x v="33"/>
    <x v="3"/>
    <x v="1"/>
    <x v="0"/>
    <s v="KEPL/03027/81-82"/>
    <s v="BEERA BARJEE INTERNATIONAL PVT.LTD"/>
    <x v="0"/>
    <x v="48"/>
    <n v="1"/>
    <n v="180"/>
    <n v="84.51"/>
    <n v="15211.800000000001"/>
    <n v="-1382.75"/>
    <n v="0"/>
    <n v="1797.7768659999999"/>
    <n v="15626.826865999999"/>
  </r>
  <r>
    <x v="33"/>
    <x v="3"/>
    <x v="1"/>
    <x v="0"/>
    <s v="KEPL/03027/81-82"/>
    <s v="BEERA BARJEE INTERNATIONAL PVT.LTD"/>
    <x v="0"/>
    <x v="32"/>
    <n v="2"/>
    <n v="240"/>
    <n v="64.23"/>
    <n v="15415.199999999999"/>
    <n v="-1401.24"/>
    <n v="0"/>
    <n v="1821.815171"/>
    <n v="15835.775170999999"/>
  </r>
  <r>
    <x v="34"/>
    <x v="3"/>
    <x v="1"/>
    <x v="0"/>
    <s v="KEPL/03030/81-82"/>
    <s v="DS SPICECO L &amp; D"/>
    <x v="0"/>
    <x v="32"/>
    <n v="1.67"/>
    <n v="200"/>
    <n v="50.51"/>
    <n v="10102"/>
    <n v="0"/>
    <n v="0"/>
    <n v="1313.2600000000002"/>
    <n v="11415.26"/>
  </r>
  <r>
    <x v="34"/>
    <x v="3"/>
    <x v="1"/>
    <x v="0"/>
    <s v="KEPL/03030/81-82"/>
    <s v="DS SPICECO L &amp; D"/>
    <x v="4"/>
    <x v="29"/>
    <n v="1.67"/>
    <n v="200"/>
    <n v="45.2"/>
    <n v="9040"/>
    <n v="0"/>
    <n v="0"/>
    <n v="1175.2"/>
    <n v="10215.200000000001"/>
  </r>
  <r>
    <x v="34"/>
    <x v="3"/>
    <x v="1"/>
    <x v="0"/>
    <s v="KEPL/03030/81-82"/>
    <s v="DS SPICECO L &amp; D"/>
    <x v="3"/>
    <x v="31"/>
    <n v="2.78"/>
    <n v="200"/>
    <n v="116.97"/>
    <n v="23394"/>
    <n v="0"/>
    <n v="0"/>
    <n v="3041.22"/>
    <n v="26435.22"/>
  </r>
  <r>
    <x v="34"/>
    <x v="3"/>
    <x v="1"/>
    <x v="0"/>
    <s v="KEPL/03030/81-82"/>
    <s v="DS SPICECO L &amp; D"/>
    <x v="3"/>
    <x v="26"/>
    <n v="2.77"/>
    <n v="200"/>
    <n v="103.68"/>
    <n v="20736"/>
    <n v="0"/>
    <n v="0"/>
    <n v="2695.68"/>
    <n v="23431.68"/>
  </r>
  <r>
    <x v="34"/>
    <x v="3"/>
    <x v="1"/>
    <x v="0"/>
    <s v="KEPL/03031/81-82"/>
    <s v="DS SPICECO L &amp; D"/>
    <x v="1"/>
    <x v="13"/>
    <n v="2"/>
    <n v="200"/>
    <n v="102.14"/>
    <n v="20428"/>
    <s v=""/>
    <s v=""/>
    <s v=""/>
    <n v="20428"/>
  </r>
  <r>
    <x v="35"/>
    <x v="3"/>
    <x v="1"/>
    <x v="0"/>
    <s v="KEPL/03039/81-82"/>
    <s v="SIMPEX SOLUTION PVT. LTD"/>
    <x v="4"/>
    <x v="30"/>
    <n v="0.13"/>
    <n v="8"/>
    <n v="102.65"/>
    <n v="821.2"/>
    <n v="0"/>
    <n v="-56"/>
    <n v="99.48"/>
    <n v="864.68"/>
  </r>
  <r>
    <x v="36"/>
    <x v="3"/>
    <x v="1"/>
    <x v="0"/>
    <s v="KEPL/03047/81-82"/>
    <s v="DS SPICECO L &amp; D"/>
    <x v="1"/>
    <x v="12"/>
    <n v="0.11"/>
    <n v="4"/>
    <n v="243.34"/>
    <n v="973.36"/>
    <s v=""/>
    <s v=""/>
    <s v=""/>
    <n v="973.36"/>
  </r>
  <r>
    <x v="36"/>
    <x v="3"/>
    <x v="1"/>
    <x v="0"/>
    <s v="KEPL/03047/81-82"/>
    <s v="DS SPICECO L &amp; D"/>
    <x v="1"/>
    <x v="13"/>
    <n v="0.54"/>
    <n v="54"/>
    <n v="102.14"/>
    <n v="5515.5599999999995"/>
    <s v=""/>
    <s v=""/>
    <s v=""/>
    <n v="5515.56"/>
  </r>
  <r>
    <x v="36"/>
    <x v="3"/>
    <x v="1"/>
    <x v="0"/>
    <s v="KEPL/03048/81-82"/>
    <s v="DS SPICECO L &amp; D"/>
    <x v="3"/>
    <x v="47"/>
    <n v="0.08"/>
    <n v="8"/>
    <n v="55.82"/>
    <n v="446.56"/>
    <n v="0"/>
    <n v="0"/>
    <n v="58.052688000000003"/>
    <n v="504.61268799999999"/>
  </r>
  <r>
    <x v="36"/>
    <x v="3"/>
    <x v="1"/>
    <x v="0"/>
    <s v="KEPL/03048/81-82"/>
    <s v="DS SPICECO L &amp; D"/>
    <x v="0"/>
    <x v="42"/>
    <n v="0.05"/>
    <n v="6"/>
    <n v="74.430000000000007"/>
    <n v="446.58"/>
    <n v="0"/>
    <n v="0"/>
    <n v="58.055287999999997"/>
    <n v="504.635288"/>
  </r>
  <r>
    <x v="36"/>
    <x v="3"/>
    <x v="1"/>
    <x v="0"/>
    <s v="KEPL/03048/81-82"/>
    <s v="DS SPICECO L &amp; D"/>
    <x v="0"/>
    <x v="41"/>
    <n v="0.03"/>
    <n v="4"/>
    <n v="127.6"/>
    <n v="510.4"/>
    <n v="0"/>
    <n v="0"/>
    <n v="66.351872"/>
    <n v="576.75187200000005"/>
  </r>
  <r>
    <x v="36"/>
    <x v="3"/>
    <x v="1"/>
    <x v="0"/>
    <s v="KEPL/03048/81-82"/>
    <s v="DS SPICECO L &amp; D"/>
    <x v="1"/>
    <x v="1"/>
    <n v="0.04"/>
    <n v="4"/>
    <n v="85.07"/>
    <n v="340.28"/>
    <n v="0"/>
    <n v="0"/>
    <n v="44.236315000000005"/>
    <n v="384.51631500000002"/>
  </r>
  <r>
    <x v="36"/>
    <x v="3"/>
    <x v="1"/>
    <x v="0"/>
    <s v="KEPL/03048/81-82"/>
    <s v="DS SPICECO L &amp; D"/>
    <x v="3"/>
    <x v="25"/>
    <n v="0.17"/>
    <n v="8"/>
    <n v="244.57"/>
    <n v="1956.56"/>
    <n v="0"/>
    <n v="0"/>
    <n v="254.35230900000002"/>
    <n v="2210.9123089999998"/>
  </r>
  <r>
    <x v="36"/>
    <x v="3"/>
    <x v="1"/>
    <x v="0"/>
    <s v="KEPL/03048/81-82"/>
    <s v="DS SPICECO L &amp; D"/>
    <x v="4"/>
    <x v="30"/>
    <n v="7.0000000000000007E-2"/>
    <n v="4"/>
    <n v="77.09"/>
    <n v="308.36"/>
    <n v="0"/>
    <n v="0"/>
    <n v="40.086723000000006"/>
    <n v="348.44672300000002"/>
  </r>
  <r>
    <x v="36"/>
    <x v="3"/>
    <x v="1"/>
    <x v="0"/>
    <s v="KEPL/03048/81-82"/>
    <s v="DS SPICECO L &amp; D"/>
    <x v="0"/>
    <x v="21"/>
    <n v="0.05"/>
    <n v="4"/>
    <n v="148.88"/>
    <n v="595.52"/>
    <n v="0"/>
    <n v="0"/>
    <n v="77.417451"/>
    <n v="672.93745100000001"/>
  </r>
  <r>
    <x v="36"/>
    <x v="3"/>
    <x v="1"/>
    <x v="0"/>
    <s v="KEPL/03048/81-82"/>
    <s v="DS SPICECO L &amp; D"/>
    <x v="0"/>
    <x v="20"/>
    <n v="0.03"/>
    <n v="4"/>
    <n v="95.71"/>
    <n v="382.84"/>
    <n v="0"/>
    <n v="0"/>
    <n v="49.769103999999999"/>
    <n v="432.609104"/>
  </r>
  <r>
    <x v="36"/>
    <x v="3"/>
    <x v="1"/>
    <x v="0"/>
    <s v="KEPL/03048/81-82"/>
    <s v="DS SPICECO L &amp; D"/>
    <x v="0"/>
    <x v="11"/>
    <n v="0.01"/>
    <n v="1"/>
    <n v="50.51"/>
    <n v="50.51"/>
    <n v="0"/>
    <n v="0"/>
    <n v="6.566287"/>
    <n v="57.076287000000001"/>
  </r>
  <r>
    <x v="36"/>
    <x v="3"/>
    <x v="1"/>
    <x v="0"/>
    <s v="KEPL/03048/81-82"/>
    <s v="DS SPICECO L &amp; D"/>
    <x v="2"/>
    <x v="34"/>
    <n v="0.03"/>
    <n v="2"/>
    <n v="180.77"/>
    <n v="361.54"/>
    <n v="0"/>
    <n v="0"/>
    <n v="47.000108999999995"/>
    <n v="408.54010899999997"/>
  </r>
  <r>
    <x v="36"/>
    <x v="3"/>
    <x v="1"/>
    <x v="0"/>
    <s v="KEPL/03048/81-82"/>
    <s v="DS SPICECO L &amp; D"/>
    <x v="0"/>
    <x v="14"/>
    <n v="0.02"/>
    <n v="4"/>
    <n v="106.9"/>
    <n v="427.6"/>
    <n v="0"/>
    <n v="0"/>
    <n v="55.587892999999994"/>
    <n v="483.18789299999997"/>
  </r>
  <r>
    <x v="36"/>
    <x v="3"/>
    <x v="1"/>
    <x v="0"/>
    <s v="KEPL/03048/81-82"/>
    <s v="DS SPICECO L &amp; D"/>
    <x v="2"/>
    <x v="28"/>
    <n v="0.05"/>
    <n v="4"/>
    <n v="132.91999999999999"/>
    <n v="531.67999999999995"/>
    <n v="0"/>
    <n v="0"/>
    <n v="69.118267000000003"/>
    <n v="600.79826700000001"/>
  </r>
  <r>
    <x v="36"/>
    <x v="3"/>
    <x v="1"/>
    <x v="0"/>
    <s v="KEPL/03048/81-82"/>
    <s v="DS SPICECO L &amp; D"/>
    <x v="4"/>
    <x v="29"/>
    <n v="0.45"/>
    <n v="54"/>
    <n v="45.2"/>
    <n v="2440.8000000000002"/>
    <n v="0"/>
    <n v="0"/>
    <n v="317.30338800000004"/>
    <n v="2758.103388"/>
  </r>
  <r>
    <x v="36"/>
    <x v="3"/>
    <x v="1"/>
    <x v="0"/>
    <s v="KEPL/03048/81-82"/>
    <s v="DS SPICECO L &amp; D"/>
    <x v="3"/>
    <x v="26"/>
    <n v="0.81"/>
    <n v="58"/>
    <n v="103.68"/>
    <n v="6013.44"/>
    <n v="0"/>
    <n v="0"/>
    <n v="781.74569199999996"/>
    <n v="6795.185692"/>
  </r>
  <r>
    <x v="36"/>
    <x v="3"/>
    <x v="1"/>
    <x v="0"/>
    <s v="KEPL/03048/81-82"/>
    <s v="DS SPICECO L &amp; D"/>
    <x v="0"/>
    <x v="16"/>
    <n v="0.03"/>
    <n v="4"/>
    <n v="95.71"/>
    <n v="382.84"/>
    <n v="0"/>
    <n v="0"/>
    <n v="49.769103999999999"/>
    <n v="432.609104"/>
  </r>
  <r>
    <x v="36"/>
    <x v="3"/>
    <x v="1"/>
    <x v="0"/>
    <s v="KEPL/03048/81-82"/>
    <s v="DS SPICECO L &amp; D"/>
    <x v="1"/>
    <x v="4"/>
    <n v="0.1"/>
    <n v="4"/>
    <n v="204.7"/>
    <n v="818.8"/>
    <n v="0"/>
    <n v="0"/>
    <n v="106.44379500000001"/>
    <n v="925.24379499999998"/>
  </r>
  <r>
    <x v="36"/>
    <x v="3"/>
    <x v="1"/>
    <x v="0"/>
    <s v="KEPL/03048/81-82"/>
    <s v="DS SPICECO L &amp; D"/>
    <x v="2"/>
    <x v="22"/>
    <n v="0.2"/>
    <n v="8"/>
    <n v="233.94"/>
    <n v="1871.52"/>
    <n v="0"/>
    <n v="0"/>
    <n v="243.29713099999998"/>
    <n v="2114.8171309999998"/>
  </r>
  <r>
    <x v="36"/>
    <x v="3"/>
    <x v="1"/>
    <x v="0"/>
    <s v="KEPL/03048/81-82"/>
    <s v="DS SPICECO L &amp; D"/>
    <x v="0"/>
    <x v="9"/>
    <n v="0.01"/>
    <n v="1"/>
    <n v="55.82"/>
    <n v="55.82"/>
    <n v="0"/>
    <n v="0"/>
    <n v="7.2565860000000004"/>
    <n v="63.076585999999999"/>
  </r>
  <r>
    <x v="36"/>
    <x v="3"/>
    <x v="1"/>
    <x v="0"/>
    <s v="KEPL/03049/81-82"/>
    <s v="DS SPICECO L &amp; D"/>
    <x v="0"/>
    <x v="19"/>
    <n v="0.03"/>
    <n v="4"/>
    <n v="122.29"/>
    <n v="489.16"/>
    <n v="0"/>
    <n v="0"/>
    <n v="63.590796999999995"/>
    <n v="552.75079700000003"/>
  </r>
  <r>
    <x v="36"/>
    <x v="3"/>
    <x v="1"/>
    <x v="0"/>
    <s v="KEPL/03049/81-82"/>
    <s v="DS SPICECO L &amp; D"/>
    <x v="0"/>
    <x v="17"/>
    <n v="0.02"/>
    <n v="4"/>
    <n v="95.71"/>
    <n v="382.84"/>
    <n v="0"/>
    <n v="0"/>
    <n v="49.769198000000003"/>
    <n v="432.60919799999999"/>
  </r>
  <r>
    <x v="36"/>
    <x v="3"/>
    <x v="1"/>
    <x v="0"/>
    <s v="KEPL/03049/81-82"/>
    <s v="DS SPICECO L &amp; D"/>
    <x v="5"/>
    <x v="43"/>
    <n v="0.1"/>
    <n v="6"/>
    <n v="122.82"/>
    <n v="736.92"/>
    <n v="0"/>
    <n v="0"/>
    <n v="95.799595999999994"/>
    <n v="832.71959600000002"/>
  </r>
  <r>
    <x v="36"/>
    <x v="3"/>
    <x v="1"/>
    <x v="0"/>
    <s v="KEPL/03049/81-82"/>
    <s v="DS SPICECO L &amp; D"/>
    <x v="0"/>
    <x v="36"/>
    <n v="0.05"/>
    <n v="4"/>
    <n v="127.6"/>
    <n v="510.4"/>
    <n v="0"/>
    <n v="0"/>
    <n v="66.351996999999997"/>
    <n v="576.75199699999996"/>
  </r>
  <r>
    <x v="36"/>
    <x v="3"/>
    <x v="1"/>
    <x v="0"/>
    <s v="KEPL/03049/81-82"/>
    <s v="DS SPICECO L &amp; D"/>
    <x v="1"/>
    <x v="3"/>
    <n v="0.1"/>
    <n v="4"/>
    <n v="379.62"/>
    <n v="1518.48"/>
    <n v="0"/>
    <n v="0"/>
    <n v="197.40239199999999"/>
    <n v="1715.882392"/>
  </r>
  <r>
    <x v="36"/>
    <x v="3"/>
    <x v="1"/>
    <x v="0"/>
    <s v="KEPL/03049/81-82"/>
    <s v="DS SPICECO L &amp; D"/>
    <x v="1"/>
    <x v="6"/>
    <n v="0.04"/>
    <n v="4"/>
    <n v="156.32"/>
    <n v="625.28"/>
    <n v="0"/>
    <n v="0"/>
    <n v="81.286396999999994"/>
    <n v="706.56639700000005"/>
  </r>
  <r>
    <x v="36"/>
    <x v="3"/>
    <x v="1"/>
    <x v="0"/>
    <s v="KEPL/03049/81-82"/>
    <s v="DS SPICECO L &amp; D"/>
    <x v="0"/>
    <x v="15"/>
    <n v="0.02"/>
    <n v="4"/>
    <n v="90.38"/>
    <n v="361.52"/>
    <n v="0"/>
    <n v="0"/>
    <n v="46.997598000000004"/>
    <n v="408.51759800000002"/>
  </r>
  <r>
    <x v="36"/>
    <x v="3"/>
    <x v="1"/>
    <x v="0"/>
    <s v="KEPL/03049/81-82"/>
    <s v="DS SPICECO L &amp; D"/>
    <x v="0"/>
    <x v="45"/>
    <n v="0.05"/>
    <n v="4"/>
    <n v="111.66"/>
    <n v="446.64"/>
    <n v="0"/>
    <n v="0"/>
    <n v="58.063198"/>
    <n v="504.70319799999999"/>
  </r>
  <r>
    <x v="36"/>
    <x v="3"/>
    <x v="1"/>
    <x v="0"/>
    <s v="KEPL/03049/81-82"/>
    <s v="DS SPICECO L &amp; D"/>
    <x v="0"/>
    <x v="2"/>
    <n v="0.01"/>
    <n v="1"/>
    <n v="50.51"/>
    <n v="50.51"/>
    <n v="0"/>
    <n v="0"/>
    <n v="6.5663"/>
    <n v="57.076300000000003"/>
  </r>
  <r>
    <x v="36"/>
    <x v="3"/>
    <x v="1"/>
    <x v="0"/>
    <s v="KEPL/03049/81-82"/>
    <s v="DS SPICECO L &amp; D"/>
    <x v="0"/>
    <x v="27"/>
    <n v="0.05"/>
    <n v="6"/>
    <n v="96.91"/>
    <n v="581.46"/>
    <n v="0"/>
    <n v="0"/>
    <n v="75.58979699999999"/>
    <n v="657.04979700000001"/>
  </r>
  <r>
    <x v="36"/>
    <x v="3"/>
    <x v="1"/>
    <x v="0"/>
    <s v="KEPL/03049/81-82"/>
    <s v="DS SPICECO L &amp; D"/>
    <x v="0"/>
    <x v="44"/>
    <n v="0.02"/>
    <n v="4"/>
    <n v="101.02"/>
    <n v="404.08"/>
    <n v="0"/>
    <n v="0"/>
    <n v="52.530397999999998"/>
    <n v="456.61039799999998"/>
  </r>
  <r>
    <x v="36"/>
    <x v="3"/>
    <x v="1"/>
    <x v="0"/>
    <s v="KEPL/03049/81-82"/>
    <s v="DS SPICECO L &amp; D"/>
    <x v="2"/>
    <x v="5"/>
    <n v="0.01"/>
    <n v="1"/>
    <n v="78.16"/>
    <n v="78.16"/>
    <n v="0"/>
    <n v="0"/>
    <n v="10.1608"/>
    <n v="88.320800000000006"/>
  </r>
  <r>
    <x v="36"/>
    <x v="3"/>
    <x v="1"/>
    <x v="0"/>
    <s v="KEPL/03049/81-82"/>
    <s v="DS SPICECO L &amp; D"/>
    <x v="3"/>
    <x v="31"/>
    <n v="0.81"/>
    <n v="58"/>
    <n v="116.97"/>
    <n v="6784.26"/>
    <n v="0"/>
    <n v="0"/>
    <n v="881.95376399999998"/>
    <n v="7666.2137640000001"/>
  </r>
  <r>
    <x v="36"/>
    <x v="3"/>
    <x v="1"/>
    <x v="0"/>
    <s v="KEPL/03049/81-82"/>
    <s v="DS SPICECO L &amp; D"/>
    <x v="3"/>
    <x v="46"/>
    <n v="0.08"/>
    <n v="8"/>
    <n v="77.099999999999994"/>
    <n v="616.79999999999995"/>
    <n v="0"/>
    <n v="0"/>
    <n v="80.183996999999991"/>
    <n v="696.98399700000004"/>
  </r>
  <r>
    <x v="36"/>
    <x v="3"/>
    <x v="1"/>
    <x v="0"/>
    <s v="KEPL/03049/81-82"/>
    <s v="DS SPICECO L &amp; D"/>
    <x v="2"/>
    <x v="23"/>
    <n v="0.02"/>
    <n v="4"/>
    <n v="150.72999999999999"/>
    <n v="602.91999999999996"/>
    <n v="0"/>
    <n v="0"/>
    <n v="78.37959699999999"/>
    <n v="681.29959699999995"/>
  </r>
  <r>
    <x v="36"/>
    <x v="3"/>
    <x v="1"/>
    <x v="0"/>
    <s v="KEPL/03049/81-82"/>
    <s v="DS SPICECO L &amp; D"/>
    <x v="0"/>
    <x v="32"/>
    <n v="0.42"/>
    <n v="50"/>
    <n v="50.51"/>
    <n v="2525.5"/>
    <n v="0"/>
    <n v="0"/>
    <n v="328.31498700000003"/>
    <n v="2853.8149870000002"/>
  </r>
  <r>
    <x v="36"/>
    <x v="3"/>
    <x v="1"/>
    <x v="0"/>
    <s v="KEPL/03049/81-82"/>
    <s v="DS SPICECO L &amp; D"/>
    <x v="2"/>
    <x v="24"/>
    <n v="0.11"/>
    <n v="4"/>
    <n v="345.6"/>
    <n v="1382.4"/>
    <n v="0"/>
    <n v="0"/>
    <n v="179.71199300000001"/>
    <n v="1562.111993"/>
  </r>
  <r>
    <x v="36"/>
    <x v="3"/>
    <x v="1"/>
    <x v="0"/>
    <s v="KEPL/03049/81-82"/>
    <s v="DS SPICECO L &amp; D"/>
    <x v="2"/>
    <x v="8"/>
    <n v="0.03"/>
    <n v="4"/>
    <n v="45.2"/>
    <n v="180.8"/>
    <n v="0"/>
    <n v="0"/>
    <n v="23.503999"/>
    <n v="204.303999"/>
  </r>
  <r>
    <x v="36"/>
    <x v="3"/>
    <x v="1"/>
    <x v="0"/>
    <s v="KEPL/03049/81-82"/>
    <s v="DS SPICECO L &amp; D"/>
    <x v="0"/>
    <x v="35"/>
    <n v="0.05"/>
    <n v="4"/>
    <n v="132.91"/>
    <n v="531.64"/>
    <n v="0"/>
    <n v="0"/>
    <n v="69.113197"/>
    <n v="600.753197"/>
  </r>
  <r>
    <x v="37"/>
    <x v="3"/>
    <x v="1"/>
    <x v="0"/>
    <s v="KESR/0179/81-82"/>
    <s v="AARYA TRADE LINK PVT.LTD"/>
    <x v="0"/>
    <x v="2"/>
    <n v="-0.06"/>
    <n v="-10"/>
    <n v="64.23"/>
    <n v="-642.29999999999995"/>
    <n v="24.66"/>
    <n v="0"/>
    <n v="-80.292640000000006"/>
    <n v="-697.93263999999999"/>
  </r>
  <r>
    <x v="37"/>
    <x v="3"/>
    <x v="1"/>
    <x v="0"/>
    <s v="KESR/0179/81-82"/>
    <s v="AARYA TRADE LINK PVT.LTD"/>
    <x v="0"/>
    <x v="10"/>
    <n v="-0.06"/>
    <n v="-10"/>
    <n v="60.84"/>
    <n v="-608.4"/>
    <n v="23.36"/>
    <n v="0"/>
    <n v="-76.05466899999999"/>
    <n v="-661.09466899999995"/>
  </r>
  <r>
    <x v="37"/>
    <x v="3"/>
    <x v="1"/>
    <x v="0"/>
    <s v="KESR/0179/81-82"/>
    <s v="AARYA TRADE LINK PVT.LTD"/>
    <x v="0"/>
    <x v="11"/>
    <n v="-0.11"/>
    <n v="-20"/>
    <n v="64.23"/>
    <n v="-1284.5999999999999"/>
    <n v="49.33"/>
    <n v="0"/>
    <n v="-160.583979"/>
    <n v="-1395.853979"/>
  </r>
  <r>
    <x v="37"/>
    <x v="3"/>
    <x v="1"/>
    <x v="0"/>
    <s v="KESR/0179/81-82"/>
    <s v="AARYA TRADE LINK PVT.LTD"/>
    <x v="2"/>
    <x v="5"/>
    <n v="-0.11"/>
    <n v="-19"/>
    <n v="94.65"/>
    <n v="-1798.3500000000001"/>
    <n v="69.06"/>
    <n v="0"/>
    <n v="-224.80613099999999"/>
    <n v="-1954.096131"/>
  </r>
  <r>
    <x v="37"/>
    <x v="3"/>
    <x v="1"/>
    <x v="0"/>
    <s v="KESR/0179/81-82"/>
    <s v="AARYA TRADE LINK PVT.LTD"/>
    <x v="0"/>
    <x v="9"/>
    <n v="-0.06"/>
    <n v="-10"/>
    <n v="70.989999999999995"/>
    <n v="-709.9"/>
    <n v="27.26"/>
    <n v="0"/>
    <n v="-88.742581000000001"/>
    <n v="-771.38258099999996"/>
  </r>
  <r>
    <x v="38"/>
    <x v="3"/>
    <x v="1"/>
    <x v="0"/>
    <s v="KEPL/03071/81-82"/>
    <s v="DS SPICECO L &amp; D"/>
    <x v="0"/>
    <x v="20"/>
    <n v="0.02"/>
    <n v="2"/>
    <n v="99.68"/>
    <n v="199.36"/>
    <n v="0"/>
    <n v="0"/>
    <n v="25.916225000000001"/>
    <n v="225.27622500000001"/>
  </r>
  <r>
    <x v="38"/>
    <x v="3"/>
    <x v="1"/>
    <x v="0"/>
    <s v="KEPL/03071/81-82"/>
    <s v="DS SPICECO L &amp; D"/>
    <x v="2"/>
    <x v="8"/>
    <n v="0.01"/>
    <n v="1"/>
    <n v="47.5"/>
    <n v="47.5"/>
    <n v="0"/>
    <n v="0"/>
    <n v="6.1748630000000002"/>
    <n v="53.674863000000002"/>
  </r>
  <r>
    <x v="38"/>
    <x v="3"/>
    <x v="1"/>
    <x v="0"/>
    <s v="KEPL/03071/81-82"/>
    <s v="DS SPICECO L &amp; D"/>
    <x v="1"/>
    <x v="13"/>
    <n v="0.05"/>
    <n v="5"/>
    <n v="102.14"/>
    <n v="510.7"/>
    <n v="0"/>
    <n v="0"/>
    <n v="66.389527000000001"/>
    <n v="577.08952699999998"/>
  </r>
  <r>
    <x v="38"/>
    <x v="3"/>
    <x v="1"/>
    <x v="0"/>
    <s v="KEPL/03071/81-82"/>
    <s v="DS SPICECO L &amp; D"/>
    <x v="4"/>
    <x v="30"/>
    <n v="0.05"/>
    <n v="3"/>
    <n v="80.3"/>
    <n v="240.9"/>
    <n v="0"/>
    <n v="0"/>
    <n v="31.316305"/>
    <n v="272.21630499999998"/>
  </r>
  <r>
    <x v="38"/>
    <x v="3"/>
    <x v="1"/>
    <x v="0"/>
    <s v="KEPL/03071/81-82"/>
    <s v="DS SPICECO L &amp; D"/>
    <x v="2"/>
    <x v="22"/>
    <n v="0.03"/>
    <n v="1"/>
    <n v="243.69"/>
    <n v="243.69"/>
    <n v="0"/>
    <n v="0"/>
    <n v="31.678996999999999"/>
    <n v="275.36899699999998"/>
  </r>
  <r>
    <x v="38"/>
    <x v="3"/>
    <x v="1"/>
    <x v="0"/>
    <s v="KEPL/03072/81-82"/>
    <s v="DS SPICECO L &amp; D"/>
    <x v="3"/>
    <x v="26"/>
    <n v="0.03"/>
    <n v="2"/>
    <n v="103.68"/>
    <n v="207.36"/>
    <n v="0"/>
    <n v="0"/>
    <n v="26.956800000000001"/>
    <n v="234.3168"/>
  </r>
  <r>
    <x v="38"/>
    <x v="3"/>
    <x v="1"/>
    <x v="0"/>
    <s v="KEPL/03072/81-82"/>
    <s v="DS SPICECO L &amp; D"/>
    <x v="4"/>
    <x v="30"/>
    <n v="0.05"/>
    <n v="3"/>
    <n v="77.09"/>
    <n v="231.27"/>
    <n v="0"/>
    <n v="0"/>
    <n v="30.065100000000001"/>
    <n v="261.33510000000001"/>
  </r>
  <r>
    <x v="38"/>
    <x v="3"/>
    <x v="1"/>
    <x v="0"/>
    <s v="KEPL/03072/81-82"/>
    <s v="DS SPICECO L &amp; D"/>
    <x v="3"/>
    <x v="25"/>
    <n v="0.02"/>
    <n v="1"/>
    <n v="244.57"/>
    <n v="244.57"/>
    <n v="0"/>
    <n v="0"/>
    <n v="31.7941"/>
    <n v="276.36410000000001"/>
  </r>
  <r>
    <x v="38"/>
    <x v="3"/>
    <x v="1"/>
    <x v="0"/>
    <s v="KEPL/03072/81-82"/>
    <s v="DS SPICECO L &amp; D"/>
    <x v="0"/>
    <x v="27"/>
    <n v="0.02"/>
    <n v="2"/>
    <n v="96.91"/>
    <n v="193.82"/>
    <n v="0"/>
    <n v="0"/>
    <n v="25.1966"/>
    <n v="219.01660000000001"/>
  </r>
  <r>
    <x v="38"/>
    <x v="3"/>
    <x v="1"/>
    <x v="0"/>
    <s v="KEPL/03072/81-82"/>
    <s v="DS SPICECO L &amp; D"/>
    <x v="2"/>
    <x v="24"/>
    <n v="0.05"/>
    <n v="2"/>
    <n v="345.6"/>
    <n v="691.2"/>
    <n v="0"/>
    <n v="0"/>
    <n v="89.855999999999995"/>
    <n v="781.05600000000004"/>
  </r>
  <r>
    <x v="38"/>
    <x v="3"/>
    <x v="1"/>
    <x v="0"/>
    <s v="KEPL/03072/81-82"/>
    <s v="DS SPICECO L &amp; D"/>
    <x v="2"/>
    <x v="22"/>
    <n v="0.05"/>
    <n v="2"/>
    <n v="233.94"/>
    <n v="467.88"/>
    <n v="0"/>
    <n v="0"/>
    <n v="60.824399999999997"/>
    <n v="528.70439999999996"/>
  </r>
  <r>
    <x v="38"/>
    <x v="3"/>
    <x v="1"/>
    <x v="0"/>
    <s v="KEPL/03072/81-82"/>
    <s v="DS SPICECO L &amp; D"/>
    <x v="4"/>
    <x v="30"/>
    <n v="0.03"/>
    <n v="2"/>
    <n v="77.09"/>
    <n v="154.18"/>
    <n v="0"/>
    <n v="0"/>
    <n v="20.043399999999998"/>
    <n v="174.2234"/>
  </r>
  <r>
    <x v="38"/>
    <x v="3"/>
    <x v="1"/>
    <x v="0"/>
    <s v="KEPL/03072/81-82"/>
    <s v="DS SPICECO L &amp; D"/>
    <x v="0"/>
    <x v="15"/>
    <n v="0.01"/>
    <n v="2"/>
    <n v="90.38"/>
    <n v="180.76"/>
    <n v="0"/>
    <n v="0"/>
    <n v="23.498799999999999"/>
    <n v="204.25880000000001"/>
  </r>
  <r>
    <x v="38"/>
    <x v="3"/>
    <x v="1"/>
    <x v="0"/>
    <s v="KEPL/03072/81-82"/>
    <s v="DS SPICECO L &amp; D"/>
    <x v="2"/>
    <x v="8"/>
    <n v="0.01"/>
    <n v="1"/>
    <n v="47.5"/>
    <n v="47.5"/>
    <n v="0"/>
    <n v="0"/>
    <n v="6.1749999999999998"/>
    <n v="53.674999999999997"/>
  </r>
  <r>
    <x v="38"/>
    <x v="3"/>
    <x v="1"/>
    <x v="0"/>
    <s v="KEPL/03072/81-82"/>
    <s v="DS SPICECO L &amp; D"/>
    <x v="0"/>
    <x v="9"/>
    <n v="0.02"/>
    <n v="3"/>
    <n v="55.82"/>
    <n v="167.46"/>
    <n v="0"/>
    <n v="0"/>
    <n v="21.7698"/>
    <n v="189.22980000000001"/>
  </r>
  <r>
    <x v="39"/>
    <x v="3"/>
    <x v="1"/>
    <x v="0"/>
    <s v="KEPL/00030/82-83"/>
    <s v="BHAT BHATENI SUPERMARKET &amp; DEPARTMENTAL STORE PVT. LTD."/>
    <x v="1"/>
    <x v="13"/>
    <n v="4"/>
    <n v="400"/>
    <n v="119"/>
    <n v="47600.000000000007"/>
    <s v=""/>
    <s v=""/>
    <s v=""/>
    <n v="47600"/>
  </r>
  <r>
    <x v="39"/>
    <x v="3"/>
    <x v="1"/>
    <x v="0"/>
    <s v="KEPL/00030/82-83"/>
    <s v="BHAT BHATENI SUPERMARKET &amp; DEPARTMENTAL STORE PVT. LTD."/>
    <x v="1"/>
    <x v="12"/>
    <n v="4"/>
    <n v="160"/>
    <n v="283.5"/>
    <n v="45360.000000000007"/>
    <s v=""/>
    <s v=""/>
    <s v=""/>
    <n v="45360"/>
  </r>
  <r>
    <x v="39"/>
    <x v="3"/>
    <x v="1"/>
    <x v="0"/>
    <s v="KEPL/00031/82-83"/>
    <s v="BHAT BHATENI SUPERMARKET &amp; DEPARTMENTAL STORE PVT. LTD."/>
    <x v="3"/>
    <x v="25"/>
    <n v="3.88"/>
    <n v="186"/>
    <n v="284.95999999999998"/>
    <n v="53002.559999999998"/>
    <n v="0"/>
    <n v="0"/>
    <n v="6890.3325290000002"/>
    <n v="59892.892528999997"/>
  </r>
  <r>
    <x v="39"/>
    <x v="3"/>
    <x v="1"/>
    <x v="0"/>
    <s v="KEPL/00031/82-83"/>
    <s v="BHAT BHATENI SUPERMARKET &amp; DEPARTMENTAL STORE PVT. LTD."/>
    <x v="0"/>
    <x v="16"/>
    <n v="0.5"/>
    <n v="60"/>
    <n v="111.5"/>
    <n v="6689.9999999999991"/>
    <n v="0"/>
    <n v="0"/>
    <n v="869.69996600000002"/>
    <n v="7559.6999660000001"/>
  </r>
  <r>
    <x v="39"/>
    <x v="3"/>
    <x v="1"/>
    <x v="0"/>
    <s v="KEPL/00031/82-83"/>
    <s v="BHAT BHATENI SUPERMARKET &amp; DEPARTMENTAL STORE PVT. LTD."/>
    <x v="3"/>
    <x v="31"/>
    <n v="6"/>
    <n v="432"/>
    <n v="136.28"/>
    <n v="58872.959999999999"/>
    <n v="0"/>
    <n v="0"/>
    <n v="7653.4844990000001"/>
    <n v="66526.444499000005"/>
  </r>
  <r>
    <x v="39"/>
    <x v="3"/>
    <x v="1"/>
    <x v="0"/>
    <s v="KEPL/00031/82-83"/>
    <s v="BHAT BHATENI SUPERMARKET &amp; DEPARTMENTAL STORE PVT. LTD."/>
    <x v="4"/>
    <x v="29"/>
    <n v="4.25"/>
    <n v="510"/>
    <n v="52.65"/>
    <n v="26851.499999999996"/>
    <n v="0"/>
    <n v="0"/>
    <n v="3490.6948630000002"/>
    <n v="30342.194863000001"/>
  </r>
  <r>
    <x v="39"/>
    <x v="3"/>
    <x v="1"/>
    <x v="0"/>
    <s v="KEPL/00031/82-83"/>
    <s v="BHAT BHATENI SUPERMARKET &amp; DEPARTMENTAL STORE PVT. LTD."/>
    <x v="2"/>
    <x v="24"/>
    <n v="2"/>
    <n v="80"/>
    <n v="402.65"/>
    <n v="32212"/>
    <n v="0"/>
    <n v="0"/>
    <n v="4187.5598360000004"/>
    <n v="36399.559836"/>
  </r>
  <r>
    <x v="39"/>
    <x v="3"/>
    <x v="1"/>
    <x v="0"/>
    <s v="KEPL/00031/82-83"/>
    <s v="BHAT BHATENI SUPERMARKET &amp; DEPARTMENTAL STORE PVT. LTD."/>
    <x v="0"/>
    <x v="19"/>
    <n v="1.5"/>
    <n v="270"/>
    <n v="142.47999999999999"/>
    <n v="38469.599999999999"/>
    <n v="0"/>
    <n v="0"/>
    <n v="5001.0478040000007"/>
    <n v="43470.647804"/>
  </r>
  <r>
    <x v="39"/>
    <x v="3"/>
    <x v="1"/>
    <x v="0"/>
    <s v="KEPL/00031/82-83"/>
    <s v="BHAT BHATENI SUPERMARKET &amp; DEPARTMENTAL STORE PVT. LTD."/>
    <x v="1"/>
    <x v="6"/>
    <n v="4"/>
    <n v="400"/>
    <n v="173.45"/>
    <n v="69380"/>
    <n v="0"/>
    <n v="0"/>
    <n v="9019.3996459999998"/>
    <n v="78399.399646000005"/>
  </r>
  <r>
    <x v="39"/>
    <x v="3"/>
    <x v="1"/>
    <x v="0"/>
    <s v="KEPL/00031/82-83"/>
    <s v="BHAT BHATENI SUPERMARKET &amp; DEPARTMENTAL STORE PVT. LTD."/>
    <x v="2"/>
    <x v="28"/>
    <n v="2"/>
    <n v="160"/>
    <n v="154.87"/>
    <n v="24779.200000000001"/>
    <n v="0"/>
    <n v="0"/>
    <n v="3221.295873"/>
    <n v="28000.495873"/>
  </r>
  <r>
    <x v="39"/>
    <x v="3"/>
    <x v="1"/>
    <x v="0"/>
    <s v="KEPL/00031/82-83"/>
    <s v="BHAT BHATENI SUPERMARKET &amp; DEPARTMENTAL STORE PVT. LTD."/>
    <x v="0"/>
    <x v="18"/>
    <n v="2"/>
    <n v="240"/>
    <n v="130.09"/>
    <n v="31221.600000000002"/>
    <n v="0"/>
    <n v="0"/>
    <n v="4058.8078410000003"/>
    <n v="35280.407841"/>
  </r>
  <r>
    <x v="39"/>
    <x v="3"/>
    <x v="1"/>
    <x v="0"/>
    <s v="KEPL/00031/82-83"/>
    <s v="BHAT BHATENI SUPERMARKET &amp; DEPARTMENTAL STORE PVT. LTD."/>
    <x v="1"/>
    <x v="3"/>
    <n v="4"/>
    <n v="160"/>
    <n v="421.24"/>
    <n v="67398.399999999994"/>
    <n v="0"/>
    <n v="0"/>
    <n v="8761.7916559999994"/>
    <n v="76160.191655999995"/>
  </r>
  <r>
    <x v="39"/>
    <x v="3"/>
    <x v="1"/>
    <x v="0"/>
    <s v="KEPL/00031/82-83"/>
    <s v="BHAT BHATENI SUPERMARKET &amp; DEPARTMENTAL STORE PVT. LTD."/>
    <x v="2"/>
    <x v="7"/>
    <n v="0.5"/>
    <n v="60"/>
    <n v="139.38"/>
    <n v="8362.8000000000011"/>
    <n v="0"/>
    <n v="0"/>
    <n v="1087.163957"/>
    <n v="9449.9639569999999"/>
  </r>
  <r>
    <x v="39"/>
    <x v="3"/>
    <x v="1"/>
    <x v="0"/>
    <s v="KEPL/00031/82-83"/>
    <s v="BHAT BHATENI SUPERMARKET &amp; DEPARTMENTAL STORE PVT. LTD."/>
    <x v="2"/>
    <x v="8"/>
    <n v="6"/>
    <n v="720"/>
    <n v="52.65"/>
    <n v="37908"/>
    <n v="0"/>
    <n v="0"/>
    <n v="4928.0398059999998"/>
    <n v="42836.039806000001"/>
  </r>
  <r>
    <x v="39"/>
    <x v="3"/>
    <x v="1"/>
    <x v="0"/>
    <s v="KEPL/00031/82-83"/>
    <s v="BHAT BHATENI SUPERMARKET &amp; DEPARTMENTAL STORE PVT. LTD."/>
    <x v="2"/>
    <x v="22"/>
    <n v="4"/>
    <n v="160"/>
    <n v="272.57"/>
    <n v="43611.199999999997"/>
    <n v="0"/>
    <n v="0"/>
    <n v="5669.4557770000001"/>
    <n v="49280.655777"/>
  </r>
  <r>
    <x v="39"/>
    <x v="3"/>
    <x v="1"/>
    <x v="0"/>
    <s v="KEPL/00031/82-83"/>
    <s v="BHAT BHATENI SUPERMARKET &amp; DEPARTMENTAL STORE PVT. LTD."/>
    <x v="3"/>
    <x v="26"/>
    <n v="6"/>
    <n v="432"/>
    <n v="120.8"/>
    <n v="52185.599999999999"/>
    <n v="0"/>
    <n v="0"/>
    <n v="6784.1277340000006"/>
    <n v="58969.727734"/>
  </r>
  <r>
    <x v="39"/>
    <x v="3"/>
    <x v="1"/>
    <x v="0"/>
    <s v="KEPL/00031/82-83"/>
    <s v="BHAT BHATENI SUPERMARKET &amp; DEPARTMENTAL STORE PVT. LTD."/>
    <x v="1"/>
    <x v="1"/>
    <n v="6"/>
    <n v="600"/>
    <n v="99.12"/>
    <n v="59471.999999999993"/>
    <n v="0"/>
    <n v="0"/>
    <n v="7731.3596960000004"/>
    <n v="67203.359696"/>
  </r>
  <r>
    <x v="39"/>
    <x v="3"/>
    <x v="1"/>
    <x v="0"/>
    <s v="KEPL/00031/82-83"/>
    <s v="BHAT BHATENI SUPERMARKET &amp; DEPARTMENTAL STORE PVT. LTD."/>
    <x v="4"/>
    <x v="30"/>
    <n v="9.5"/>
    <n v="570"/>
    <n v="89.82"/>
    <n v="51197.4"/>
    <n v="0"/>
    <n v="0"/>
    <n v="6655.6617390000001"/>
    <n v="57853.061738999997"/>
  </r>
  <r>
    <x v="39"/>
    <x v="3"/>
    <x v="1"/>
    <x v="0"/>
    <s v="KEPL/00031/82-83"/>
    <s v="BHAT BHATENI SUPERMARKET &amp; DEPARTMENTAL STORE PVT. LTD."/>
    <x v="1"/>
    <x v="4"/>
    <n v="3"/>
    <n v="120"/>
    <n v="238.5"/>
    <n v="28620"/>
    <n v="0"/>
    <n v="0"/>
    <n v="3720.5998540000001"/>
    <n v="32340.599854"/>
  </r>
  <r>
    <x v="39"/>
    <x v="3"/>
    <x v="1"/>
    <x v="0"/>
    <s v="KEPL/00031/82-83"/>
    <s v="BHAT BHATENI SUPERMARKET &amp; DEPARTMENTAL STORE PVT. LTD."/>
    <x v="2"/>
    <x v="23"/>
    <n v="7"/>
    <n v="1260"/>
    <n v="167.26"/>
    <n v="210747.6"/>
    <n v="0"/>
    <n v="0"/>
    <n v="27397.186924000001"/>
    <n v="238144.78692400001"/>
  </r>
  <r>
    <x v="39"/>
    <x v="3"/>
    <x v="1"/>
    <x v="0"/>
    <s v="KEPL/00033/82-83"/>
    <s v="SAFAL MART PVT.LTD"/>
    <x v="0"/>
    <x v="45"/>
    <n v="0.5"/>
    <n v="40"/>
    <n v="141.97"/>
    <n v="5678.7999999999993"/>
    <n v="-516.20000000000005"/>
    <n v="0"/>
    <n v="671.137967"/>
    <n v="5833.737967"/>
  </r>
  <r>
    <x v="39"/>
    <x v="3"/>
    <x v="1"/>
    <x v="0"/>
    <s v="KEPL/00033/82-83"/>
    <s v="SAFAL MART PVT.LTD"/>
    <x v="0"/>
    <x v="21"/>
    <n v="1"/>
    <n v="80"/>
    <n v="189.3"/>
    <n v="15144"/>
    <n v="-1376.5900000000001"/>
    <n v="0"/>
    <n v="1789.7632119999998"/>
    <n v="15557.173212"/>
  </r>
  <r>
    <x v="39"/>
    <x v="3"/>
    <x v="1"/>
    <x v="0"/>
    <s v="KEPL/00033/82-83"/>
    <s v="SAFAL MART PVT.LTD"/>
    <x v="2"/>
    <x v="22"/>
    <n v="1"/>
    <n v="40"/>
    <n v="297.45999999999998"/>
    <n v="11898.4"/>
    <n v="-1081.56"/>
    <n v="0"/>
    <n v="1406.1891310000001"/>
    <n v="12223.029130999999"/>
  </r>
  <r>
    <x v="39"/>
    <x v="3"/>
    <x v="1"/>
    <x v="0"/>
    <s v="KEPL/00033/82-83"/>
    <s v="SAFAL MART PVT.LTD"/>
    <x v="0"/>
    <x v="36"/>
    <n v="1"/>
    <n v="80"/>
    <n v="162.25"/>
    <n v="12979.999999999998"/>
    <n v="-1179.8800000000001"/>
    <n v="0"/>
    <n v="1534.0155240000001"/>
    <n v="13334.135523999999"/>
  </r>
  <r>
    <x v="39"/>
    <x v="3"/>
    <x v="1"/>
    <x v="0"/>
    <s v="KEPL/00033/82-83"/>
    <s v="SAFAL MART PVT.LTD"/>
    <x v="0"/>
    <x v="15"/>
    <n v="0.33"/>
    <n v="60"/>
    <n v="114.93"/>
    <n v="6895.8"/>
    <n v="-626.83000000000004"/>
    <n v="0"/>
    <n v="814.96605999999997"/>
    <n v="7083.93606"/>
  </r>
  <r>
    <x v="39"/>
    <x v="3"/>
    <x v="1"/>
    <x v="0"/>
    <s v="KEPL/00033/82-83"/>
    <s v="SAFAL MART PVT.LTD"/>
    <x v="0"/>
    <x v="17"/>
    <n v="1"/>
    <n v="180"/>
    <n v="121.69"/>
    <n v="21904.199999999997"/>
    <n v="-1991.09"/>
    <n v="0"/>
    <n v="2588.7041720000002"/>
    <n v="22501.814171999999"/>
  </r>
  <r>
    <x v="39"/>
    <x v="3"/>
    <x v="1"/>
    <x v="0"/>
    <s v="KEPL/00033/82-83"/>
    <s v="SAFAL MART PVT.LTD"/>
    <x v="0"/>
    <x v="20"/>
    <n v="1"/>
    <n v="120"/>
    <n v="121.69"/>
    <n v="14602.800000000001"/>
    <n v="-1327.39"/>
    <n v="0"/>
    <n v="1725.8032149999999"/>
    <n v="15001.213215"/>
  </r>
  <r>
    <x v="39"/>
    <x v="3"/>
    <x v="1"/>
    <x v="0"/>
    <s v="KEPL/00033/82-83"/>
    <s v="SAFAL MART PVT.LTD"/>
    <x v="1"/>
    <x v="4"/>
    <n v="2"/>
    <n v="80"/>
    <n v="260.27999999999997"/>
    <n v="20822.400000000001"/>
    <n v="-1892.76"/>
    <n v="0"/>
    <n v="2460.8530779999996"/>
    <n v="21390.493078"/>
  </r>
  <r>
    <x v="39"/>
    <x v="3"/>
    <x v="1"/>
    <x v="0"/>
    <s v="KEPL/00033/82-83"/>
    <s v="SAFAL MART PVT.LTD"/>
    <x v="0"/>
    <x v="14"/>
    <n v="1"/>
    <n v="180"/>
    <n v="135.21"/>
    <n v="24337.8"/>
    <n v="-2212.31"/>
    <n v="0"/>
    <n v="2876.3135579999998"/>
    <n v="25001.803558"/>
  </r>
  <r>
    <x v="39"/>
    <x v="3"/>
    <x v="1"/>
    <x v="0"/>
    <s v="KEPL/00033/82-83"/>
    <s v="SAFAL MART PVT.LTD"/>
    <x v="0"/>
    <x v="19"/>
    <n v="1"/>
    <n v="180"/>
    <n v="155.49"/>
    <n v="27988.2"/>
    <n v="-2544.13"/>
    <n v="0"/>
    <n v="3307.7289369999999"/>
    <n v="28751.798937"/>
  </r>
  <r>
    <x v="39"/>
    <x v="3"/>
    <x v="1"/>
    <x v="0"/>
    <s v="KEPL/00033/82-83"/>
    <s v="SAFAL MART PVT.LTD"/>
    <x v="0"/>
    <x v="41"/>
    <n v="0.33"/>
    <n v="40"/>
    <n v="162.25"/>
    <n v="6489.9999999999991"/>
    <n v="-589.94000000000005"/>
    <n v="0"/>
    <n v="767.00776200000007"/>
    <n v="6667.0677619999997"/>
  </r>
  <r>
    <x v="39"/>
    <x v="3"/>
    <x v="1"/>
    <x v="0"/>
    <s v="KEPL/00033/82-83"/>
    <s v="SAFAL MART PVT.LTD"/>
    <x v="1"/>
    <x v="3"/>
    <n v="2.0099999999999998"/>
    <n v="80"/>
    <n v="459.72"/>
    <n v="36777.599999999999"/>
    <n v="-3343.08"/>
    <n v="0"/>
    <n v="4346.4873849999994"/>
    <n v="37781.007384999997"/>
  </r>
  <r>
    <x v="39"/>
    <x v="3"/>
    <x v="1"/>
    <x v="0"/>
    <s v="KEPL/00034/82-83"/>
    <s v="SAFAL MART PVT.LTD"/>
    <x v="1"/>
    <x v="12"/>
    <n v="2"/>
    <n v="80"/>
    <n v="309.39999999999998"/>
    <n v="24752"/>
    <n v="-2249.96"/>
    <n v="0"/>
    <n v="0"/>
    <n v="22502.04"/>
  </r>
  <r>
    <x v="40"/>
    <x v="3"/>
    <x v="1"/>
    <x v="0"/>
    <s v="KEPL/00044/82-83"/>
    <s v="SIMPEX SOLUTION PVT. LTD"/>
    <x v="4"/>
    <x v="30"/>
    <n v="0.47"/>
    <n v="28"/>
    <n v="102.65"/>
    <n v="2874.2000000000003"/>
    <n v="0"/>
    <n v="0"/>
    <n v="373.64328399999999"/>
    <n v="3247.843284"/>
  </r>
  <r>
    <x v="40"/>
    <x v="3"/>
    <x v="1"/>
    <x v="0"/>
    <s v="KEPL/00044/82-83"/>
    <s v="SIMPEX SOLUTION PVT. LTD"/>
    <x v="2"/>
    <x v="8"/>
    <n v="0.04"/>
    <n v="5"/>
    <n v="60.18"/>
    <n v="300.89999999999998"/>
    <n v="0"/>
    <n v="0"/>
    <n v="39.116715999999997"/>
    <n v="340.01671599999997"/>
  </r>
  <r>
    <x v="41"/>
    <x v="3"/>
    <x v="1"/>
    <x v="0"/>
    <s v="KEPL/00057/82-83"/>
    <s v="DS SPICECO L &amp; D"/>
    <x v="0"/>
    <x v="14"/>
    <n v="0.01"/>
    <n v="2"/>
    <n v="135.21"/>
    <n v="270.42"/>
    <n v="-24.58"/>
    <n v="0"/>
    <n v="31.961458"/>
    <n v="277.80145800000003"/>
  </r>
  <r>
    <x v="41"/>
    <x v="3"/>
    <x v="1"/>
    <x v="0"/>
    <s v="KEPL/00057/82-83"/>
    <s v="DS SPICECO L &amp; D"/>
    <x v="3"/>
    <x v="31"/>
    <n v="0.01"/>
    <n v="1"/>
    <n v="148.72999999999999"/>
    <n v="148.72999999999999"/>
    <n v="-13.52"/>
    <n v="0"/>
    <n v="17.578541999999999"/>
    <n v="152.78854200000001"/>
  </r>
  <r>
    <x v="41"/>
    <x v="3"/>
    <x v="1"/>
    <x v="0"/>
    <s v="KEPL/00058/82-83"/>
    <s v="DS SPICECO L &amp; D"/>
    <x v="3"/>
    <x v="31"/>
    <n v="0.01"/>
    <n v="1"/>
    <n v="148.72999999999999"/>
    <n v="148.72999999999999"/>
    <n v="-13.52"/>
    <n v="0"/>
    <n v="17.579999999999998"/>
    <n v="152.79"/>
  </r>
  <r>
    <x v="42"/>
    <x v="3"/>
    <x v="1"/>
    <x v="0"/>
    <s v="KEPL/00072/82-83"/>
    <s v="BHAT BHATENI SUPERMARKET &amp; DEPARTMENTAL STORE PVT. LTD."/>
    <x v="2"/>
    <x v="23"/>
    <n v="7"/>
    <n v="1260"/>
    <n v="167.26"/>
    <n v="210747.6"/>
    <n v="0"/>
    <n v="0"/>
    <n v="27397.188537999999"/>
    <n v="238144.78853799999"/>
  </r>
  <r>
    <x v="42"/>
    <x v="3"/>
    <x v="1"/>
    <x v="0"/>
    <s v="KEPL/00072/82-83"/>
    <s v="BHAT BHATENI SUPERMARKET &amp; DEPARTMENTAL STORE PVT. LTD."/>
    <x v="2"/>
    <x v="24"/>
    <n v="2.75"/>
    <n v="110"/>
    <n v="402.65"/>
    <n v="44291.5"/>
    <n v="0"/>
    <n v="0"/>
    <n v="5757.8951130000005"/>
    <n v="50049.395112999999"/>
  </r>
  <r>
    <x v="42"/>
    <x v="3"/>
    <x v="1"/>
    <x v="0"/>
    <s v="KEPL/00072/82-83"/>
    <s v="BHAT BHATENI SUPERMARKET &amp; DEPARTMENTAL STORE PVT. LTD."/>
    <x v="0"/>
    <x v="18"/>
    <n v="6"/>
    <n v="720"/>
    <n v="130.09"/>
    <n v="93664.8"/>
    <n v="0"/>
    <n v="0"/>
    <n v="12176.424239"/>
    <n v="105841.224239"/>
  </r>
  <r>
    <x v="42"/>
    <x v="3"/>
    <x v="1"/>
    <x v="0"/>
    <s v="KEPL/00072/82-83"/>
    <s v="BHAT BHATENI SUPERMARKET &amp; DEPARTMENTAL STORE PVT. LTD."/>
    <x v="0"/>
    <x v="14"/>
    <n v="7"/>
    <n v="1260"/>
    <n v="123.89"/>
    <n v="156101.4"/>
    <n v="0"/>
    <n v="0"/>
    <n v="20293.182398999998"/>
    <n v="176394.58239900001"/>
  </r>
  <r>
    <x v="42"/>
    <x v="3"/>
    <x v="1"/>
    <x v="0"/>
    <s v="KEPL/00072/82-83"/>
    <s v="BHAT BHATENI SUPERMARKET &amp; DEPARTMENTAL STORE PVT. LTD."/>
    <x v="0"/>
    <x v="11"/>
    <n v="7"/>
    <n v="1260"/>
    <n v="58.85"/>
    <n v="74151"/>
    <n v="0"/>
    <n v="0"/>
    <n v="9639.6301890000013"/>
    <n v="83790.630189000003"/>
  </r>
  <r>
    <x v="42"/>
    <x v="3"/>
    <x v="1"/>
    <x v="0"/>
    <s v="KEPL/00072/82-83"/>
    <s v="BHAT BHATENI SUPERMARKET &amp; DEPARTMENTAL STORE PVT. LTD."/>
    <x v="0"/>
    <x v="9"/>
    <n v="7"/>
    <n v="1260"/>
    <n v="65.040000000000006"/>
    <n v="81950.400000000009"/>
    <n v="0"/>
    <n v="0"/>
    <n v="10653.552208999999"/>
    <n v="92603.952208999995"/>
  </r>
  <r>
    <x v="42"/>
    <x v="3"/>
    <x v="1"/>
    <x v="0"/>
    <s v="KEPL/00072/82-83"/>
    <s v="BHAT BHATENI SUPERMARKET &amp; DEPARTMENTAL STORE PVT. LTD."/>
    <x v="2"/>
    <x v="28"/>
    <n v="3.5"/>
    <n v="280"/>
    <n v="154.87"/>
    <n v="43363.6"/>
    <n v="0"/>
    <n v="0"/>
    <n v="5637.2681109999994"/>
    <n v="49000.868111000003"/>
  </r>
  <r>
    <x v="42"/>
    <x v="3"/>
    <x v="1"/>
    <x v="0"/>
    <s v="KEPL/00072/82-83"/>
    <s v="BHAT BHATENI SUPERMARKET &amp; DEPARTMENTAL STORE PVT. LTD."/>
    <x v="2"/>
    <x v="22"/>
    <n v="5"/>
    <n v="200"/>
    <n v="272.57"/>
    <n v="54514"/>
    <n v="0"/>
    <n v="0"/>
    <n v="7086.8201390000004"/>
    <n v="61600.820139000003"/>
  </r>
  <r>
    <x v="42"/>
    <x v="3"/>
    <x v="1"/>
    <x v="0"/>
    <s v="KEPL/00072/82-83"/>
    <s v="BHAT BHATENI SUPERMARKET &amp; DEPARTMENTAL STORE PVT. LTD."/>
    <x v="0"/>
    <x v="16"/>
    <n v="7"/>
    <n v="840"/>
    <n v="111.5"/>
    <n v="93660"/>
    <n v="0"/>
    <n v="0"/>
    <n v="12175.800239"/>
    <n v="105835.800239"/>
  </r>
  <r>
    <x v="42"/>
    <x v="3"/>
    <x v="1"/>
    <x v="0"/>
    <s v="KEPL/00072/82-83"/>
    <s v="BHAT BHATENI SUPERMARKET &amp; DEPARTMENTAL STORE PVT. LTD."/>
    <x v="0"/>
    <x v="20"/>
    <n v="7"/>
    <n v="840"/>
    <n v="111.5"/>
    <n v="93660"/>
    <n v="0"/>
    <n v="0"/>
    <n v="12175.800239"/>
    <n v="105835.800239"/>
  </r>
  <r>
    <x v="42"/>
    <x v="3"/>
    <x v="1"/>
    <x v="0"/>
    <s v="KEPL/00072/82-83"/>
    <s v="BHAT BHATENI SUPERMARKET &amp; DEPARTMENTAL STORE PVT. LTD."/>
    <x v="4"/>
    <x v="30"/>
    <n v="7"/>
    <n v="420"/>
    <n v="89.82"/>
    <n v="37724.400000000001"/>
    <n v="0"/>
    <n v="0"/>
    <n v="4904.1720959999993"/>
    <n v="42628.572096000004"/>
  </r>
  <r>
    <x v="42"/>
    <x v="3"/>
    <x v="1"/>
    <x v="0"/>
    <s v="KEPL/00072/82-83"/>
    <s v="BHAT BHATENI SUPERMARKET &amp; DEPARTMENTAL STORE PVT. LTD."/>
    <x v="2"/>
    <x v="7"/>
    <n v="7"/>
    <n v="840"/>
    <n v="139.38"/>
    <n v="117079.2"/>
    <n v="0"/>
    <n v="0"/>
    <n v="15220.296299"/>
    <n v="132299.49629899999"/>
  </r>
  <r>
    <x v="42"/>
    <x v="3"/>
    <x v="1"/>
    <x v="0"/>
    <s v="KEPL/00072/82-83"/>
    <s v="BHAT BHATENI SUPERMARKET &amp; DEPARTMENTAL STORE PVT. LTD."/>
    <x v="0"/>
    <x v="0"/>
    <n v="7"/>
    <n v="1260"/>
    <n v="58.85"/>
    <n v="74151"/>
    <n v="0"/>
    <n v="0"/>
    <n v="9639.6301890000013"/>
    <n v="83790.630189000003"/>
  </r>
  <r>
    <x v="43"/>
    <x v="3"/>
    <x v="1"/>
    <x v="0"/>
    <s v="KEPL/00094/82-83"/>
    <s v="BHAT BHATENI SUPERMARKET &amp; DEPARTMENTAL STORE PVT. LTD."/>
    <x v="0"/>
    <x v="41"/>
    <n v="3.33"/>
    <n v="400"/>
    <n v="148.66999999999999"/>
    <n v="59468"/>
    <n v="0"/>
    <n v="0"/>
    <n v="7730.8401219999996"/>
    <n v="67198.840121999994"/>
  </r>
  <r>
    <x v="43"/>
    <x v="3"/>
    <x v="1"/>
    <x v="0"/>
    <s v="KEPL/00094/82-83"/>
    <s v="BHAT BHATENI SUPERMARKET &amp; DEPARTMENTAL STORE PVT. LTD."/>
    <x v="1"/>
    <x v="4"/>
    <n v="0.5"/>
    <n v="20"/>
    <n v="238.5"/>
    <n v="4769.9999999999991"/>
    <n v="0"/>
    <n v="0"/>
    <n v="620.10001"/>
    <n v="5390.1000100000001"/>
  </r>
  <r>
    <x v="43"/>
    <x v="3"/>
    <x v="1"/>
    <x v="0"/>
    <s v="KEPL/00094/82-83"/>
    <s v="BHAT BHATENI SUPERMARKET &amp; DEPARTMENTAL STORE PVT. LTD."/>
    <x v="0"/>
    <x v="21"/>
    <n v="6"/>
    <n v="480"/>
    <n v="173.45"/>
    <n v="83256"/>
    <n v="0"/>
    <n v="0"/>
    <n v="10823.280171"/>
    <n v="94079.280171000006"/>
  </r>
  <r>
    <x v="43"/>
    <x v="3"/>
    <x v="1"/>
    <x v="0"/>
    <s v="KEPL/00094/82-83"/>
    <s v="BHAT BHATENI SUPERMARKET &amp; DEPARTMENTAL STORE PVT. LTD."/>
    <x v="2"/>
    <x v="34"/>
    <n v="7"/>
    <n v="560"/>
    <n v="210.62"/>
    <n v="117947.2"/>
    <n v="0"/>
    <n v="0"/>
    <n v="15333.136242"/>
    <n v="133280.33624199999"/>
  </r>
  <r>
    <x v="43"/>
    <x v="3"/>
    <x v="1"/>
    <x v="0"/>
    <s v="KEPL/00094/82-83"/>
    <s v="BHAT BHATENI SUPERMARKET &amp; DEPARTMENTAL STORE PVT. LTD."/>
    <x v="0"/>
    <x v="27"/>
    <n v="2.08"/>
    <n v="250"/>
    <n v="108.41"/>
    <n v="27102.5"/>
    <n v="0"/>
    <n v="0"/>
    <n v="3523.3250560000001"/>
    <n v="30625.825056000001"/>
  </r>
  <r>
    <x v="43"/>
    <x v="3"/>
    <x v="1"/>
    <x v="0"/>
    <s v="KEPL/00094/82-83"/>
    <s v="BHAT BHATENI SUPERMARKET &amp; DEPARTMENTAL STORE PVT. LTD."/>
    <x v="0"/>
    <x v="37"/>
    <n v="7"/>
    <n v="1260"/>
    <n v="92.92"/>
    <n v="117079.2"/>
    <n v="0"/>
    <n v="0"/>
    <n v="15220.296240000001"/>
    <n v="132299.49624000001"/>
  </r>
  <r>
    <x v="43"/>
    <x v="3"/>
    <x v="1"/>
    <x v="0"/>
    <s v="KEPL/00094/82-83"/>
    <s v="BHAT BHATENI SUPERMARKET &amp; DEPARTMENTAL STORE PVT. LTD."/>
    <x v="0"/>
    <x v="39"/>
    <n v="4"/>
    <n v="720"/>
    <n v="80.53"/>
    <n v="57981.599999999999"/>
    <n v="0"/>
    <n v="0"/>
    <n v="7537.6081190000004"/>
    <n v="65519.208119000003"/>
  </r>
  <r>
    <x v="43"/>
    <x v="3"/>
    <x v="1"/>
    <x v="0"/>
    <s v="KEPL/00094/82-83"/>
    <s v="BHAT BHATENI SUPERMARKET &amp; DEPARTMENTAL STORE PVT. LTD."/>
    <x v="1"/>
    <x v="1"/>
    <n v="0.5"/>
    <n v="50"/>
    <n v="99.12"/>
    <n v="4956"/>
    <n v="0"/>
    <n v="0"/>
    <n v="644.28000999999995"/>
    <n v="5600.2800100000004"/>
  </r>
  <r>
    <x v="43"/>
    <x v="3"/>
    <x v="1"/>
    <x v="0"/>
    <s v="KEPL/00094/82-83"/>
    <s v="BHAT BHATENI SUPERMARKET &amp; DEPARTMENTAL STORE PVT. LTD."/>
    <x v="0"/>
    <x v="15"/>
    <n v="3.11"/>
    <n v="560"/>
    <n v="105.31"/>
    <n v="58973.599999999999"/>
    <n v="0"/>
    <n v="0"/>
    <n v="7666.5681210000002"/>
    <n v="66640.168120999995"/>
  </r>
  <r>
    <x v="43"/>
    <x v="3"/>
    <x v="1"/>
    <x v="0"/>
    <s v="KEPL/00094/82-83"/>
    <s v="BHAT BHATENI SUPERMARKET &amp; DEPARTMENTAL STORE PVT. LTD."/>
    <x v="0"/>
    <x v="45"/>
    <n v="3.38"/>
    <n v="270"/>
    <n v="130.09"/>
    <n v="35124.300000000003"/>
    <n v="0"/>
    <n v="0"/>
    <n v="4566.1590720000004"/>
    <n v="39690.459071999998"/>
  </r>
  <r>
    <x v="43"/>
    <x v="3"/>
    <x v="1"/>
    <x v="0"/>
    <s v="KEPL/00094/82-83"/>
    <s v="BHAT BHATENI SUPERMARKET &amp; DEPARTMENTAL STORE PVT. LTD."/>
    <x v="0"/>
    <x v="38"/>
    <n v="4"/>
    <n v="480"/>
    <n v="77.430000000000007"/>
    <n v="37166.400000000001"/>
    <n v="0"/>
    <n v="0"/>
    <n v="4831.6320760000008"/>
    <n v="41998.032076000003"/>
  </r>
  <r>
    <x v="43"/>
    <x v="3"/>
    <x v="1"/>
    <x v="0"/>
    <s v="KEPL/00094/82-83"/>
    <s v="BHAT BHATENI SUPERMARKET &amp; DEPARTMENTAL STORE PVT. LTD."/>
    <x v="0"/>
    <x v="10"/>
    <n v="3.11"/>
    <n v="560"/>
    <n v="55.75"/>
    <n v="31220"/>
    <n v="0"/>
    <n v="0"/>
    <n v="4058.6000640000002"/>
    <n v="35278.600063999998"/>
  </r>
  <r>
    <x v="43"/>
    <x v="3"/>
    <x v="1"/>
    <x v="0"/>
    <s v="KEPL/00094/82-83"/>
    <s v="BHAT BHATENI SUPERMARKET &amp; DEPARTMENTAL STORE PVT. LTD."/>
    <x v="3"/>
    <x v="46"/>
    <n v="7"/>
    <n v="700"/>
    <n v="89.82"/>
    <n v="62874"/>
    <n v="0"/>
    <n v="0"/>
    <n v="8173.6201289999999"/>
    <n v="71047.620129000003"/>
  </r>
  <r>
    <x v="43"/>
    <x v="3"/>
    <x v="1"/>
    <x v="0"/>
    <s v="KEPL/00094/82-83"/>
    <s v="BHAT BHATENI SUPERMARKET &amp; DEPARTMENTAL STORE PVT. LTD."/>
    <x v="1"/>
    <x v="6"/>
    <n v="3"/>
    <n v="300"/>
    <n v="173.45"/>
    <n v="52035"/>
    <n v="0"/>
    <n v="0"/>
    <n v="6764.550107"/>
    <n v="58799.550107000003"/>
  </r>
  <r>
    <x v="43"/>
    <x v="3"/>
    <x v="1"/>
    <x v="0"/>
    <s v="KEPL/00094/82-83"/>
    <s v="BHAT BHATENI SUPERMARKET &amp; DEPARTMENTAL STORE PVT. LTD."/>
    <x v="0"/>
    <x v="35"/>
    <n v="3.88"/>
    <n v="310"/>
    <n v="154.87"/>
    <n v="48009.700000000004"/>
    <n v="0"/>
    <n v="0"/>
    <n v="6241.2610990000003"/>
    <n v="54250.961099"/>
  </r>
  <r>
    <x v="43"/>
    <x v="3"/>
    <x v="1"/>
    <x v="0"/>
    <s v="KEPL/00094/82-83"/>
    <s v="BHAT BHATENI SUPERMARKET &amp; DEPARTMENTAL STORE PVT. LTD."/>
    <x v="0"/>
    <x v="36"/>
    <n v="2.88"/>
    <n v="230"/>
    <n v="148.66999999999999"/>
    <n v="34194.1"/>
    <n v="0"/>
    <n v="0"/>
    <n v="4445.2330700000002"/>
    <n v="38639.333070000001"/>
  </r>
  <r>
    <x v="43"/>
    <x v="3"/>
    <x v="1"/>
    <x v="0"/>
    <s v="KEPL/00094/82-83"/>
    <s v="BHAT BHATENI SUPERMARKET &amp; DEPARTMENTAL STORE PVT. LTD."/>
    <x v="1"/>
    <x v="3"/>
    <n v="0.5"/>
    <n v="20"/>
    <n v="421.24"/>
    <n v="8424.7999999999993"/>
    <n v="0"/>
    <n v="0"/>
    <n v="1095.224017"/>
    <n v="9520.0240169999997"/>
  </r>
  <r>
    <x v="43"/>
    <x v="3"/>
    <x v="1"/>
    <x v="0"/>
    <s v="KEPL/00094/82-83"/>
    <s v="BHAT BHATENI SUPERMARKET &amp; DEPARTMENTAL STORE PVT. LTD."/>
    <x v="0"/>
    <x v="32"/>
    <n v="14"/>
    <n v="1680"/>
    <n v="58.85"/>
    <n v="98868"/>
    <n v="0"/>
    <n v="0"/>
    <n v="12852.840203"/>
    <n v="111720.840203"/>
  </r>
  <r>
    <x v="43"/>
    <x v="3"/>
    <x v="1"/>
    <x v="0"/>
    <s v="KEPL/00094/82-83"/>
    <s v="BHAT BHATENI SUPERMARKET &amp; DEPARTMENTAL STORE PVT. LTD."/>
    <x v="0"/>
    <x v="40"/>
    <n v="4"/>
    <n v="480"/>
    <n v="71.239999999999995"/>
    <n v="34195.199999999997"/>
    <n v="0"/>
    <n v="0"/>
    <n v="4445.3760700000003"/>
    <n v="38640.576070000003"/>
  </r>
  <r>
    <x v="43"/>
    <x v="3"/>
    <x v="1"/>
    <x v="0"/>
    <s v="KEPL/00095/82-83"/>
    <s v="BHAT BHATENI SUPERMARKET &amp; DEPARTMENTAL STORE PVT. LTD."/>
    <x v="1"/>
    <x v="13"/>
    <n v="1"/>
    <n v="100"/>
    <n v="119"/>
    <n v="11900.000000000002"/>
    <s v=""/>
    <s v=""/>
    <s v=""/>
    <n v="11900"/>
  </r>
  <r>
    <x v="43"/>
    <x v="3"/>
    <x v="1"/>
    <x v="0"/>
    <s v="KEPL/00095/82-83"/>
    <s v="BHAT BHATENI SUPERMARKET &amp; DEPARTMENTAL STORE PVT. LTD."/>
    <x v="1"/>
    <x v="12"/>
    <n v="0.5"/>
    <n v="20"/>
    <n v="283.5"/>
    <n v="5670.0000000000009"/>
    <s v=""/>
    <s v=""/>
    <s v=""/>
    <n v="5670"/>
  </r>
  <r>
    <x v="43"/>
    <x v="3"/>
    <x v="1"/>
    <x v="0"/>
    <s v="KEPL/00103/82-83"/>
    <s v="WELSON TRADE &amp; RASAN MART"/>
    <x v="2"/>
    <x v="8"/>
    <n v="0.25"/>
    <n v="30"/>
    <n v="0"/>
    <n v="0"/>
    <s v=""/>
    <s v=""/>
    <s v=""/>
    <n v="0"/>
  </r>
  <r>
    <x v="43"/>
    <x v="3"/>
    <x v="1"/>
    <x v="0"/>
    <s v="KEPL/00103/82-83"/>
    <s v="WELSON TRADE &amp; RASAN MART"/>
    <x v="4"/>
    <x v="30"/>
    <n v="0.33"/>
    <n v="20"/>
    <n v="0"/>
    <n v="0"/>
    <s v=""/>
    <s v=""/>
    <s v=""/>
    <n v="0"/>
  </r>
  <r>
    <x v="43"/>
    <x v="3"/>
    <x v="1"/>
    <x v="0"/>
    <s v="KEPL/00103/82-83"/>
    <s v="WELSON TRADE &amp; RASAN MART"/>
    <x v="0"/>
    <x v="32"/>
    <n v="1"/>
    <n v="120"/>
    <n v="64.23"/>
    <n v="7707.5999999999995"/>
    <n v="-700.62"/>
    <n v="0"/>
    <n v="910.91000000000008"/>
    <n v="7917.89"/>
  </r>
  <r>
    <x v="43"/>
    <x v="3"/>
    <x v="1"/>
    <x v="0"/>
    <s v="KEPL/00103/82-83"/>
    <s v="WELSON TRADE &amp; RASAN MART"/>
    <x v="2"/>
    <x v="22"/>
    <n v="0.25"/>
    <n v="10"/>
    <n v="0"/>
    <n v="0"/>
    <s v=""/>
    <s v=""/>
    <s v=""/>
    <n v="0"/>
  </r>
  <r>
    <x v="43"/>
    <x v="3"/>
    <x v="1"/>
    <x v="0"/>
    <s v="KEPL/00103/82-83"/>
    <s v="WELSON TRADE &amp; RASAN MART"/>
    <x v="1"/>
    <x v="13"/>
    <n v="0.25"/>
    <n v="25"/>
    <n v="0"/>
    <n v="0"/>
    <s v=""/>
    <s v=""/>
    <s v=""/>
    <n v="0"/>
  </r>
  <r>
    <x v="43"/>
    <x v="3"/>
    <x v="1"/>
    <x v="0"/>
    <s v="KEPL/00103/82-83"/>
    <s v="WELSON TRADE &amp; RASAN MART"/>
    <x v="0"/>
    <x v="16"/>
    <n v="0.17"/>
    <n v="20"/>
    <n v="0"/>
    <n v="0"/>
    <s v=""/>
    <s v=""/>
    <s v=""/>
    <n v="0"/>
  </r>
  <r>
    <x v="43"/>
    <x v="3"/>
    <x v="1"/>
    <x v="0"/>
    <s v="KEPL/00103/82-83"/>
    <s v="WELSON TRADE &amp; RASAN MART"/>
    <x v="0"/>
    <x v="20"/>
    <n v="0.17"/>
    <n v="20"/>
    <n v="0"/>
    <n v="0"/>
    <s v=""/>
    <s v=""/>
    <s v=""/>
    <n v="0"/>
  </r>
  <r>
    <x v="44"/>
    <x v="4"/>
    <x v="1"/>
    <x v="0"/>
    <s v="KEPL/00173/82-83"/>
    <s v="SIMPEX SOLUTION PVT. LTD"/>
    <x v="0"/>
    <x v="0"/>
    <n v="0.06"/>
    <n v="10"/>
    <n v="67.260000000000005"/>
    <n v="672.6"/>
    <n v="0"/>
    <n v="0"/>
    <n v="87.438614999999999"/>
    <n v="760.03861500000005"/>
  </r>
  <r>
    <x v="44"/>
    <x v="4"/>
    <x v="1"/>
    <x v="0"/>
    <s v="KEPL/00173/82-83"/>
    <s v="SIMPEX SOLUTION PVT. LTD"/>
    <x v="3"/>
    <x v="26"/>
    <n v="0.14000000000000001"/>
    <n v="10"/>
    <n v="138.05000000000001"/>
    <n v="1380.4999999999998"/>
    <n v="0"/>
    <n v="0"/>
    <n v="179.466263"/>
    <n v="1559.966263"/>
  </r>
  <r>
    <x v="44"/>
    <x v="4"/>
    <x v="1"/>
    <x v="0"/>
    <s v="KEPL/00173/82-83"/>
    <s v="SIMPEX SOLUTION PVT. LTD"/>
    <x v="0"/>
    <x v="17"/>
    <n v="0.09"/>
    <n v="16"/>
    <n v="127.43"/>
    <n v="2038.88"/>
    <n v="0"/>
    <n v="0"/>
    <n v="265.056265"/>
    <n v="2303.9362649999998"/>
  </r>
  <r>
    <x v="44"/>
    <x v="4"/>
    <x v="1"/>
    <x v="0"/>
    <s v="KEPL/00173/82-83"/>
    <s v="SIMPEX SOLUTION PVT. LTD"/>
    <x v="0"/>
    <x v="9"/>
    <n v="7.0000000000000007E-2"/>
    <n v="12"/>
    <n v="74.34"/>
    <n v="892.08"/>
    <n v="0"/>
    <n v="0"/>
    <n v="115.971216"/>
    <n v="1008.051216"/>
  </r>
  <r>
    <x v="44"/>
    <x v="4"/>
    <x v="1"/>
    <x v="0"/>
    <s v="KEPL/00173/82-83"/>
    <s v="SIMPEX SOLUTION PVT. LTD"/>
    <x v="4"/>
    <x v="29"/>
    <n v="7.0000000000000007E-2"/>
    <n v="8"/>
    <n v="60.18"/>
    <n v="481.44"/>
    <n v="0"/>
    <n v="0"/>
    <n v="62.58764"/>
    <n v="544.02764000000002"/>
  </r>
  <r>
    <x v="45"/>
    <x v="4"/>
    <x v="1"/>
    <x v="0"/>
    <s v="KEPL/00177/82-83"/>
    <s v="NAWA ATITHI STORES"/>
    <x v="0"/>
    <x v="9"/>
    <n v="1"/>
    <n v="180"/>
    <n v="70.989999999999995"/>
    <n v="12778.2"/>
    <n v="-1161.54"/>
    <n v="0"/>
    <n v="1510.1650079999999"/>
    <n v="13126.825008"/>
  </r>
  <r>
    <x v="45"/>
    <x v="4"/>
    <x v="1"/>
    <x v="0"/>
    <s v="KEPL/00177/82-83"/>
    <s v="NAWA ATITHI STORES"/>
    <x v="0"/>
    <x v="48"/>
    <n v="1"/>
    <n v="180"/>
    <n v="84.51"/>
    <n v="15211.800000000001"/>
    <n v="-1382.75"/>
    <n v="0"/>
    <n v="1797.775558"/>
    <n v="15626.825558"/>
  </r>
  <r>
    <x v="45"/>
    <x v="4"/>
    <x v="1"/>
    <x v="0"/>
    <s v="KEPL/00177/82-83"/>
    <s v="NAWA ATITHI STORES"/>
    <x v="0"/>
    <x v="10"/>
    <n v="1"/>
    <n v="180"/>
    <n v="60.84"/>
    <n v="10951.199999999999"/>
    <n v="-995.46"/>
    <n v="0"/>
    <n v="1294.2455220000002"/>
    <n v="11249.985522000001"/>
  </r>
  <r>
    <x v="45"/>
    <x v="4"/>
    <x v="1"/>
    <x v="0"/>
    <s v="KEPL/00177/82-83"/>
    <s v="NAWA ATITHI STORES"/>
    <x v="0"/>
    <x v="11"/>
    <n v="1"/>
    <n v="180"/>
    <n v="64.23"/>
    <n v="11561.4"/>
    <n v="-1050.9299999999998"/>
    <n v="0"/>
    <n v="1366.3603840000001"/>
    <n v="11876.830384000001"/>
  </r>
  <r>
    <x v="45"/>
    <x v="4"/>
    <x v="1"/>
    <x v="0"/>
    <s v="KEPL/00177/82-83"/>
    <s v="NAWA ATITHI STORES"/>
    <x v="2"/>
    <x v="5"/>
    <n v="1"/>
    <n v="180"/>
    <n v="94.65"/>
    <n v="17037"/>
    <n v="-1548.6599999999999"/>
    <n v="0"/>
    <n v="2013.4831449999999"/>
    <n v="17501.823144999998"/>
  </r>
  <r>
    <x v="45"/>
    <x v="4"/>
    <x v="1"/>
    <x v="0"/>
    <s v="KEPL/00177/82-83"/>
    <s v="NAWA ATITHI STORES"/>
    <x v="0"/>
    <x v="2"/>
    <n v="1"/>
    <n v="180"/>
    <n v="64.23"/>
    <n v="11561.4"/>
    <n v="-1050.9299999999998"/>
    <n v="0"/>
    <n v="1366.3603840000001"/>
    <n v="11876.830384000001"/>
  </r>
  <r>
    <x v="46"/>
    <x v="4"/>
    <x v="1"/>
    <x v="0"/>
    <s v="KEPL/00217/82-83"/>
    <s v="CHHATRA DEV GENERAL SUPPLIERS"/>
    <x v="0"/>
    <x v="48"/>
    <n v="1"/>
    <n v="180"/>
    <n v="84.51"/>
    <n v="15211.800000000001"/>
    <n v="-1382.75"/>
    <n v="0"/>
    <n v="1797.7768739999999"/>
    <n v="15626.826874"/>
  </r>
  <r>
    <x v="46"/>
    <x v="4"/>
    <x v="1"/>
    <x v="0"/>
    <s v="KEPL/00217/82-83"/>
    <s v="CHHATRA DEV GENERAL SUPPLIERS"/>
    <x v="2"/>
    <x v="5"/>
    <n v="2"/>
    <n v="360"/>
    <n v="94.65"/>
    <n v="34074"/>
    <n v="-3097.3300000000004"/>
    <n v="0"/>
    <n v="4026.9679379999998"/>
    <n v="35003.637938"/>
  </r>
  <r>
    <x v="46"/>
    <x v="4"/>
    <x v="1"/>
    <x v="0"/>
    <s v="KEPL/00217/82-83"/>
    <s v="CHHATRA DEV GENERAL SUPPLIERS"/>
    <x v="2"/>
    <x v="33"/>
    <n v="1"/>
    <n v="180"/>
    <n v="91.27"/>
    <n v="16428.599999999999"/>
    <n v="-1493.36"/>
    <n v="0"/>
    <n v="1941.5816040000002"/>
    <n v="16876.821604000001"/>
  </r>
  <r>
    <x v="46"/>
    <x v="4"/>
    <x v="1"/>
    <x v="0"/>
    <s v="KEPL/00217/82-83"/>
    <s v="CHHATRA DEV GENERAL SUPPLIERS"/>
    <x v="0"/>
    <x v="11"/>
    <n v="2"/>
    <n v="360"/>
    <n v="64.23"/>
    <n v="23122.799999999999"/>
    <n v="-2101.8599999999997"/>
    <n v="0"/>
    <n v="2732.722769"/>
    <n v="23753.662768999999"/>
  </r>
  <r>
    <x v="46"/>
    <x v="4"/>
    <x v="1"/>
    <x v="0"/>
    <s v="KEPL/00217/82-83"/>
    <s v="CHHATRA DEV GENERAL SUPPLIERS"/>
    <x v="0"/>
    <x v="2"/>
    <n v="2"/>
    <n v="360"/>
    <n v="64.23"/>
    <n v="23122.799999999999"/>
    <n v="-2101.8599999999997"/>
    <n v="0"/>
    <n v="2732.722769"/>
    <n v="23753.662768999999"/>
  </r>
  <r>
    <x v="46"/>
    <x v="4"/>
    <x v="1"/>
    <x v="0"/>
    <s v="KEPL/00217/82-83"/>
    <s v="CHHATRA DEV GENERAL SUPPLIERS"/>
    <x v="0"/>
    <x v="10"/>
    <n v="1"/>
    <n v="180"/>
    <n v="60.84"/>
    <n v="10951.199999999999"/>
    <n v="-995.46"/>
    <n v="0"/>
    <n v="1294.2464689999999"/>
    <n v="11249.986468999999"/>
  </r>
  <r>
    <x v="46"/>
    <x v="4"/>
    <x v="1"/>
    <x v="0"/>
    <s v="KEPL/00217/82-83"/>
    <s v="CHHATRA DEV GENERAL SUPPLIERS"/>
    <x v="0"/>
    <x v="37"/>
    <n v="1"/>
    <n v="180"/>
    <n v="101.41"/>
    <n v="18253.8"/>
    <n v="-1659.27"/>
    <n v="0"/>
    <n v="2157.2893490000001"/>
    <n v="18751.819349000001"/>
  </r>
  <r>
    <x v="46"/>
    <x v="4"/>
    <x v="1"/>
    <x v="0"/>
    <s v="KEPL/00217/82-83"/>
    <s v="CHHATRA DEV GENERAL SUPPLIERS"/>
    <x v="0"/>
    <x v="9"/>
    <n v="2"/>
    <n v="360"/>
    <n v="70.989999999999995"/>
    <n v="25556.400000000001"/>
    <n v="-2323.08"/>
    <n v="0"/>
    <n v="3020.3322279999998"/>
    <n v="26253.652227999999"/>
  </r>
  <r>
    <x v="47"/>
    <x v="4"/>
    <x v="1"/>
    <x v="0"/>
    <s v="KEPL/00229/82-83"/>
    <s v="BHAT BHATENI SUPERMARKET &amp; DEPARTMENTAL STORE PVT. LTD."/>
    <x v="0"/>
    <x v="42"/>
    <n v="4.67"/>
    <n v="560"/>
    <n v="86.73"/>
    <n v="48568.799999999996"/>
    <n v="0"/>
    <n v="0"/>
    <n v="6313.9440179999992"/>
    <n v="54882.744017999998"/>
  </r>
  <r>
    <x v="47"/>
    <x v="4"/>
    <x v="1"/>
    <x v="0"/>
    <s v="KEPL/00229/82-83"/>
    <s v="BHAT BHATENI SUPERMARKET &amp; DEPARTMENTAL STORE PVT. LTD."/>
    <x v="0"/>
    <x v="44"/>
    <n v="3.11"/>
    <n v="560"/>
    <n v="117.7"/>
    <n v="65912"/>
    <n v="0"/>
    <n v="0"/>
    <n v="8568.5600240000003"/>
    <n v="74480.560024000006"/>
  </r>
  <r>
    <x v="47"/>
    <x v="4"/>
    <x v="1"/>
    <x v="0"/>
    <s v="KEPL/00229/82-83"/>
    <s v="BHAT BHATENI SUPERMARKET &amp; DEPARTMENTAL STORE PVT. LTD."/>
    <x v="5"/>
    <x v="43"/>
    <n v="3.83"/>
    <n v="230"/>
    <n v="136.28"/>
    <n v="31344.400000000001"/>
    <n v="0"/>
    <n v="0"/>
    <n v="4074.772011"/>
    <n v="35419.172011000002"/>
  </r>
  <r>
    <x v="47"/>
    <x v="4"/>
    <x v="1"/>
    <x v="0"/>
    <s v="KEPL/00229/82-83"/>
    <s v="BHAT BHATENI SUPERMARKET &amp; DEPARTMENTAL STORE PVT. LTD."/>
    <x v="2"/>
    <x v="5"/>
    <n v="7"/>
    <n v="1260"/>
    <n v="86.73"/>
    <n v="109279.79999999999"/>
    <n v="0"/>
    <n v="0"/>
    <n v="14206.374040000001"/>
    <n v="123486.17404"/>
  </r>
  <r>
    <x v="47"/>
    <x v="4"/>
    <x v="1"/>
    <x v="0"/>
    <s v="KEPL/00229/82-83"/>
    <s v="BHAT BHATENI SUPERMARKET &amp; DEPARTMENTAL STORE PVT. LTD."/>
    <x v="2"/>
    <x v="33"/>
    <n v="1.56"/>
    <n v="280"/>
    <n v="83.63"/>
    <n v="23416.399999999998"/>
    <n v="0"/>
    <n v="0"/>
    <n v="3044.1320089999999"/>
    <n v="26460.532008999999"/>
  </r>
  <r>
    <x v="47"/>
    <x v="4"/>
    <x v="1"/>
    <x v="0"/>
    <s v="KEPL/00229/82-83"/>
    <s v="BHAT BHATENI SUPERMARKET &amp; DEPARTMENTAL STORE PVT. LTD."/>
    <x v="0"/>
    <x v="19"/>
    <n v="5.44"/>
    <n v="980"/>
    <n v="142.47999999999999"/>
    <n v="139630.39999999999"/>
    <n v="0"/>
    <n v="0"/>
    <n v="18151.952051"/>
    <n v="157782.35205099999"/>
  </r>
  <r>
    <x v="47"/>
    <x v="4"/>
    <x v="1"/>
    <x v="0"/>
    <s v="KEPL/00229/82-83"/>
    <s v="BHAT BHATENI SUPERMARKET &amp; DEPARTMENTAL STORE PVT. LTD."/>
    <x v="0"/>
    <x v="2"/>
    <n v="14"/>
    <n v="2520"/>
    <n v="58.85"/>
    <n v="148302"/>
    <n v="0"/>
    <n v="0"/>
    <n v="19279.260053999998"/>
    <n v="167581.26005400001"/>
  </r>
  <r>
    <x v="47"/>
    <x v="4"/>
    <x v="1"/>
    <x v="0"/>
    <s v="KEPL/00229/82-83"/>
    <s v="BHAT BHATENI SUPERMARKET &amp; DEPARTMENTAL STORE PVT. LTD."/>
    <x v="3"/>
    <x v="31"/>
    <n v="6.17"/>
    <n v="444"/>
    <n v="136.28"/>
    <n v="60508.32"/>
    <n v="0"/>
    <n v="0"/>
    <n v="7866.0816219999997"/>
    <n v="68374.401622000005"/>
  </r>
  <r>
    <x v="47"/>
    <x v="4"/>
    <x v="1"/>
    <x v="0"/>
    <s v="KEPL/00229/82-83"/>
    <s v="BHAT BHATENI SUPERMARKET &amp; DEPARTMENTAL STORE PVT. LTD."/>
    <x v="0"/>
    <x v="17"/>
    <n v="14"/>
    <n v="2520"/>
    <n v="111.5"/>
    <n v="280980"/>
    <n v="0"/>
    <n v="0"/>
    <n v="36527.400102"/>
    <n v="317507.40010199999"/>
  </r>
  <r>
    <x v="47"/>
    <x v="4"/>
    <x v="1"/>
    <x v="0"/>
    <s v="KEPL/00229/82-83"/>
    <s v="BHAT BHATENI SUPERMARKET &amp; DEPARTMENTAL STORE PVT. LTD."/>
    <x v="3"/>
    <x v="47"/>
    <n v="7"/>
    <n v="700"/>
    <n v="65.040000000000006"/>
    <n v="45528"/>
    <n v="0"/>
    <n v="0"/>
    <n v="5918.6400169999997"/>
    <n v="51446.640016999998"/>
  </r>
  <r>
    <x v="47"/>
    <x v="4"/>
    <x v="1"/>
    <x v="0"/>
    <s v="KEPL/00229/82-83"/>
    <s v="BHAT BHATENI SUPERMARKET &amp; DEPARTMENTAL STORE PVT. LTD."/>
    <x v="2"/>
    <x v="8"/>
    <n v="7.5"/>
    <n v="900"/>
    <n v="52.65"/>
    <n v="47385.000000000007"/>
    <n v="0"/>
    <n v="0"/>
    <n v="6160.0500170000005"/>
    <n v="53545.050017000001"/>
  </r>
  <r>
    <x v="47"/>
    <x v="4"/>
    <x v="1"/>
    <x v="0"/>
    <s v="KEPL/00229/82-83"/>
    <s v="BHAT BHATENI SUPERMARKET &amp; DEPARTMENTAL STORE PVT. LTD."/>
    <x v="0"/>
    <x v="48"/>
    <n v="7"/>
    <n v="1260"/>
    <n v="77.430000000000007"/>
    <n v="97561.8"/>
    <n v="0"/>
    <n v="0"/>
    <n v="12683.034036000001"/>
    <n v="110244.834036"/>
  </r>
  <r>
    <x v="48"/>
    <x v="4"/>
    <x v="1"/>
    <x v="0"/>
    <s v="KEPL/00234/82-83"/>
    <s v="DS SPICECO L &amp; D"/>
    <x v="1"/>
    <x v="4"/>
    <n v="0.03"/>
    <n v="1"/>
    <n v="281.58"/>
    <n v="281.58"/>
    <n v="-25.6"/>
    <n v="0"/>
    <n v="33.28"/>
    <n v="289.26"/>
  </r>
  <r>
    <x v="48"/>
    <x v="4"/>
    <x v="1"/>
    <x v="0"/>
    <s v="KEPL/00235/82-83"/>
    <s v="BEERA BARJEE INTERNATIONAL PVT.LTD"/>
    <x v="4"/>
    <x v="30"/>
    <n v="3"/>
    <n v="180"/>
    <n v="98.03"/>
    <n v="17645.400000000001"/>
    <n v="-1603.97"/>
    <n v="0"/>
    <n v="2085.385925"/>
    <n v="18126.815924999999"/>
  </r>
  <r>
    <x v="48"/>
    <x v="4"/>
    <x v="1"/>
    <x v="0"/>
    <s v="KEPL/00235/82-83"/>
    <s v="BEERA BARJEE INTERNATIONAL PVT.LTD"/>
    <x v="2"/>
    <x v="8"/>
    <n v="1"/>
    <n v="120"/>
    <n v="57.46"/>
    <n v="6895.2"/>
    <n v="-626.77"/>
    <n v="0"/>
    <n v="814.89590999999996"/>
    <n v="7083.3259099999996"/>
  </r>
  <r>
    <x v="48"/>
    <x v="4"/>
    <x v="1"/>
    <x v="0"/>
    <s v="KEPL/00235/82-83"/>
    <s v="BEERA BARJEE INTERNATIONAL PVT.LTD"/>
    <x v="2"/>
    <x v="5"/>
    <n v="1"/>
    <n v="180"/>
    <n v="94.65"/>
    <n v="17037"/>
    <n v="-1548.6599999999999"/>
    <n v="0"/>
    <n v="2013.484224"/>
    <n v="17501.824224"/>
  </r>
  <r>
    <x v="48"/>
    <x v="4"/>
    <x v="1"/>
    <x v="0"/>
    <s v="KEPL/00235/82-83"/>
    <s v="BEERA BARJEE INTERNATIONAL PVT.LTD"/>
    <x v="3"/>
    <x v="46"/>
    <n v="1"/>
    <n v="100"/>
    <n v="98.03"/>
    <n v="9803"/>
    <n v="-891.08999999999992"/>
    <n v="0"/>
    <n v="1158.5483140000001"/>
    <n v="10070.458314"/>
  </r>
  <r>
    <x v="48"/>
    <x v="4"/>
    <x v="1"/>
    <x v="0"/>
    <s v="KEPL/00235/82-83"/>
    <s v="BEERA BARJEE INTERNATIONAL PVT.LTD"/>
    <x v="0"/>
    <x v="10"/>
    <n v="1"/>
    <n v="180"/>
    <n v="60.84"/>
    <n v="10951.199999999999"/>
    <n v="-995.46"/>
    <n v="0"/>
    <n v="1294.246216"/>
    <n v="11249.986215999999"/>
  </r>
  <r>
    <x v="48"/>
    <x v="4"/>
    <x v="1"/>
    <x v="0"/>
    <s v="KEPL/00235/82-83"/>
    <s v="BEERA BARJEE INTERNATIONAL PVT.LTD"/>
    <x v="4"/>
    <x v="29"/>
    <n v="1"/>
    <n v="120"/>
    <n v="57.46"/>
    <n v="6895.2"/>
    <n v="-626.77"/>
    <n v="0"/>
    <n v="814.89590999999996"/>
    <n v="7083.3259099999996"/>
  </r>
  <r>
    <x v="48"/>
    <x v="4"/>
    <x v="1"/>
    <x v="0"/>
    <s v="KEPL/00235/82-83"/>
    <s v="BEERA BARJEE INTERNATIONAL PVT.LTD"/>
    <x v="0"/>
    <x v="11"/>
    <n v="2"/>
    <n v="360"/>
    <n v="64.23"/>
    <n v="23122.799999999999"/>
    <n v="-2101.8599999999997"/>
    <n v="0"/>
    <n v="2732.722233"/>
    <n v="23753.662232999999"/>
  </r>
  <r>
    <x v="48"/>
    <x v="4"/>
    <x v="1"/>
    <x v="0"/>
    <s v="KEPL/00235/82-83"/>
    <s v="BEERA BARJEE INTERNATIONAL PVT.LTD"/>
    <x v="2"/>
    <x v="34"/>
    <n v="0.88"/>
    <n v="70"/>
    <n v="229.86"/>
    <n v="16090.2"/>
    <n v="-1462.6"/>
    <n v="0"/>
    <n v="1901.588023"/>
    <n v="16529.188022999999"/>
  </r>
  <r>
    <x v="48"/>
    <x v="4"/>
    <x v="1"/>
    <x v="0"/>
    <s v="KEPL/00235/82-83"/>
    <s v="BEERA BARJEE INTERNATIONAL PVT.LTD"/>
    <x v="2"/>
    <x v="7"/>
    <n v="1"/>
    <n v="120"/>
    <n v="152.11000000000001"/>
    <n v="18253.2"/>
    <n v="-1659.2199999999998"/>
    <n v="0"/>
    <n v="2157.2174260000002"/>
    <n v="18751.197425999999"/>
  </r>
  <r>
    <x v="48"/>
    <x v="4"/>
    <x v="1"/>
    <x v="0"/>
    <s v="KEPL/00235/82-83"/>
    <s v="BEERA BARJEE INTERNATIONAL PVT.LTD"/>
    <x v="0"/>
    <x v="9"/>
    <n v="1"/>
    <n v="180"/>
    <n v="70.989999999999995"/>
    <n v="12778.2"/>
    <n v="-1161.54"/>
    <n v="0"/>
    <n v="1510.1658179999999"/>
    <n v="13126.825817999999"/>
  </r>
  <r>
    <x v="48"/>
    <x v="4"/>
    <x v="1"/>
    <x v="0"/>
    <s v="KESR/0001/82-83"/>
    <s v="HAMRO KIRANA PASAL"/>
    <x v="0"/>
    <x v="10"/>
    <n v="-0.61"/>
    <n v="-110"/>
    <n v="60.84"/>
    <n v="-6692.4000000000005"/>
    <n v="256.99"/>
    <n v="0"/>
    <n v="-836.60323600000004"/>
    <n v="-7272.0132359999998"/>
  </r>
  <r>
    <x v="48"/>
    <x v="4"/>
    <x v="1"/>
    <x v="0"/>
    <s v="KESR/0001/82-83"/>
    <s v="HAMRO KIRANA PASAL"/>
    <x v="0"/>
    <x v="19"/>
    <n v="-0.61"/>
    <n v="-109"/>
    <n v="155.49"/>
    <n v="-16948.41"/>
    <n v="650.82000000000005"/>
    <n v="0"/>
    <n v="-2118.6865379999999"/>
    <n v="-18416.276537999998"/>
  </r>
  <r>
    <x v="48"/>
    <x v="4"/>
    <x v="1"/>
    <x v="0"/>
    <s v="KESR/0001/82-83"/>
    <s v="HAMRO KIRANA PASAL"/>
    <x v="2"/>
    <x v="28"/>
    <n v="-0.1"/>
    <n v="-8"/>
    <n v="169.01"/>
    <n v="-1352.08"/>
    <n v="51.92"/>
    <n v="0"/>
    <n v="-169.02078699999998"/>
    <n v="-1469.180787"/>
  </r>
  <r>
    <x v="48"/>
    <x v="4"/>
    <x v="1"/>
    <x v="0"/>
    <s v="KESR/0001/82-83"/>
    <s v="HAMRO KIRANA PASAL"/>
    <x v="4"/>
    <x v="30"/>
    <n v="-0.33"/>
    <n v="-20"/>
    <n v="98.03"/>
    <n v="-1960.6"/>
    <n v="75.290000000000006"/>
    <n v="0"/>
    <n v="-245.090281"/>
    <n v="-2130.4002810000002"/>
  </r>
  <r>
    <x v="48"/>
    <x v="4"/>
    <x v="1"/>
    <x v="0"/>
    <s v="KESR/0001/82-83"/>
    <s v="HAMRO KIRANA PASAL"/>
    <x v="1"/>
    <x v="4"/>
    <n v="-0.13"/>
    <n v="-5"/>
    <n v="260.27999999999997"/>
    <n v="-1301.4000000000001"/>
    <n v="49.97"/>
    <n v="0"/>
    <n v="-162.68588800000001"/>
    <n v="-1414.115888"/>
  </r>
  <r>
    <x v="48"/>
    <x v="4"/>
    <x v="1"/>
    <x v="0"/>
    <s v="KESR/0001/82-83"/>
    <s v="HAMRO KIRANA PASAL"/>
    <x v="1"/>
    <x v="3"/>
    <n v="-0.1"/>
    <n v="-4"/>
    <n v="459.72"/>
    <n v="-1838.88"/>
    <n v="70.61"/>
    <n v="0"/>
    <n v="-229.87508199999999"/>
    <n v="-1998.145082"/>
  </r>
  <r>
    <x v="48"/>
    <x v="4"/>
    <x v="1"/>
    <x v="0"/>
    <s v="KESR/0001/82-83"/>
    <s v="HAMRO KIRANA PASAL"/>
    <x v="0"/>
    <x v="2"/>
    <n v="-2.0299999999999998"/>
    <n v="-365"/>
    <n v="64.23"/>
    <n v="-23443.95"/>
    <n v="900.24999999999989"/>
    <n v="0"/>
    <n v="-2930.6807760000002"/>
    <n v="-25474.380776000002"/>
  </r>
  <r>
    <x v="48"/>
    <x v="4"/>
    <x v="1"/>
    <x v="0"/>
    <s v="KESR/0001/82-83"/>
    <s v="HAMRO KIRANA PASAL"/>
    <x v="4"/>
    <x v="29"/>
    <n v="-1.0900000000000001"/>
    <n v="-131"/>
    <n v="57.46"/>
    <n v="-7527.2599999999993"/>
    <n v="289.05"/>
    <n v="0"/>
    <n v="-940.96722799999998"/>
    <n v="-8179.1772279999996"/>
  </r>
  <r>
    <x v="48"/>
    <x v="4"/>
    <x v="1"/>
    <x v="0"/>
    <s v="KESR/0001/82-83"/>
    <s v="HAMRO KIRANA PASAL"/>
    <x v="3"/>
    <x v="26"/>
    <n v="-0.25"/>
    <n v="-18"/>
    <n v="131.83000000000001"/>
    <n v="-2372.94"/>
    <n v="91.12"/>
    <n v="0"/>
    <n v="-296.63657699999999"/>
    <n v="-2578.4565769999999"/>
  </r>
  <r>
    <x v="48"/>
    <x v="4"/>
    <x v="1"/>
    <x v="0"/>
    <s v="KESR/0001/82-83"/>
    <s v="HAMRO KIRANA PASAL"/>
    <x v="3"/>
    <x v="25"/>
    <n v="-0.06"/>
    <n v="-3"/>
    <n v="310.99"/>
    <n v="-932.96999999999991"/>
    <n v="35.83"/>
    <n v="0"/>
    <n v="-116.628191"/>
    <n v="-1013.768191"/>
  </r>
  <r>
    <x v="48"/>
    <x v="4"/>
    <x v="1"/>
    <x v="0"/>
    <s v="KESR/0001/82-83"/>
    <s v="HAMRO KIRANA PASAL"/>
    <x v="3"/>
    <x v="31"/>
    <n v="-0.22"/>
    <n v="-16"/>
    <n v="148.72999999999999"/>
    <n v="-2379.6799999999998"/>
    <n v="91.38"/>
    <n v="0"/>
    <n v="-297.47897699999999"/>
    <n v="-2585.7789769999999"/>
  </r>
  <r>
    <x v="48"/>
    <x v="4"/>
    <x v="1"/>
    <x v="0"/>
    <s v="KESR/0001/82-83"/>
    <s v="HAMRO KIRANA PASAL"/>
    <x v="2"/>
    <x v="5"/>
    <n v="-1.99"/>
    <n v="-359"/>
    <n v="94.65"/>
    <n v="-33979.35"/>
    <n v="1304.81"/>
    <n v="0"/>
    <n v="-4247.689875"/>
    <n v="-36922.229874999997"/>
  </r>
  <r>
    <x v="48"/>
    <x v="4"/>
    <x v="1"/>
    <x v="0"/>
    <s v="KESR/0001/82-83"/>
    <s v="HAMRO KIRANA PASAL"/>
    <x v="0"/>
    <x v="0"/>
    <n v="-0.82"/>
    <n v="-147"/>
    <n v="64.23"/>
    <n v="-9441.81"/>
    <n v="362.57"/>
    <n v="0"/>
    <n v="-1180.3011100000001"/>
    <n v="-10259.54111"/>
  </r>
  <r>
    <x v="48"/>
    <x v="4"/>
    <x v="1"/>
    <x v="0"/>
    <s v="KESR/0001/82-83"/>
    <s v="HAMRO KIRANA PASAL"/>
    <x v="1"/>
    <x v="1"/>
    <n v="-0.05"/>
    <n v="-5"/>
    <n v="108.17"/>
    <n v="-540.85"/>
    <n v="20.77"/>
    <n v="0"/>
    <n v="-67.610395000000011"/>
    <n v="-587.69039499999997"/>
  </r>
  <r>
    <x v="48"/>
    <x v="4"/>
    <x v="1"/>
    <x v="0"/>
    <s v="KESR/0001/82-83"/>
    <s v="HAMRO KIRANA PASAL"/>
    <x v="1"/>
    <x v="6"/>
    <n v="-0.05"/>
    <n v="-5"/>
    <n v="189.3"/>
    <n v="-946.5"/>
    <n v="36.35"/>
    <n v="0"/>
    <n v="-118.319491"/>
    <n v="-1028.4694910000001"/>
  </r>
  <r>
    <x v="48"/>
    <x v="4"/>
    <x v="1"/>
    <x v="0"/>
    <s v="KESR/0001/82-83"/>
    <s v="HAMRO KIRANA PASAL"/>
    <x v="0"/>
    <x v="11"/>
    <n v="-1.25"/>
    <n v="-225"/>
    <n v="64.23"/>
    <n v="-14451.75"/>
    <n v="554.95000000000005"/>
    <n v="0"/>
    <n v="-1806.583862"/>
    <n v="-15703.383862000001"/>
  </r>
  <r>
    <x v="48"/>
    <x v="4"/>
    <x v="1"/>
    <x v="0"/>
    <s v="KESR/0001/82-83"/>
    <s v="HAMRO KIRANA PASAL"/>
    <x v="2"/>
    <x v="8"/>
    <n v="-1.29"/>
    <n v="-155"/>
    <n v="57.46"/>
    <n v="-8906.2999999999993"/>
    <n v="342"/>
    <n v="0"/>
    <n v="-1113.358915"/>
    <n v="-9677.658915"/>
  </r>
  <r>
    <x v="48"/>
    <x v="4"/>
    <x v="1"/>
    <x v="0"/>
    <s v="KESR/0001/82-83"/>
    <s v="HAMRO KIRANA PASAL"/>
    <x v="2"/>
    <x v="7"/>
    <n v="-2.13"/>
    <n v="-255"/>
    <n v="152.11000000000001"/>
    <n v="-38788.050000000003"/>
    <n v="1489.4599999999998"/>
    <n v="0"/>
    <n v="-4848.8163290000002"/>
    <n v="-42147.406328999998"/>
  </r>
  <r>
    <x v="48"/>
    <x v="4"/>
    <x v="1"/>
    <x v="0"/>
    <s v="KESR/0001/82-83"/>
    <s v="HAMRO KIRANA PASAL"/>
    <x v="0"/>
    <x v="9"/>
    <n v="-0.32"/>
    <n v="-57"/>
    <n v="70.989999999999995"/>
    <n v="-4046.43"/>
    <n v="155.38"/>
    <n v="0"/>
    <n v="-505.83646099999999"/>
    <n v="-4396.8864610000001"/>
  </r>
  <r>
    <x v="48"/>
    <x v="4"/>
    <x v="1"/>
    <x v="0"/>
    <s v="KESR/0002/82-83"/>
    <s v="HAMRO KIRANA PASAL"/>
    <x v="1"/>
    <x v="12"/>
    <n v="-0.13"/>
    <n v="-5"/>
    <n v="309.39999999999998"/>
    <n v="-1547"/>
    <n v="59.4"/>
    <n v="0"/>
    <n v="0"/>
    <n v="-1487.6"/>
  </r>
  <r>
    <x v="48"/>
    <x v="4"/>
    <x v="1"/>
    <x v="0"/>
    <s v="KESR/0002/82-83"/>
    <s v="HAMRO KIRANA PASAL"/>
    <x v="1"/>
    <x v="13"/>
    <n v="-0.05"/>
    <n v="-5"/>
    <n v="129.87"/>
    <n v="-649.35"/>
    <n v="24.94"/>
    <n v="0"/>
    <n v="0"/>
    <n v="-624.41"/>
  </r>
  <r>
    <x v="49"/>
    <x v="4"/>
    <x v="1"/>
    <x v="0"/>
    <s v="KEPL/00257/82-83"/>
    <s v="BEERA BARJEE INTERNATIONAL PVT.LTD"/>
    <x v="4"/>
    <x v="30"/>
    <n v="0.17"/>
    <n v="10"/>
    <n v="0"/>
    <n v="0"/>
    <s v=""/>
    <s v=""/>
    <s v=""/>
    <n v="0"/>
  </r>
  <r>
    <x v="49"/>
    <x v="4"/>
    <x v="1"/>
    <x v="0"/>
    <s v="KEPL/00257/82-83"/>
    <s v="BEERA BARJEE INTERNATIONAL PVT.LTD"/>
    <x v="1"/>
    <x v="13"/>
    <n v="0.2"/>
    <n v="20"/>
    <n v="129.87"/>
    <n v="2597.4"/>
    <n v="-236.1"/>
    <n v="0"/>
    <n v="0"/>
    <n v="2361.3000000000002"/>
  </r>
  <r>
    <x v="49"/>
    <x v="4"/>
    <x v="1"/>
    <x v="0"/>
    <s v="KEPL/00257/82-83"/>
    <s v="BEERA BARJEE INTERNATIONAL PVT.LTD"/>
    <x v="2"/>
    <x v="22"/>
    <n v="0.25"/>
    <n v="10"/>
    <n v="0"/>
    <n v="0"/>
    <s v=""/>
    <s v=""/>
    <s v=""/>
    <n v="0"/>
  </r>
  <r>
    <x v="49"/>
    <x v="4"/>
    <x v="1"/>
    <x v="0"/>
    <s v="KEPL/00257/82-83"/>
    <s v="BEERA BARJEE INTERNATIONAL PVT.LTD"/>
    <x v="0"/>
    <x v="20"/>
    <n v="0.08"/>
    <n v="10"/>
    <n v="0"/>
    <n v="0"/>
    <s v=""/>
    <s v=""/>
    <s v=""/>
    <n v="0"/>
  </r>
  <r>
    <x v="49"/>
    <x v="4"/>
    <x v="1"/>
    <x v="0"/>
    <s v="KEPL/00257/82-83"/>
    <s v="BEERA BARJEE INTERNATIONAL PVT.LTD"/>
    <x v="2"/>
    <x v="8"/>
    <n v="0.08"/>
    <n v="10"/>
    <n v="0"/>
    <n v="0"/>
    <s v=""/>
    <s v=""/>
    <s v=""/>
    <n v="0"/>
  </r>
  <r>
    <x v="49"/>
    <x v="4"/>
    <x v="1"/>
    <x v="0"/>
    <s v="KEPL/00257/82-83"/>
    <s v="BEERA BARJEE INTERNATIONAL PVT.LTD"/>
    <x v="1"/>
    <x v="13"/>
    <n v="0.1"/>
    <n v="10"/>
    <n v="0"/>
    <n v="0"/>
    <s v=""/>
    <s v=""/>
    <s v=""/>
    <n v="0"/>
  </r>
  <r>
    <x v="49"/>
    <x v="4"/>
    <x v="1"/>
    <x v="0"/>
    <s v="KEPL/00257/82-83"/>
    <s v="BEERA BARJEE INTERNATIONAL PVT.LTD"/>
    <x v="0"/>
    <x v="16"/>
    <n v="0.08"/>
    <n v="10"/>
    <n v="0"/>
    <n v="0"/>
    <s v=""/>
    <s v=""/>
    <s v=""/>
    <n v="0"/>
  </r>
  <r>
    <x v="50"/>
    <x v="4"/>
    <x v="1"/>
    <x v="0"/>
    <s v="KEPL/00273/82-83"/>
    <s v="SIMPEX SOLUTION PVT. LTD"/>
    <x v="3"/>
    <x v="31"/>
    <n v="0.11"/>
    <n v="8"/>
    <n v="155.75"/>
    <n v="1246"/>
    <n v="0"/>
    <n v="0"/>
    <n v="161.98014599999999"/>
    <n v="1407.9801460000001"/>
  </r>
  <r>
    <x v="50"/>
    <x v="4"/>
    <x v="1"/>
    <x v="0"/>
    <s v="KEPL/00273/82-83"/>
    <s v="SIMPEX SOLUTION PVT. LTD"/>
    <x v="4"/>
    <x v="30"/>
    <n v="0.17"/>
    <n v="10"/>
    <n v="102.65"/>
    <n v="1026.5"/>
    <n v="0"/>
    <n v="0"/>
    <n v="133.44512"/>
    <n v="1159.9451200000001"/>
  </r>
  <r>
    <x v="50"/>
    <x v="4"/>
    <x v="1"/>
    <x v="0"/>
    <s v="KEPL/00273/82-83"/>
    <s v="SIMPEX SOLUTION PVT. LTD"/>
    <x v="2"/>
    <x v="8"/>
    <n v="0.16"/>
    <n v="19"/>
    <n v="60.18"/>
    <n v="1143.42"/>
    <n v="0"/>
    <n v="0"/>
    <n v="148.644734"/>
    <n v="1292.064734"/>
  </r>
  <r>
    <x v="51"/>
    <x v="4"/>
    <x v="1"/>
    <x v="0"/>
    <s v="KEPL/00276/82-83"/>
    <s v="BEERA BARJEE INTERNATIONAL PVT.LTD"/>
    <x v="2"/>
    <x v="33"/>
    <n v="1"/>
    <n v="180"/>
    <n v="91.27"/>
    <n v="16428.599999999999"/>
    <n v="-1493.36"/>
    <n v="0"/>
    <n v="1941.580749"/>
    <n v="16876.820748999999"/>
  </r>
  <r>
    <x v="51"/>
    <x v="4"/>
    <x v="1"/>
    <x v="0"/>
    <s v="KEPL/00276/82-83"/>
    <s v="BEERA BARJEE INTERNATIONAL PVT.LTD"/>
    <x v="0"/>
    <x v="0"/>
    <n v="1"/>
    <n v="180"/>
    <n v="64.23"/>
    <n v="11561.4"/>
    <n v="-1050.9299999999998"/>
    <n v="0"/>
    <n v="1366.3607830000001"/>
    <n v="11876.830782999999"/>
  </r>
  <r>
    <x v="51"/>
    <x v="4"/>
    <x v="1"/>
    <x v="0"/>
    <s v="KEPL/00276/82-83"/>
    <s v="BEERA BARJEE INTERNATIONAL PVT.LTD"/>
    <x v="3"/>
    <x v="26"/>
    <n v="0.5"/>
    <n v="36"/>
    <n v="131.83000000000001"/>
    <n v="4745.88"/>
    <n v="-431.4"/>
    <n v="0"/>
    <n v="560.88227000000006"/>
    <n v="4875.3622699999996"/>
  </r>
  <r>
    <x v="51"/>
    <x v="4"/>
    <x v="1"/>
    <x v="0"/>
    <s v="KEPL/00276/82-83"/>
    <s v="BEERA BARJEE INTERNATIONAL PVT.LTD"/>
    <x v="0"/>
    <x v="2"/>
    <n v="1"/>
    <n v="180"/>
    <n v="64.23"/>
    <n v="11561.4"/>
    <n v="-1050.9299999999998"/>
    <n v="0"/>
    <n v="1366.3607830000001"/>
    <n v="11876.830782999999"/>
  </r>
  <r>
    <x v="51"/>
    <x v="4"/>
    <x v="1"/>
    <x v="0"/>
    <s v="KEPL/00276/82-83"/>
    <s v="BEERA BARJEE INTERNATIONAL PVT.LTD"/>
    <x v="4"/>
    <x v="30"/>
    <n v="3"/>
    <n v="180"/>
    <n v="98.03"/>
    <n v="17645.400000000001"/>
    <n v="-1603.97"/>
    <n v="0"/>
    <n v="2085.3854160000001"/>
    <n v="18126.815416000001"/>
  </r>
  <r>
    <x v="52"/>
    <x v="4"/>
    <x v="1"/>
    <x v="0"/>
    <s v="KEPL/00293/82-83"/>
    <s v="DS SPICECO L &amp; D"/>
    <x v="0"/>
    <x v="44"/>
    <n v="1.1100000000000001"/>
    <n v="200"/>
    <n v="101.02"/>
    <n v="20204"/>
    <n v="0"/>
    <n v="0"/>
    <n v="2626.5200000000004"/>
    <n v="22830.52"/>
  </r>
  <r>
    <x v="52"/>
    <x v="4"/>
    <x v="1"/>
    <x v="0"/>
    <s v="KEPL/00293/82-83"/>
    <s v="DS SPICECO L &amp; D"/>
    <x v="2"/>
    <x v="8"/>
    <n v="1.67"/>
    <n v="200"/>
    <n v="45.2"/>
    <n v="9040"/>
    <n v="0"/>
    <n v="0"/>
    <n v="1175.2"/>
    <n v="10215.200000000001"/>
  </r>
  <r>
    <x v="52"/>
    <x v="4"/>
    <x v="1"/>
    <x v="0"/>
    <s v="KEPL/00293/82-83"/>
    <s v="DS SPICECO L &amp; D"/>
    <x v="4"/>
    <x v="30"/>
    <n v="3.33"/>
    <n v="200"/>
    <n v="80.3"/>
    <n v="16060.000000000002"/>
    <n v="0"/>
    <n v="0"/>
    <n v="2087.8000000000002"/>
    <n v="18147.8"/>
  </r>
  <r>
    <x v="52"/>
    <x v="4"/>
    <x v="1"/>
    <x v="0"/>
    <s v="KEPL/00293/82-83"/>
    <s v="DS SPICECO L &amp; D"/>
    <x v="0"/>
    <x v="16"/>
    <n v="1.67"/>
    <n v="200"/>
    <n v="95.71"/>
    <n v="19142"/>
    <n v="0"/>
    <n v="0"/>
    <n v="2488.46"/>
    <n v="21630.46"/>
  </r>
  <r>
    <x v="52"/>
    <x v="4"/>
    <x v="1"/>
    <x v="0"/>
    <s v="KEPL/00293/82-83"/>
    <s v="DS SPICECO L &amp; D"/>
    <x v="0"/>
    <x v="14"/>
    <n v="1.1100000000000001"/>
    <n v="200"/>
    <n v="106.9"/>
    <n v="21380"/>
    <n v="0"/>
    <n v="0"/>
    <n v="2779.3999999999996"/>
    <n v="24159.4"/>
  </r>
  <r>
    <x v="52"/>
    <x v="4"/>
    <x v="1"/>
    <x v="0"/>
    <s v="KEPL/00293/82-83"/>
    <s v="DS SPICECO L &amp; D"/>
    <x v="0"/>
    <x v="32"/>
    <n v="1.67"/>
    <n v="200"/>
    <n v="50.51"/>
    <n v="10102"/>
    <n v="0"/>
    <n v="0"/>
    <n v="1313.2600000000002"/>
    <n v="11415.26"/>
  </r>
  <r>
    <x v="52"/>
    <x v="4"/>
    <x v="1"/>
    <x v="0"/>
    <s v="KEPL/00293/82-83"/>
    <s v="DS SPICECO L &amp; D"/>
    <x v="0"/>
    <x v="10"/>
    <n v="1.1100000000000001"/>
    <n v="200"/>
    <n v="49.84"/>
    <n v="9968"/>
    <n v="0"/>
    <n v="0"/>
    <n v="1295.8399999999999"/>
    <n v="11263.84"/>
  </r>
  <r>
    <x v="52"/>
    <x v="4"/>
    <x v="1"/>
    <x v="0"/>
    <s v="KESR/0003/82-83"/>
    <s v="SIMPEX SOLUTION PVT. LTD"/>
    <x v="4"/>
    <x v="29"/>
    <n v="-7.0000000000000007E-2"/>
    <n v="-8"/>
    <n v="60.18"/>
    <n v="-481.44"/>
    <n v="0"/>
    <n v="0"/>
    <n v="-62.59"/>
    <n v="-544.03"/>
  </r>
  <r>
    <x v="53"/>
    <x v="4"/>
    <x v="1"/>
    <x v="0"/>
    <s v="KEPL/00327/82-83"/>
    <s v="SAFAL MART PVT.LTD"/>
    <x v="0"/>
    <x v="0"/>
    <n v="1"/>
    <n v="180"/>
    <n v="64.23"/>
    <n v="11561.4"/>
    <n v="-1050.9299999999998"/>
    <n v="0"/>
    <n v="1366.361024"/>
    <n v="11876.831023999999"/>
  </r>
  <r>
    <x v="53"/>
    <x v="4"/>
    <x v="1"/>
    <x v="0"/>
    <s v="KEPL/00327/82-83"/>
    <s v="SAFAL MART PVT.LTD"/>
    <x v="0"/>
    <x v="11"/>
    <n v="1"/>
    <n v="180"/>
    <n v="64.23"/>
    <n v="11561.4"/>
    <n v="-1050.9299999999998"/>
    <n v="0"/>
    <n v="1366.361024"/>
    <n v="11876.831023999999"/>
  </r>
  <r>
    <x v="53"/>
    <x v="4"/>
    <x v="1"/>
    <x v="0"/>
    <s v="KEPL/00327/82-83"/>
    <s v="SAFAL MART PVT.LTD"/>
    <x v="0"/>
    <x v="16"/>
    <n v="1"/>
    <n v="120"/>
    <n v="121.69"/>
    <n v="14602.800000000001"/>
    <n v="-1327.39"/>
    <n v="0"/>
    <n v="1725.8032040000001"/>
    <n v="15001.213204"/>
  </r>
  <r>
    <x v="53"/>
    <x v="4"/>
    <x v="1"/>
    <x v="0"/>
    <s v="KEPL/00327/82-83"/>
    <s v="SAFAL MART PVT.LTD"/>
    <x v="0"/>
    <x v="20"/>
    <n v="1"/>
    <n v="120"/>
    <n v="121.69"/>
    <n v="14602.800000000001"/>
    <n v="-1327.39"/>
    <n v="0"/>
    <n v="1725.8032040000001"/>
    <n v="15001.213204"/>
  </r>
  <r>
    <x v="53"/>
    <x v="4"/>
    <x v="1"/>
    <x v="0"/>
    <s v="KEPL/00327/82-83"/>
    <s v="SAFAL MART PVT.LTD"/>
    <x v="0"/>
    <x v="19"/>
    <n v="0.5"/>
    <n v="90"/>
    <n v="155.49"/>
    <n v="13994.1"/>
    <n v="-1272.0600000000002"/>
    <n v="0"/>
    <n v="1653.865108"/>
    <n v="14375.905108000001"/>
  </r>
  <r>
    <x v="53"/>
    <x v="4"/>
    <x v="1"/>
    <x v="0"/>
    <s v="KEPL/00327/82-83"/>
    <s v="SAFAL MART PVT.LTD"/>
    <x v="0"/>
    <x v="32"/>
    <n v="1"/>
    <n v="120"/>
    <n v="64.23"/>
    <n v="7707.5999999999995"/>
    <n v="-700.62"/>
    <n v="0"/>
    <n v="910.90734899999995"/>
    <n v="7917.8873489999996"/>
  </r>
  <r>
    <x v="53"/>
    <x v="4"/>
    <x v="1"/>
    <x v="0"/>
    <s v="KEPL/00327/82-83"/>
    <s v="SAFAL MART PVT.LTD"/>
    <x v="2"/>
    <x v="28"/>
    <n v="1"/>
    <n v="80"/>
    <n v="169.01"/>
    <n v="13520.8"/>
    <n v="-1229.04"/>
    <n v="0"/>
    <n v="1597.928711"/>
    <n v="13889.688711000001"/>
  </r>
  <r>
    <x v="53"/>
    <x v="4"/>
    <x v="1"/>
    <x v="0"/>
    <s v="KEPL/00327/82-83"/>
    <s v="SAFAL MART PVT.LTD"/>
    <x v="0"/>
    <x v="42"/>
    <n v="1"/>
    <n v="120"/>
    <n v="94.65"/>
    <n v="11358"/>
    <n v="-1032.44"/>
    <n v="0"/>
    <n v="1342.3227259999999"/>
    <n v="11667.882726"/>
  </r>
  <r>
    <x v="53"/>
    <x v="4"/>
    <x v="1"/>
    <x v="0"/>
    <s v="KEPL/00327/82-83"/>
    <s v="SAFAL MART PVT.LTD"/>
    <x v="2"/>
    <x v="23"/>
    <n v="1"/>
    <n v="180"/>
    <n v="182.53"/>
    <n v="32855.4"/>
    <n v="-2986.56"/>
    <n v="0"/>
    <n v="3882.9489850000004"/>
    <n v="33751.788984999999"/>
  </r>
  <r>
    <x v="53"/>
    <x v="4"/>
    <x v="1"/>
    <x v="0"/>
    <s v="KEPL/00327/82-83"/>
    <s v="SAFAL MART PVT.LTD"/>
    <x v="2"/>
    <x v="8"/>
    <n v="1"/>
    <n v="120"/>
    <n v="57.46"/>
    <n v="6895.2"/>
    <n v="-626.77"/>
    <n v="0"/>
    <n v="814.89585499999998"/>
    <n v="7083.325855"/>
  </r>
  <r>
    <x v="53"/>
    <x v="4"/>
    <x v="1"/>
    <x v="0"/>
    <s v="KEPL/00327/82-83"/>
    <s v="SAFAL MART PVT.LTD"/>
    <x v="0"/>
    <x v="14"/>
    <n v="1"/>
    <n v="180"/>
    <n v="135.21"/>
    <n v="24337.8"/>
    <n v="-2212.31"/>
    <n v="0"/>
    <n v="2876.3135400000001"/>
    <n v="25001.803540000001"/>
  </r>
  <r>
    <x v="53"/>
    <x v="4"/>
    <x v="1"/>
    <x v="0"/>
    <s v="KEPL/00327/82-83"/>
    <s v="SAFAL MART PVT.LTD"/>
    <x v="0"/>
    <x v="17"/>
    <n v="1"/>
    <n v="180"/>
    <n v="121.69"/>
    <n v="21904.199999999997"/>
    <n v="-1991.09"/>
    <n v="0"/>
    <n v="2588.7041560000002"/>
    <n v="22501.814156"/>
  </r>
  <r>
    <x v="53"/>
    <x v="4"/>
    <x v="1"/>
    <x v="0"/>
    <s v="KEPL/00327/82-83"/>
    <s v="SAFAL MART PVT.LTD"/>
    <x v="0"/>
    <x v="2"/>
    <n v="1"/>
    <n v="180"/>
    <n v="64.23"/>
    <n v="11561.4"/>
    <n v="-1050.9299999999998"/>
    <n v="0"/>
    <n v="1366.361024"/>
    <n v="11876.831023999999"/>
  </r>
  <r>
    <x v="53"/>
    <x v="4"/>
    <x v="1"/>
    <x v="0"/>
    <s v="KEPL/00327/82-83"/>
    <s v="SAFAL MART PVT.LTD"/>
    <x v="2"/>
    <x v="5"/>
    <n v="1"/>
    <n v="180"/>
    <n v="94.65"/>
    <n v="17037"/>
    <n v="-1548.6599999999999"/>
    <n v="0"/>
    <n v="2013.4840879999999"/>
    <n v="17501.824088000001"/>
  </r>
  <r>
    <x v="54"/>
    <x v="4"/>
    <x v="1"/>
    <x v="0"/>
    <s v="KEPL/00374/82-83"/>
    <s v="SIMPEX SOLUTION PVT. LTD"/>
    <x v="0"/>
    <x v="11"/>
    <n v="0.22"/>
    <n v="39"/>
    <n v="67.260000000000005"/>
    <n v="2623.14"/>
    <n v="0"/>
    <n v="0"/>
    <n v="341.00771899999995"/>
    <n v="2964.1477190000001"/>
  </r>
  <r>
    <x v="54"/>
    <x v="4"/>
    <x v="1"/>
    <x v="0"/>
    <s v="KEPL/00374/82-83"/>
    <s v="SIMPEX SOLUTION PVT. LTD"/>
    <x v="0"/>
    <x v="0"/>
    <n v="0.09"/>
    <n v="17"/>
    <n v="67.260000000000005"/>
    <n v="1143.42"/>
    <n v="0"/>
    <n v="0"/>
    <n v="148.64439000000002"/>
    <n v="1292.06439"/>
  </r>
  <r>
    <x v="54"/>
    <x v="4"/>
    <x v="1"/>
    <x v="0"/>
    <s v="KEPL/00374/82-83"/>
    <s v="SIMPEX SOLUTION PVT. LTD"/>
    <x v="0"/>
    <x v="10"/>
    <n v="0.11"/>
    <n v="19"/>
    <n v="63.72"/>
    <n v="1210.68"/>
    <n v="0"/>
    <n v="0"/>
    <n v="157.38817799999998"/>
    <n v="1368.068178"/>
  </r>
  <r>
    <x v="54"/>
    <x v="4"/>
    <x v="1"/>
    <x v="0"/>
    <s v="KEPL/00374/82-83"/>
    <s v="SIMPEX SOLUTION PVT. LTD"/>
    <x v="0"/>
    <x v="2"/>
    <n v="0.26"/>
    <n v="47"/>
    <n v="67.260000000000005"/>
    <n v="3161.22"/>
    <n v="0"/>
    <n v="0"/>
    <n v="410.95802099999997"/>
    <n v="3572.1780210000002"/>
  </r>
  <r>
    <x v="54"/>
    <x v="4"/>
    <x v="1"/>
    <x v="0"/>
    <s v="KEPL/00374/82-83"/>
    <s v="SIMPEX SOLUTION PVT. LTD"/>
    <x v="0"/>
    <x v="9"/>
    <n v="0.03"/>
    <n v="5"/>
    <n v="74.34"/>
    <n v="371.7"/>
    <n v="0"/>
    <n v="0"/>
    <n v="48.320931999999999"/>
    <n v="420.02093200000002"/>
  </r>
  <r>
    <x v="54"/>
    <x v="4"/>
    <x v="1"/>
    <x v="0"/>
    <s v="KEPL/00374/82-83"/>
    <s v="SIMPEX SOLUTION PVT. LTD"/>
    <x v="2"/>
    <x v="5"/>
    <n v="0.22"/>
    <n v="39"/>
    <n v="99.12"/>
    <n v="3865.68"/>
    <n v="0"/>
    <n v="0"/>
    <n v="502.53769199999999"/>
    <n v="4368.2176920000002"/>
  </r>
  <r>
    <x v="54"/>
    <x v="4"/>
    <x v="1"/>
    <x v="0"/>
    <s v="KEPL/00374/82-83"/>
    <s v="SIMPEX SOLUTION PVT. LTD"/>
    <x v="4"/>
    <x v="30"/>
    <n v="0.57999999999999996"/>
    <n v="35"/>
    <n v="102.65"/>
    <n v="3592.75"/>
    <n v="0"/>
    <n v="0"/>
    <n v="467.05684200000002"/>
    <n v="4059.806842"/>
  </r>
  <r>
    <x v="54"/>
    <x v="4"/>
    <x v="1"/>
    <x v="0"/>
    <s v="KEPL/00374/82-83"/>
    <s v="SIMPEX SOLUTION PVT. LTD"/>
    <x v="2"/>
    <x v="8"/>
    <n v="0.43"/>
    <n v="52"/>
    <n v="60.18"/>
    <n v="3129.36"/>
    <n v="0"/>
    <n v="0"/>
    <n v="406.81622599999997"/>
    <n v="3536.176226"/>
  </r>
  <r>
    <x v="55"/>
    <x v="4"/>
    <x v="1"/>
    <x v="0"/>
    <s v="KEPL/00498/82-83"/>
    <s v="UNITED DISTRIBUTOR"/>
    <x v="0"/>
    <x v="18"/>
    <n v="1"/>
    <n v="120"/>
    <n v="141.97"/>
    <n v="17036.400000000001"/>
    <n v="-1548.61"/>
    <n v="0"/>
    <n v="2013.4126860000001"/>
    <n v="17501.202686000001"/>
  </r>
  <r>
    <x v="55"/>
    <x v="4"/>
    <x v="1"/>
    <x v="0"/>
    <s v="KEPL/00498/82-83"/>
    <s v="UNITED DISTRIBUTOR"/>
    <x v="0"/>
    <x v="14"/>
    <n v="1"/>
    <n v="180"/>
    <n v="135.21"/>
    <n v="24337.8"/>
    <n v="-2212.31"/>
    <n v="0"/>
    <n v="2876.3136800000002"/>
    <n v="25001.803680000001"/>
  </r>
  <r>
    <x v="55"/>
    <x v="4"/>
    <x v="1"/>
    <x v="0"/>
    <s v="KEPL/00498/82-83"/>
    <s v="UNITED DISTRIBUTOR"/>
    <x v="0"/>
    <x v="38"/>
    <n v="1"/>
    <n v="120"/>
    <n v="84.51"/>
    <n v="10141.199999999999"/>
    <n v="-921.84"/>
    <n v="0"/>
    <n v="1198.5167920000001"/>
    <n v="10417.876791999999"/>
  </r>
  <r>
    <x v="55"/>
    <x v="4"/>
    <x v="1"/>
    <x v="0"/>
    <s v="KEPL/00498/82-83"/>
    <s v="UNITED DISTRIBUTOR"/>
    <x v="2"/>
    <x v="33"/>
    <n v="1"/>
    <n v="180"/>
    <n v="91.27"/>
    <n v="16428.599999999999"/>
    <n v="-1493.36"/>
    <n v="0"/>
    <n v="1941.581187"/>
    <n v="16876.821187000001"/>
  </r>
  <r>
    <x v="55"/>
    <x v="4"/>
    <x v="1"/>
    <x v="0"/>
    <s v="KEPL/00498/82-83"/>
    <s v="UNITED DISTRIBUTOR"/>
    <x v="2"/>
    <x v="7"/>
    <n v="1"/>
    <n v="120"/>
    <n v="152.11000000000001"/>
    <n v="18253.2"/>
    <n v="-1659.2199999999998"/>
    <n v="0"/>
    <n v="2157.2173849999999"/>
    <n v="18751.197384999999"/>
  </r>
  <r>
    <x v="55"/>
    <x v="4"/>
    <x v="1"/>
    <x v="0"/>
    <s v="KEPL/00498/82-83"/>
    <s v="UNITED DISTRIBUTOR"/>
    <x v="0"/>
    <x v="42"/>
    <n v="1"/>
    <n v="120"/>
    <n v="94.65"/>
    <n v="11358"/>
    <n v="-1032.44"/>
    <n v="0"/>
    <n v="1342.3227909999998"/>
    <n v="11667.882791"/>
  </r>
  <r>
    <x v="55"/>
    <x v="4"/>
    <x v="1"/>
    <x v="0"/>
    <s v="KEPL/00498/82-83"/>
    <s v="UNITED DISTRIBUTOR"/>
    <x v="0"/>
    <x v="9"/>
    <n v="1"/>
    <n v="180"/>
    <n v="70.989999999999995"/>
    <n v="12778.2"/>
    <n v="-1161.54"/>
    <n v="0"/>
    <n v="1510.16579"/>
    <n v="13126.825790000001"/>
  </r>
  <r>
    <x v="55"/>
    <x v="4"/>
    <x v="1"/>
    <x v="0"/>
    <s v="KEPL/00498/82-83"/>
    <s v="UNITED DISTRIBUTOR"/>
    <x v="0"/>
    <x v="44"/>
    <n v="1"/>
    <n v="180"/>
    <n v="128.44999999999999"/>
    <n v="23121.000000000004"/>
    <n v="-2101.6999999999998"/>
    <n v="0"/>
    <n v="2732.5089810000004"/>
    <n v="23751.808980999998"/>
  </r>
  <r>
    <x v="55"/>
    <x v="4"/>
    <x v="1"/>
    <x v="0"/>
    <s v="KEPL/00498/82-83"/>
    <s v="UNITED DISTRIBUTOR"/>
    <x v="0"/>
    <x v="32"/>
    <n v="1"/>
    <n v="120"/>
    <n v="64.23"/>
    <n v="7707.5999999999995"/>
    <n v="-700.62"/>
    <n v="0"/>
    <n v="910.90739399999995"/>
    <n v="7917.8873940000003"/>
  </r>
  <r>
    <x v="55"/>
    <x v="4"/>
    <x v="1"/>
    <x v="0"/>
    <s v="KEPL/00498/82-83"/>
    <s v="UNITED DISTRIBUTOR"/>
    <x v="2"/>
    <x v="34"/>
    <n v="1"/>
    <n v="80"/>
    <n v="229.86"/>
    <n v="18388.8"/>
    <n v="-1671.54"/>
    <n v="0"/>
    <n v="2173.2437850000001"/>
    <n v="18890.503785000001"/>
  </r>
  <r>
    <x v="55"/>
    <x v="4"/>
    <x v="1"/>
    <x v="0"/>
    <s v="KEPL/00498/82-83"/>
    <s v="UNITED DISTRIBUTOR"/>
    <x v="2"/>
    <x v="5"/>
    <n v="1"/>
    <n v="180"/>
    <n v="94.65"/>
    <n v="17037"/>
    <n v="-1548.6599999999999"/>
    <n v="0"/>
    <n v="2013.4841860000001"/>
    <n v="17501.824186000002"/>
  </r>
  <r>
    <x v="55"/>
    <x v="4"/>
    <x v="1"/>
    <x v="0"/>
    <s v="KEPL/00498/82-83"/>
    <s v="UNITED DISTRIBUTOR"/>
    <x v="0"/>
    <x v="48"/>
    <n v="1"/>
    <n v="180"/>
    <n v="84.51"/>
    <n v="15211.800000000001"/>
    <n v="-1382.75"/>
    <n v="0"/>
    <n v="1797.7764880000002"/>
    <n v="15626.826488000001"/>
  </r>
  <r>
    <x v="55"/>
    <x v="4"/>
    <x v="1"/>
    <x v="0"/>
    <s v="KEPL/00498/82-83"/>
    <s v="UNITED DISTRIBUTOR"/>
    <x v="2"/>
    <x v="23"/>
    <n v="1"/>
    <n v="180"/>
    <n v="182.53"/>
    <n v="32855.4"/>
    <n v="-2986.56"/>
    <n v="0"/>
    <n v="3882.9491730000004"/>
    <n v="33751.789172999997"/>
  </r>
  <r>
    <x v="55"/>
    <x v="4"/>
    <x v="1"/>
    <x v="0"/>
    <s v="KEPL/00498/82-83"/>
    <s v="UNITED DISTRIBUTOR"/>
    <x v="2"/>
    <x v="8"/>
    <n v="1"/>
    <n v="120"/>
    <n v="57.46"/>
    <n v="6895.2"/>
    <n v="-626.77"/>
    <n v="0"/>
    <n v="814.895894"/>
    <n v="7083.3258939999996"/>
  </r>
  <r>
    <x v="55"/>
    <x v="4"/>
    <x v="1"/>
    <x v="0"/>
    <s v="KEPL/00498/82-83"/>
    <s v="UNITED DISTRIBUTOR"/>
    <x v="0"/>
    <x v="17"/>
    <n v="1"/>
    <n v="180"/>
    <n v="121.69"/>
    <n v="21904.199999999997"/>
    <n v="-1991.09"/>
    <n v="0"/>
    <n v="2588.7042819999997"/>
    <n v="22501.814281999999"/>
  </r>
  <r>
    <x v="55"/>
    <x v="4"/>
    <x v="1"/>
    <x v="0"/>
    <s v="KEPL/00498/82-83"/>
    <s v="UNITED DISTRIBUTOR"/>
    <x v="0"/>
    <x v="2"/>
    <n v="1"/>
    <n v="180"/>
    <n v="64.23"/>
    <n v="11561.4"/>
    <n v="-1050.9299999999998"/>
    <n v="0"/>
    <n v="1366.361091"/>
    <n v="11876.831091"/>
  </r>
  <r>
    <x v="55"/>
    <x v="4"/>
    <x v="1"/>
    <x v="0"/>
    <s v="KEPL/00498/82-83"/>
    <s v="UNITED DISTRIBUTOR"/>
    <x v="0"/>
    <x v="37"/>
    <n v="1"/>
    <n v="180"/>
    <n v="101.41"/>
    <n v="18253.8"/>
    <n v="-1659.27"/>
    <n v="0"/>
    <n v="2157.2888849999999"/>
    <n v="18751.818885000001"/>
  </r>
  <r>
    <x v="55"/>
    <x v="4"/>
    <x v="1"/>
    <x v="0"/>
    <s v="KEPL/00498/82-83"/>
    <s v="UNITED DISTRIBUTOR"/>
    <x v="4"/>
    <x v="29"/>
    <n v="1"/>
    <n v="120"/>
    <n v="57.46"/>
    <n v="6895.2"/>
    <n v="-626.77"/>
    <n v="0"/>
    <n v="814.895894"/>
    <n v="7083.3258939999996"/>
  </r>
  <r>
    <x v="55"/>
    <x v="4"/>
    <x v="1"/>
    <x v="0"/>
    <s v="KEPL/00498/82-83"/>
    <s v="UNITED DISTRIBUTOR"/>
    <x v="3"/>
    <x v="47"/>
    <n v="1"/>
    <n v="100"/>
    <n v="70.989999999999995"/>
    <n v="7099"/>
    <n v="-645.29999999999995"/>
    <n v="0"/>
    <n v="838.98099400000001"/>
    <n v="7292.6809940000003"/>
  </r>
  <r>
    <x v="55"/>
    <x v="4"/>
    <x v="1"/>
    <x v="0"/>
    <s v="KEPL/00498/82-83"/>
    <s v="UNITED DISTRIBUTOR"/>
    <x v="1"/>
    <x v="1"/>
    <n v="1"/>
    <n v="100"/>
    <n v="108.17"/>
    <n v="10817"/>
    <n v="-983.2700000000001"/>
    <n v="0"/>
    <n v="1278.3848910000002"/>
    <n v="11112.114890999999"/>
  </r>
  <r>
    <x v="55"/>
    <x v="4"/>
    <x v="1"/>
    <x v="0"/>
    <s v="KEPL/00498/82-83"/>
    <s v="UNITED DISTRIBUTOR"/>
    <x v="3"/>
    <x v="31"/>
    <n v="1"/>
    <n v="72"/>
    <n v="148.74"/>
    <n v="10709.279999999999"/>
    <n v="-973.47"/>
    <n v="0"/>
    <n v="1265.655291"/>
    <n v="11001.465291"/>
  </r>
  <r>
    <x v="55"/>
    <x v="4"/>
    <x v="1"/>
    <x v="0"/>
    <s v="KEPL/00498/82-83"/>
    <s v="UNITED DISTRIBUTOR"/>
    <x v="0"/>
    <x v="10"/>
    <n v="1"/>
    <n v="180"/>
    <n v="60.84"/>
    <n v="10951.199999999999"/>
    <n v="-995.46"/>
    <n v="0"/>
    <n v="1294.246191"/>
    <n v="11249.986191"/>
  </r>
  <r>
    <x v="55"/>
    <x v="4"/>
    <x v="1"/>
    <x v="0"/>
    <s v="KEPL/00498/82-83"/>
    <s v="UNITED DISTRIBUTOR"/>
    <x v="0"/>
    <x v="39"/>
    <n v="1"/>
    <n v="180"/>
    <n v="87.89"/>
    <n v="15820.199999999999"/>
    <n v="-1438.0600000000002"/>
    <n v="0"/>
    <n v="1869.678187"/>
    <n v="16251.818187000001"/>
  </r>
  <r>
    <x v="55"/>
    <x v="4"/>
    <x v="1"/>
    <x v="0"/>
    <s v="KEPL/00498/82-83"/>
    <s v="UNITED DISTRIBUTOR"/>
    <x v="0"/>
    <x v="11"/>
    <n v="1"/>
    <n v="180"/>
    <n v="64.23"/>
    <n v="11561.4"/>
    <n v="-1050.9299999999998"/>
    <n v="0"/>
    <n v="1366.361091"/>
    <n v="11876.831091"/>
  </r>
  <r>
    <x v="55"/>
    <x v="4"/>
    <x v="1"/>
    <x v="0"/>
    <s v="KEPL/00498/82-83"/>
    <s v="UNITED DISTRIBUTOR"/>
    <x v="0"/>
    <x v="40"/>
    <n v="1"/>
    <n v="120"/>
    <n v="77.75"/>
    <n v="9330"/>
    <n v="-848.1"/>
    <n v="0"/>
    <n v="1102.646992"/>
    <n v="9584.5469919999996"/>
  </r>
  <r>
    <x v="55"/>
    <x v="4"/>
    <x v="1"/>
    <x v="0"/>
    <s v="KEPL/00499/82-83"/>
    <s v="UNITED DISTRIBUTOR"/>
    <x v="1"/>
    <x v="12"/>
    <n v="1"/>
    <n v="40"/>
    <n v="336"/>
    <n v="13440"/>
    <n v="-1221.6999999999998"/>
    <n v="0"/>
    <n v="0"/>
    <n v="12218.3"/>
  </r>
  <r>
    <x v="55"/>
    <x v="4"/>
    <x v="1"/>
    <x v="0"/>
    <s v="KEPL/00499/82-83"/>
    <s v="UNITED DISTRIBUTOR"/>
    <x v="1"/>
    <x v="13"/>
    <n v="1"/>
    <n v="100"/>
    <n v="138"/>
    <n v="13800"/>
    <n v="-1254.4199999999998"/>
    <n v="0"/>
    <n v="0"/>
    <n v="12545.58"/>
  </r>
  <r>
    <x v="55"/>
    <x v="4"/>
    <x v="1"/>
    <x v="0"/>
    <s v="KEPL/00504/82-83"/>
    <s v="BEERA BARJEE INTERNATIONAL PVT.LTD"/>
    <x v="3"/>
    <x v="31"/>
    <n v="4"/>
    <n v="288"/>
    <n v="148.74"/>
    <n v="42837.119999999995"/>
    <n v="-3893.8900000000003"/>
    <n v="0"/>
    <n v="5062.6203210000003"/>
    <n v="44005.850320999998"/>
  </r>
  <r>
    <x v="55"/>
    <x v="4"/>
    <x v="1"/>
    <x v="0"/>
    <s v="KEPL/00504/82-83"/>
    <s v="BEERA BARJEE INTERNATIONAL PVT.LTD"/>
    <x v="0"/>
    <x v="39"/>
    <n v="1"/>
    <n v="180"/>
    <n v="83.82"/>
    <n v="15087.6"/>
    <n v="0"/>
    <n v="0"/>
    <n v="1961.3881630000001"/>
    <n v="17048.988163000002"/>
  </r>
  <r>
    <x v="55"/>
    <x v="4"/>
    <x v="1"/>
    <x v="0"/>
    <s v="KEPL/00504/82-83"/>
    <s v="BEERA BARJEE INTERNATIONAL PVT.LTD"/>
    <x v="1"/>
    <x v="1"/>
    <n v="1"/>
    <n v="100"/>
    <n v="108.17"/>
    <n v="10817"/>
    <n v="-983.2700000000001"/>
    <n v="0"/>
    <n v="1278.385006"/>
    <n v="11112.115006"/>
  </r>
  <r>
    <x v="55"/>
    <x v="4"/>
    <x v="1"/>
    <x v="0"/>
    <s v="KEPL/00504/82-83"/>
    <s v="BEERA BARJEE INTERNATIONAL PVT.LTD"/>
    <x v="3"/>
    <x v="47"/>
    <n v="3"/>
    <n v="300"/>
    <n v="70.989999999999995"/>
    <n v="21297.000000000004"/>
    <n v="-1935.9"/>
    <n v="0"/>
    <n v="2516.9432089999996"/>
    <n v="21878.043208999999"/>
  </r>
  <r>
    <x v="55"/>
    <x v="4"/>
    <x v="1"/>
    <x v="0"/>
    <s v="KEPL/00504/82-83"/>
    <s v="BEERA BARJEE INTERNATIONAL PVT.LTD"/>
    <x v="0"/>
    <x v="10"/>
    <n v="1"/>
    <n v="180"/>
    <n v="60.84"/>
    <n v="10951.199999999999"/>
    <n v="-995.46"/>
    <n v="0"/>
    <n v="1294.2463080000002"/>
    <n v="11249.986308"/>
  </r>
  <r>
    <x v="55"/>
    <x v="4"/>
    <x v="1"/>
    <x v="0"/>
    <s v="KEPL/00504/82-83"/>
    <s v="BEERA BARJEE INTERNATIONAL PVT.LTD"/>
    <x v="1"/>
    <x v="6"/>
    <n v="1"/>
    <n v="100"/>
    <n v="162.26"/>
    <n v="16226"/>
    <n v="-1474.94"/>
    <n v="0"/>
    <n v="1917.63796"/>
    <n v="16668.697960000001"/>
  </r>
  <r>
    <x v="55"/>
    <x v="4"/>
    <x v="1"/>
    <x v="0"/>
    <s v="KEPL/00504/82-83"/>
    <s v="BEERA BARJEE INTERNATIONAL PVT.LTD"/>
    <x v="2"/>
    <x v="8"/>
    <n v="1"/>
    <n v="120"/>
    <n v="50.7"/>
    <n v="6084"/>
    <n v="-553.04"/>
    <n v="0"/>
    <n v="719.02485999999999"/>
    <n v="6249.9848599999996"/>
  </r>
  <r>
    <x v="55"/>
    <x v="4"/>
    <x v="1"/>
    <x v="0"/>
    <s v="KEPL/00504/82-83"/>
    <s v="BEERA BARJEE INTERNATIONAL PVT.LTD"/>
    <x v="3"/>
    <x v="25"/>
    <n v="5"/>
    <n v="240"/>
    <n v="310.99"/>
    <n v="74637.600000000006"/>
    <n v="-6784.56"/>
    <n v="0"/>
    <n v="8820.8959340000001"/>
    <n v="76673.935933999994"/>
  </r>
  <r>
    <x v="55"/>
    <x v="4"/>
    <x v="1"/>
    <x v="0"/>
    <s v="KEPL/00504/82-83"/>
    <s v="BEERA BARJEE INTERNATIONAL PVT.LTD"/>
    <x v="0"/>
    <x v="2"/>
    <n v="1"/>
    <n v="180"/>
    <n v="64.23"/>
    <n v="11561.4"/>
    <n v="-1050.9299999999998"/>
    <n v="0"/>
    <n v="1366.3612139999998"/>
    <n v="11876.831214"/>
  </r>
  <r>
    <x v="55"/>
    <x v="4"/>
    <x v="1"/>
    <x v="0"/>
    <s v="KEPL/00504/82-83"/>
    <s v="BEERA BARJEE INTERNATIONAL PVT.LTD"/>
    <x v="5"/>
    <x v="43"/>
    <n v="1.83"/>
    <n v="110"/>
    <n v="148.74"/>
    <n v="16361.4"/>
    <n v="-1487.25"/>
    <n v="0"/>
    <n v="1933.6396609999999"/>
    <n v="16807.789660999999"/>
  </r>
  <r>
    <x v="55"/>
    <x v="4"/>
    <x v="1"/>
    <x v="0"/>
    <s v="KEPL/00504/82-83"/>
    <s v="BEERA BARJEE INTERNATIONAL PVT.LTD"/>
    <x v="3"/>
    <x v="26"/>
    <n v="4"/>
    <n v="288"/>
    <n v="131.83000000000001"/>
    <n v="37967.040000000001"/>
    <n v="-3451.2"/>
    <n v="0"/>
    <n v="4487.0595729999995"/>
    <n v="39002.899573000002"/>
  </r>
  <r>
    <x v="55"/>
    <x v="4"/>
    <x v="1"/>
    <x v="0"/>
    <s v="KEPL/00504/82-83"/>
    <s v="BEERA BARJEE INTERNATIONAL PVT.LTD"/>
    <x v="3"/>
    <x v="46"/>
    <n v="3"/>
    <n v="300"/>
    <n v="98.03"/>
    <n v="29409.000000000004"/>
    <n v="-2673.28"/>
    <n v="0"/>
    <n v="3475.6438890000004"/>
    <n v="30211.363889"/>
  </r>
  <r>
    <x v="55"/>
    <x v="4"/>
    <x v="1"/>
    <x v="0"/>
    <s v="KEPL/00504/82-83"/>
    <s v="BEERA BARJEE INTERNATIONAL PVT.LTD"/>
    <x v="0"/>
    <x v="40"/>
    <n v="1"/>
    <n v="120"/>
    <n v="77.739999999999995"/>
    <n v="9328.7999999999993"/>
    <n v="-847.99"/>
    <n v="0"/>
    <n v="1102.505392"/>
    <n v="9583.3153920000004"/>
  </r>
  <r>
    <x v="55"/>
    <x v="4"/>
    <x v="1"/>
    <x v="0"/>
    <s v="KEPL/00504/82-83"/>
    <s v="BEERA BARJEE INTERNATIONAL PVT.LTD"/>
    <x v="0"/>
    <x v="9"/>
    <n v="1"/>
    <n v="180"/>
    <n v="70.989999999999995"/>
    <n v="12778.2"/>
    <n v="-1161.54"/>
    <n v="0"/>
    <n v="1510.1659259999999"/>
    <n v="13126.825926"/>
  </r>
  <r>
    <x v="55"/>
    <x v="4"/>
    <x v="1"/>
    <x v="0"/>
    <s v="KEPL/00504/82-83"/>
    <s v="BEERA BARJEE INTERNATIONAL PVT.LTD"/>
    <x v="4"/>
    <x v="30"/>
    <n v="1"/>
    <n v="60"/>
    <n v="98.03"/>
    <n v="5881.8"/>
    <n v="-534.66"/>
    <n v="0"/>
    <n v="695.12825799999996"/>
    <n v="6042.2682580000001"/>
  </r>
  <r>
    <x v="55"/>
    <x v="4"/>
    <x v="1"/>
    <x v="0"/>
    <s v="KEPL/00504/82-83"/>
    <s v="BEERA BARJEE INTERNATIONAL PVT.LTD"/>
    <x v="0"/>
    <x v="21"/>
    <n v="1"/>
    <n v="80"/>
    <n v="185.92"/>
    <n v="14873.6"/>
    <n v="-1352.01"/>
    <n v="0"/>
    <n v="1757.806846"/>
    <n v="15279.396846"/>
  </r>
  <r>
    <x v="55"/>
    <x v="4"/>
    <x v="1"/>
    <x v="0"/>
    <s v="KEPL/00504/82-83"/>
    <s v="BEERA BARJEE INTERNATIONAL PVT.LTD"/>
    <x v="0"/>
    <x v="38"/>
    <n v="1"/>
    <n v="120"/>
    <n v="84.51"/>
    <n v="10141.199999999999"/>
    <n v="-921.84"/>
    <n v="0"/>
    <n v="1198.5169000000001"/>
    <n v="10417.876899999999"/>
  </r>
  <r>
    <x v="55"/>
    <x v="4"/>
    <x v="1"/>
    <x v="0"/>
    <s v="KEPL/00504/82-83"/>
    <s v="BEERA BARJEE INTERNATIONAL PVT.LTD"/>
    <x v="4"/>
    <x v="29"/>
    <n v="1"/>
    <n v="120"/>
    <n v="57.46"/>
    <n v="6895.2"/>
    <n v="-626.77"/>
    <n v="0"/>
    <n v="814.89596800000004"/>
    <n v="7083.3259680000001"/>
  </r>
  <r>
    <x v="55"/>
    <x v="4"/>
    <x v="1"/>
    <x v="0"/>
    <s v="KEPL/00504/82-83"/>
    <s v="BEERA BARJEE INTERNATIONAL PVT.LTD"/>
    <x v="0"/>
    <x v="42"/>
    <n v="1"/>
    <n v="120"/>
    <n v="94.66"/>
    <n v="11359.2"/>
    <n v="-1032.55"/>
    <n v="0"/>
    <n v="1342.4646120000002"/>
    <n v="11669.114611999999"/>
  </r>
  <r>
    <x v="55"/>
    <x v="4"/>
    <x v="1"/>
    <x v="0"/>
    <s v="KEPL/00505/82-83"/>
    <s v="BEERA BARJEE INTERNATIONAL PVT.LTD"/>
    <x v="0"/>
    <x v="18"/>
    <n v="1"/>
    <n v="120"/>
    <n v="141.97"/>
    <n v="17036.400000000001"/>
    <n v="-1548.61"/>
    <n v="0"/>
    <n v="2013.412278"/>
    <n v="17501.202278000001"/>
  </r>
  <r>
    <x v="55"/>
    <x v="4"/>
    <x v="1"/>
    <x v="0"/>
    <s v="KEPL/00505/82-83"/>
    <s v="BEERA BARJEE INTERNATIONAL PVT.LTD"/>
    <x v="0"/>
    <x v="17"/>
    <n v="1"/>
    <n v="180"/>
    <n v="118.3"/>
    <n v="21294"/>
    <n v="-1935.62"/>
    <n v="0"/>
    <n v="2516.5888729999997"/>
    <n v="21874.968873000002"/>
  </r>
  <r>
    <x v="55"/>
    <x v="4"/>
    <x v="1"/>
    <x v="0"/>
    <s v="KEPL/00505/82-83"/>
    <s v="BEERA BARJEE INTERNATIONAL PVT.LTD"/>
    <x v="0"/>
    <x v="36"/>
    <n v="0.88"/>
    <n v="70"/>
    <n v="155.49"/>
    <n v="10884.3"/>
    <n v="-989.38"/>
    <n v="0"/>
    <n v="1286.3393310000001"/>
    <n v="11181.259330999999"/>
  </r>
  <r>
    <x v="55"/>
    <x v="4"/>
    <x v="1"/>
    <x v="0"/>
    <s v="KEPL/00505/82-83"/>
    <s v="BEERA BARJEE INTERNATIONAL PVT.LTD"/>
    <x v="2"/>
    <x v="22"/>
    <n v="1"/>
    <n v="40"/>
    <n v="283.94"/>
    <n v="11357.599999999999"/>
    <n v="-1032.4099999999999"/>
    <n v="0"/>
    <n v="1342.2744190000001"/>
    <n v="11667.464419"/>
  </r>
  <r>
    <x v="55"/>
    <x v="4"/>
    <x v="1"/>
    <x v="0"/>
    <s v="KEPL/00505/82-83"/>
    <s v="BEERA BARJEE INTERNATIONAL PVT.LTD"/>
    <x v="0"/>
    <x v="45"/>
    <n v="1"/>
    <n v="80"/>
    <n v="141.97"/>
    <n v="11357.599999999999"/>
    <n v="-1032.4099999999999"/>
    <n v="0"/>
    <n v="1342.2744190000001"/>
    <n v="11667.464419"/>
  </r>
  <r>
    <x v="55"/>
    <x v="4"/>
    <x v="1"/>
    <x v="0"/>
    <s v="KEPL/00505/82-83"/>
    <s v="BEERA BARJEE INTERNATIONAL PVT.LTD"/>
    <x v="0"/>
    <x v="11"/>
    <n v="1"/>
    <n v="180"/>
    <n v="64.23"/>
    <n v="11561.4"/>
    <n v="-1050.9299999999998"/>
    <n v="0"/>
    <n v="1366.3608139999999"/>
    <n v="11876.830814000001"/>
  </r>
  <r>
    <x v="55"/>
    <x v="4"/>
    <x v="1"/>
    <x v="0"/>
    <s v="KEPL/00505/82-83"/>
    <s v="BEERA BARJEE INTERNATIONAL PVT.LTD"/>
    <x v="2"/>
    <x v="7"/>
    <n v="1"/>
    <n v="120"/>
    <n v="152.11000000000001"/>
    <n v="18253.2"/>
    <n v="-1659.2199999999998"/>
    <n v="0"/>
    <n v="2157.2169480000002"/>
    <n v="18751.196948000001"/>
  </r>
  <r>
    <x v="55"/>
    <x v="4"/>
    <x v="1"/>
    <x v="0"/>
    <s v="KEPL/00505/82-83"/>
    <s v="BEERA BARJEE INTERNATIONAL PVT.LTD"/>
    <x v="2"/>
    <x v="5"/>
    <n v="1"/>
    <n v="180"/>
    <n v="94.65"/>
    <n v="17037"/>
    <n v="-1548.6599999999999"/>
    <n v="0"/>
    <n v="2013.483778"/>
    <n v="17501.823778000002"/>
  </r>
  <r>
    <x v="55"/>
    <x v="4"/>
    <x v="1"/>
    <x v="0"/>
    <s v="KEPL/00505/82-83"/>
    <s v="BEERA BARJEE INTERNATIONAL PVT.LTD"/>
    <x v="2"/>
    <x v="34"/>
    <n v="1"/>
    <n v="80"/>
    <n v="229.86"/>
    <n v="18388.8"/>
    <n v="-1671.54"/>
    <n v="0"/>
    <n v="2173.2433450000003"/>
    <n v="18890.503345000001"/>
  </r>
  <r>
    <x v="55"/>
    <x v="4"/>
    <x v="1"/>
    <x v="0"/>
    <s v="KEPL/00505/82-83"/>
    <s v="BEERA BARJEE INTERNATIONAL PVT.LTD"/>
    <x v="0"/>
    <x v="32"/>
    <n v="2"/>
    <n v="240"/>
    <n v="64.23"/>
    <n v="15415.199999999999"/>
    <n v="-1401.24"/>
    <n v="0"/>
    <n v="1821.8144180000002"/>
    <n v="15835.774418000001"/>
  </r>
  <r>
    <x v="55"/>
    <x v="4"/>
    <x v="1"/>
    <x v="0"/>
    <s v="KEPL/00505/82-83"/>
    <s v="BEERA BARJEE INTERNATIONAL PVT.LTD"/>
    <x v="0"/>
    <x v="48"/>
    <n v="2"/>
    <n v="360"/>
    <n v="81.14"/>
    <n v="29210.399999999998"/>
    <n v="-2655.23"/>
    <n v="0"/>
    <n v="3452.1713770000001"/>
    <n v="30007.341377000001"/>
  </r>
  <r>
    <x v="55"/>
    <x v="4"/>
    <x v="1"/>
    <x v="0"/>
    <s v="KEPL/00506/82-83"/>
    <s v="SHUBHASHREE MARKETING"/>
    <x v="0"/>
    <x v="9"/>
    <n v="0.65"/>
    <n v="117"/>
    <n v="70.989999999999995"/>
    <n v="8305.83"/>
    <n v="-755"/>
    <n v="0"/>
    <n v="981.60783099999992"/>
    <n v="8532.4378309999993"/>
  </r>
  <r>
    <x v="55"/>
    <x v="4"/>
    <x v="1"/>
    <x v="0"/>
    <s v="KEPL/00506/82-83"/>
    <s v="SHUBHASHREE MARKETING"/>
    <x v="2"/>
    <x v="5"/>
    <n v="0.01"/>
    <n v="1"/>
    <n v="94.65"/>
    <n v="94.65"/>
    <n v="-8.6"/>
    <n v="0"/>
    <n v="11.186499"/>
    <n v="97.236498999999995"/>
  </r>
  <r>
    <x v="55"/>
    <x v="4"/>
    <x v="1"/>
    <x v="0"/>
    <s v="KEPL/00506/82-83"/>
    <s v="SHUBHASHREE MARKETING"/>
    <x v="3"/>
    <x v="26"/>
    <n v="1"/>
    <n v="72"/>
    <n v="131.83000000000001"/>
    <n v="9491.76"/>
    <n v="-862.8"/>
    <n v="0"/>
    <n v="1121.764721"/>
    <n v="9750.7247210000005"/>
  </r>
  <r>
    <x v="55"/>
    <x v="4"/>
    <x v="1"/>
    <x v="0"/>
    <s v="KEPL/00506/82-83"/>
    <s v="SHUBHASHREE MARKETING"/>
    <x v="3"/>
    <x v="25"/>
    <n v="1"/>
    <n v="48"/>
    <n v="310.99"/>
    <n v="14927.519999999999"/>
    <n v="-1356.91"/>
    <n v="0"/>
    <n v="1764.1791760000001"/>
    <n v="15334.789176"/>
  </r>
  <r>
    <x v="55"/>
    <x v="4"/>
    <x v="1"/>
    <x v="0"/>
    <s v="KEPL/00506/82-83"/>
    <s v="SHUBHASHREE MARKETING"/>
    <x v="4"/>
    <x v="29"/>
    <n v="2"/>
    <n v="240"/>
    <n v="57.46"/>
    <n v="13790.4"/>
    <n v="-1253.55"/>
    <n v="0"/>
    <n v="1629.790385"/>
    <n v="14166.640385000001"/>
  </r>
  <r>
    <x v="55"/>
    <x v="4"/>
    <x v="1"/>
    <x v="0"/>
    <s v="KEPL/00506/82-83"/>
    <s v="SHUBHASHREE MARKETING"/>
    <x v="2"/>
    <x v="33"/>
    <n v="2"/>
    <n v="360"/>
    <n v="91.27"/>
    <n v="32857.199999999997"/>
    <n v="-2986.72"/>
    <n v="0"/>
    <n v="3883.1621260000002"/>
    <n v="33753.642125999999"/>
  </r>
  <r>
    <x v="55"/>
    <x v="4"/>
    <x v="1"/>
    <x v="0"/>
    <s v="KEPL/00506/82-83"/>
    <s v="SHUBHASHREE MARKETING"/>
    <x v="1"/>
    <x v="6"/>
    <n v="2"/>
    <n v="200"/>
    <n v="162.26"/>
    <n v="32452"/>
    <n v="-2949.8900000000003"/>
    <n v="0"/>
    <n v="3835.2740289999997"/>
    <n v="33337.384029000001"/>
  </r>
  <r>
    <x v="55"/>
    <x v="4"/>
    <x v="1"/>
    <x v="0"/>
    <s v="KEPL/00506/82-83"/>
    <s v="SHUBHASHREE MARKETING"/>
    <x v="0"/>
    <x v="11"/>
    <n v="1"/>
    <n v="180"/>
    <n v="64.23"/>
    <n v="11561.4"/>
    <n v="-1050.9299999999998"/>
    <n v="0"/>
    <n v="1366.3610040000001"/>
    <n v="11876.831004"/>
  </r>
  <r>
    <x v="55"/>
    <x v="4"/>
    <x v="1"/>
    <x v="0"/>
    <s v="KEPL/00506/82-83"/>
    <s v="SHUBHASHREE MARKETING"/>
    <x v="0"/>
    <x v="32"/>
    <n v="1"/>
    <n v="120"/>
    <n v="64.23"/>
    <n v="7707.5999999999995"/>
    <n v="-700.62"/>
    <n v="0"/>
    <n v="910.90733599999999"/>
    <n v="7917.8873359999998"/>
  </r>
  <r>
    <x v="55"/>
    <x v="4"/>
    <x v="1"/>
    <x v="0"/>
    <s v="KEPL/00506/82-83"/>
    <s v="SHUBHASHREE MARKETING"/>
    <x v="0"/>
    <x v="0"/>
    <n v="1"/>
    <n v="180"/>
    <n v="64.23"/>
    <n v="11561.4"/>
    <n v="-1050.9299999999998"/>
    <n v="0"/>
    <n v="1366.3610040000001"/>
    <n v="11876.831004"/>
  </r>
  <r>
    <x v="55"/>
    <x v="4"/>
    <x v="1"/>
    <x v="0"/>
    <s v="KEPL/00506/82-83"/>
    <s v="SHUBHASHREE MARKETING"/>
    <x v="2"/>
    <x v="5"/>
    <n v="0.99"/>
    <n v="179"/>
    <n v="94.65"/>
    <n v="16942.349999999999"/>
    <n v="-1540.0600000000002"/>
    <n v="0"/>
    <n v="2002.2975589999999"/>
    <n v="17404.587559"/>
  </r>
  <r>
    <x v="55"/>
    <x v="4"/>
    <x v="1"/>
    <x v="0"/>
    <s v="KEPL/00506/82-83"/>
    <s v="SHUBHASHREE MARKETING"/>
    <x v="1"/>
    <x v="1"/>
    <n v="2"/>
    <n v="200"/>
    <n v="108.17"/>
    <n v="21634"/>
    <n v="-1966.53"/>
    <n v="0"/>
    <n v="2556.7709199999999"/>
    <n v="22224.24092"/>
  </r>
  <r>
    <x v="55"/>
    <x v="4"/>
    <x v="1"/>
    <x v="0"/>
    <s v="KEPL/00506/82-83"/>
    <s v="SHUBHASHREE MARKETING"/>
    <x v="0"/>
    <x v="44"/>
    <n v="2"/>
    <n v="360"/>
    <n v="121.7"/>
    <n v="43812"/>
    <n v="-3982.5099999999998"/>
    <n v="0"/>
    <n v="5177.8333350000003"/>
    <n v="45007.323335000001"/>
  </r>
  <r>
    <x v="55"/>
    <x v="4"/>
    <x v="1"/>
    <x v="0"/>
    <s v="KEPL/00506/82-83"/>
    <s v="SHUBHASHREE MARKETING"/>
    <x v="0"/>
    <x v="9"/>
    <n v="0.32"/>
    <n v="57"/>
    <n v="70.989999999999995"/>
    <n v="4046.43"/>
    <n v="-367.82"/>
    <n v="0"/>
    <n v="478.219266"/>
    <n v="4156.8292659999997"/>
  </r>
  <r>
    <x v="55"/>
    <x v="4"/>
    <x v="1"/>
    <x v="0"/>
    <s v="KEPL/00506/82-83"/>
    <s v="SHUBHASHREE MARKETING"/>
    <x v="0"/>
    <x v="9"/>
    <n v="0.03"/>
    <n v="6"/>
    <n v="70.989999999999995"/>
    <n v="425.94"/>
    <n v="-38.72"/>
    <n v="0"/>
    <n v="50.338596000000003"/>
    <n v="437.55859600000002"/>
  </r>
  <r>
    <x v="55"/>
    <x v="4"/>
    <x v="1"/>
    <x v="0"/>
    <s v="KEPL/00506/82-83"/>
    <s v="SHUBHASHREE MARKETING"/>
    <x v="0"/>
    <x v="2"/>
    <n v="1"/>
    <n v="180"/>
    <n v="64.23"/>
    <n v="11561.4"/>
    <n v="-1050.9299999999998"/>
    <n v="0"/>
    <n v="1366.3610040000001"/>
    <n v="11876.831004"/>
  </r>
  <r>
    <x v="55"/>
    <x v="4"/>
    <x v="1"/>
    <x v="0"/>
    <s v="KEPL/00506/82-83"/>
    <s v="SHUBHASHREE MARKETING"/>
    <x v="3"/>
    <x v="31"/>
    <n v="1"/>
    <n v="72"/>
    <n v="148.74"/>
    <n v="10709.279999999999"/>
    <n v="-973.47"/>
    <n v="0"/>
    <n v="1265.6552109999998"/>
    <n v="11001.465211000001"/>
  </r>
  <r>
    <x v="55"/>
    <x v="4"/>
    <x v="1"/>
    <x v="0"/>
    <s v="KEPL/00509/82-83"/>
    <s v="SAFAL MART PVT.LTD"/>
    <x v="2"/>
    <x v="22"/>
    <n v="1.5"/>
    <n v="60"/>
    <n v="283.94"/>
    <n v="17036.400000000001"/>
    <n v="-1548.61"/>
    <n v="0"/>
    <n v="2013.4121269999998"/>
    <n v="17501.202127"/>
  </r>
  <r>
    <x v="55"/>
    <x v="4"/>
    <x v="1"/>
    <x v="0"/>
    <s v="KEPL/00509/82-83"/>
    <s v="SAFAL MART PVT.LTD"/>
    <x v="0"/>
    <x v="45"/>
    <n v="0.5"/>
    <n v="40"/>
    <n v="141.97"/>
    <n v="5678.7999999999993"/>
    <n v="-516.20000000000005"/>
    <n v="0"/>
    <n v="671.13780899999995"/>
    <n v="5833.7378090000002"/>
  </r>
  <r>
    <x v="55"/>
    <x v="4"/>
    <x v="1"/>
    <x v="0"/>
    <s v="KEPL/00509/82-83"/>
    <s v="SAFAL MART PVT.LTD"/>
    <x v="0"/>
    <x v="18"/>
    <n v="1"/>
    <n v="120"/>
    <n v="141.97"/>
    <n v="17036.400000000001"/>
    <n v="-1548.61"/>
    <n v="0"/>
    <n v="2013.4121269999998"/>
    <n v="17501.202127"/>
  </r>
  <r>
    <x v="55"/>
    <x v="4"/>
    <x v="1"/>
    <x v="0"/>
    <s v="KEPL/00509/82-83"/>
    <s v="SAFAL MART PVT.LTD"/>
    <x v="0"/>
    <x v="27"/>
    <n v="1"/>
    <n v="120"/>
    <n v="114.93"/>
    <n v="13791.6"/>
    <n v="-1253.6600000000001"/>
    <n v="0"/>
    <n v="1629.931736"/>
    <n v="14167.871735999999"/>
  </r>
  <r>
    <x v="55"/>
    <x v="4"/>
    <x v="1"/>
    <x v="0"/>
    <s v="KEPL/00509/82-83"/>
    <s v="SAFAL MART PVT.LTD"/>
    <x v="0"/>
    <x v="21"/>
    <n v="1"/>
    <n v="80"/>
    <n v="185.92"/>
    <n v="14873.6"/>
    <n v="-1352.01"/>
    <n v="0"/>
    <n v="1757.8062"/>
    <n v="15279.396199999999"/>
  </r>
  <r>
    <x v="56"/>
    <x v="5"/>
    <x v="1"/>
    <x v="0"/>
    <s v="KEPL/00512/82-83"/>
    <s v="UNITED DISTRIBUTOR"/>
    <x v="1"/>
    <x v="13"/>
    <n v="1"/>
    <n v="100"/>
    <n v="137.51"/>
    <n v="13751"/>
    <n v="-1249.97"/>
    <n v="-1745"/>
    <n v="0"/>
    <n v="10756.03"/>
  </r>
  <r>
    <x v="56"/>
    <x v="5"/>
    <x v="1"/>
    <x v="0"/>
    <s v="KEPL/00513/82-83"/>
    <s v="BEERA BARJEE INTERNATIONAL PVT.LTD"/>
    <x v="1"/>
    <x v="13"/>
    <n v="1"/>
    <n v="100"/>
    <n v="137.51"/>
    <n v="13751"/>
    <n v="-1249.97"/>
    <n v="0"/>
    <n v="0"/>
    <n v="12501.03"/>
  </r>
  <r>
    <x v="56"/>
    <x v="5"/>
    <x v="1"/>
    <x v="0"/>
    <s v="KEPL/00514/82-83"/>
    <s v="SHUBHASHREE MARKETING"/>
    <x v="1"/>
    <x v="13"/>
    <n v="2"/>
    <n v="200"/>
    <n v="137.51"/>
    <n v="27502"/>
    <n v="-2499.9299999999998"/>
    <n v="0"/>
    <n v="0"/>
    <n v="25002.07"/>
  </r>
  <r>
    <x v="56"/>
    <x v="5"/>
    <x v="1"/>
    <x v="0"/>
    <s v="KEPL/00515/82-83"/>
    <s v="GORIN TRADING "/>
    <x v="0"/>
    <x v="11"/>
    <n v="1"/>
    <n v="180"/>
    <n v="64.23"/>
    <n v="11561.4"/>
    <n v="-1050.9299999999998"/>
    <n v="0"/>
    <n v="1366.3610880000001"/>
    <n v="11876.831088000001"/>
  </r>
  <r>
    <x v="56"/>
    <x v="5"/>
    <x v="1"/>
    <x v="0"/>
    <s v="KEPL/00515/82-83"/>
    <s v="GORIN TRADING "/>
    <x v="4"/>
    <x v="29"/>
    <n v="2"/>
    <n v="240"/>
    <n v="57.46"/>
    <n v="13790.4"/>
    <n v="-1253.55"/>
    <n v="0"/>
    <n v="1629.7904850000002"/>
    <n v="14166.640485"/>
  </r>
  <r>
    <x v="56"/>
    <x v="5"/>
    <x v="1"/>
    <x v="0"/>
    <s v="KEPL/00515/82-83"/>
    <s v="GORIN TRADING "/>
    <x v="0"/>
    <x v="27"/>
    <n v="0.5"/>
    <n v="60"/>
    <n v="114.93"/>
    <n v="6895.8"/>
    <n v="-626.83000000000004"/>
    <n v="0"/>
    <n v="814.966093"/>
    <n v="7083.9360930000003"/>
  </r>
  <r>
    <x v="56"/>
    <x v="5"/>
    <x v="1"/>
    <x v="0"/>
    <s v="KEPL/00515/82-83"/>
    <s v="GORIN TRADING "/>
    <x v="0"/>
    <x v="21"/>
    <n v="0.75"/>
    <n v="60"/>
    <n v="185.92"/>
    <n v="11155.2"/>
    <n v="-1014.01"/>
    <n v="0"/>
    <n v="1318.3546879999999"/>
    <n v="11459.544688"/>
  </r>
  <r>
    <x v="56"/>
    <x v="5"/>
    <x v="1"/>
    <x v="0"/>
    <s v="KEPL/00515/82-83"/>
    <s v="GORIN TRADING "/>
    <x v="0"/>
    <x v="2"/>
    <n v="1"/>
    <n v="180"/>
    <n v="64.23"/>
    <n v="11561.4"/>
    <n v="-1050.9299999999998"/>
    <n v="0"/>
    <n v="1366.3610880000001"/>
    <n v="11876.831088000001"/>
  </r>
  <r>
    <x v="56"/>
    <x v="5"/>
    <x v="1"/>
    <x v="0"/>
    <s v="KEPL/00515/82-83"/>
    <s v="GORIN TRADING "/>
    <x v="0"/>
    <x v="0"/>
    <n v="1"/>
    <n v="180"/>
    <n v="64.23"/>
    <n v="11561.4"/>
    <n v="-1050.9299999999998"/>
    <n v="0"/>
    <n v="1366.3610880000001"/>
    <n v="11876.831088000001"/>
  </r>
  <r>
    <x v="56"/>
    <x v="5"/>
    <x v="1"/>
    <x v="0"/>
    <s v="KEPL/00515/82-83"/>
    <s v="GORIN TRADING "/>
    <x v="3"/>
    <x v="26"/>
    <n v="2"/>
    <n v="144"/>
    <n v="131.83000000000001"/>
    <n v="18983.52"/>
    <n v="-1725.6"/>
    <n v="0"/>
    <n v="2243.5295799999999"/>
    <n v="19501.44958"/>
  </r>
  <r>
    <x v="56"/>
    <x v="5"/>
    <x v="1"/>
    <x v="0"/>
    <s v="KEPL/00515/82-83"/>
    <s v="GORIN TRADING "/>
    <x v="3"/>
    <x v="25"/>
    <n v="2"/>
    <n v="96"/>
    <n v="310.99"/>
    <n v="29855.039999999997"/>
    <n v="-2713.82"/>
    <n v="0"/>
    <n v="3528.3585679999997"/>
    <n v="30669.578568000001"/>
  </r>
  <r>
    <x v="56"/>
    <x v="5"/>
    <x v="1"/>
    <x v="0"/>
    <s v="KEPL/00515/82-83"/>
    <s v="GORIN TRADING "/>
    <x v="0"/>
    <x v="9"/>
    <n v="1"/>
    <n v="180"/>
    <n v="70.989999999999995"/>
    <n v="12778.2"/>
    <n v="-1161.54"/>
    <n v="0"/>
    <n v="1510.1657869999999"/>
    <n v="13126.825787"/>
  </r>
  <r>
    <x v="56"/>
    <x v="5"/>
    <x v="1"/>
    <x v="0"/>
    <s v="KEPL/00515/82-83"/>
    <s v="GORIN TRADING "/>
    <x v="3"/>
    <x v="31"/>
    <n v="2"/>
    <n v="144"/>
    <n v="148.74"/>
    <n v="21418.559999999998"/>
    <n v="-1946.95"/>
    <n v="0"/>
    <n v="2531.3092770000003"/>
    <n v="22002.919277000001"/>
  </r>
  <r>
    <x v="56"/>
    <x v="5"/>
    <x v="1"/>
    <x v="0"/>
    <s v="KEPL/00515/82-83"/>
    <s v="GORIN TRADING "/>
    <x v="2"/>
    <x v="23"/>
    <n v="1"/>
    <n v="180"/>
    <n v="182.53"/>
    <n v="32855.4"/>
    <n v="-2986.56"/>
    <n v="0"/>
    <n v="3882.9491649999995"/>
    <n v="33751.789165000002"/>
  </r>
  <r>
    <x v="56"/>
    <x v="5"/>
    <x v="1"/>
    <x v="0"/>
    <s v="KEPL/00515/82-83"/>
    <s v="GORIN TRADING "/>
    <x v="0"/>
    <x v="17"/>
    <n v="0.33"/>
    <n v="60"/>
    <n v="121.69"/>
    <n v="7301.4000000000005"/>
    <n v="-663.7"/>
    <n v="0"/>
    <n v="862.90099199999997"/>
    <n v="7500.6009919999997"/>
  </r>
  <r>
    <x v="56"/>
    <x v="5"/>
    <x v="1"/>
    <x v="0"/>
    <s v="KEPL/00515/82-83"/>
    <s v="GORIN TRADING "/>
    <x v="0"/>
    <x v="16"/>
    <n v="0.5"/>
    <n v="60"/>
    <n v="121.69"/>
    <n v="7301.4000000000005"/>
    <n v="-663.7"/>
    <n v="0"/>
    <n v="862.90099199999997"/>
    <n v="7500.6009919999997"/>
  </r>
  <r>
    <x v="56"/>
    <x v="5"/>
    <x v="1"/>
    <x v="0"/>
    <s v="KEPL/00515/82-83"/>
    <s v="GORIN TRADING "/>
    <x v="0"/>
    <x v="14"/>
    <n v="0.33"/>
    <n v="60"/>
    <n v="135.21"/>
    <n v="8112.6"/>
    <n v="-737.44"/>
    <n v="0"/>
    <n v="958.77079100000003"/>
    <n v="8333.9307910000007"/>
  </r>
  <r>
    <x v="56"/>
    <x v="5"/>
    <x v="1"/>
    <x v="0"/>
    <s v="KEPL/00515/82-83"/>
    <s v="GORIN TRADING "/>
    <x v="0"/>
    <x v="20"/>
    <n v="0.5"/>
    <n v="60"/>
    <n v="121.69"/>
    <n v="7301.4000000000005"/>
    <n v="-663.7"/>
    <n v="0"/>
    <n v="862.90099199999997"/>
    <n v="7500.6009919999997"/>
  </r>
  <r>
    <x v="56"/>
    <x v="5"/>
    <x v="1"/>
    <x v="0"/>
    <s v="KEPL/00515/82-83"/>
    <s v="GORIN TRADING "/>
    <x v="2"/>
    <x v="5"/>
    <n v="1"/>
    <n v="180"/>
    <n v="94.65"/>
    <n v="17037"/>
    <n v="-1548.6599999999999"/>
    <n v="0"/>
    <n v="2013.4841820000001"/>
    <n v="17501.824182"/>
  </r>
  <r>
    <x v="56"/>
    <x v="5"/>
    <x v="1"/>
    <x v="0"/>
    <s v="KEPL/00515/82-83"/>
    <s v="GORIN TRADING "/>
    <x v="2"/>
    <x v="7"/>
    <n v="1"/>
    <n v="120"/>
    <n v="152.11000000000001"/>
    <n v="18253.2"/>
    <n v="-1659.2199999999998"/>
    <n v="0"/>
    <n v="2157.2173809999999"/>
    <n v="18751.197381000002"/>
  </r>
  <r>
    <x v="56"/>
    <x v="5"/>
    <x v="1"/>
    <x v="0"/>
    <s v="KEPL/00515/82-83"/>
    <s v="GORIN TRADING "/>
    <x v="0"/>
    <x v="32"/>
    <n v="1"/>
    <n v="120"/>
    <n v="64.23"/>
    <n v="7707.5999999999995"/>
    <n v="-700.62"/>
    <n v="0"/>
    <n v="910.90739199999996"/>
    <n v="7917.8873919999996"/>
  </r>
  <r>
    <x v="56"/>
    <x v="5"/>
    <x v="1"/>
    <x v="0"/>
    <s v="KEPL/00515/82-83"/>
    <s v="GORIN TRADING "/>
    <x v="0"/>
    <x v="18"/>
    <n v="1"/>
    <n v="120"/>
    <n v="141.97"/>
    <n v="17036.400000000001"/>
    <n v="-1548.61"/>
    <n v="0"/>
    <n v="2013.4126820000001"/>
    <n v="17501.202681999999"/>
  </r>
  <r>
    <x v="56"/>
    <x v="5"/>
    <x v="1"/>
    <x v="0"/>
    <s v="KEPL/00515/82-83"/>
    <s v="GORIN TRADING "/>
    <x v="4"/>
    <x v="30"/>
    <n v="2"/>
    <n v="120"/>
    <n v="98.03"/>
    <n v="11763.6"/>
    <n v="-1069.3100000000002"/>
    <n v="0"/>
    <n v="1390.2576879999999"/>
    <n v="12084.547688000001"/>
  </r>
  <r>
    <x v="56"/>
    <x v="5"/>
    <x v="1"/>
    <x v="0"/>
    <s v="KEPL/00516/82-83"/>
    <s v="WELSON TRADE &amp; RASAN MART"/>
    <x v="0"/>
    <x v="18"/>
    <n v="1"/>
    <n v="120"/>
    <n v="141.97"/>
    <n v="17036.400000000001"/>
    <n v="-1548.61"/>
    <n v="0"/>
    <n v="2013.4131739999998"/>
    <n v="17501.203173999998"/>
  </r>
  <r>
    <x v="56"/>
    <x v="5"/>
    <x v="1"/>
    <x v="0"/>
    <s v="KEPL/00516/82-83"/>
    <s v="WELSON TRADE &amp; RASAN MART"/>
    <x v="0"/>
    <x v="42"/>
    <n v="1"/>
    <n v="120"/>
    <n v="94.65"/>
    <n v="11358"/>
    <n v="-1032.44"/>
    <n v="0"/>
    <n v="1342.323116"/>
    <n v="11667.883116000001"/>
  </r>
  <r>
    <x v="56"/>
    <x v="5"/>
    <x v="1"/>
    <x v="0"/>
    <s v="KEPL/00516/82-83"/>
    <s v="WELSON TRADE &amp; RASAN MART"/>
    <x v="2"/>
    <x v="5"/>
    <n v="1"/>
    <n v="180"/>
    <n v="94.65"/>
    <n v="17037"/>
    <n v="-1548.6599999999999"/>
    <n v="0"/>
    <n v="2013.484674"/>
    <n v="17501.824674"/>
  </r>
  <r>
    <x v="56"/>
    <x v="5"/>
    <x v="1"/>
    <x v="0"/>
    <s v="KEPL/00516/82-83"/>
    <s v="WELSON TRADE &amp; RASAN MART"/>
    <x v="0"/>
    <x v="2"/>
    <n v="1"/>
    <n v="180"/>
    <n v="64.23"/>
    <n v="11561.4"/>
    <n v="-1050.9299999999998"/>
    <n v="0"/>
    <n v="1366.3614220000002"/>
    <n v="11876.831421999999"/>
  </r>
  <r>
    <x v="56"/>
    <x v="5"/>
    <x v="1"/>
    <x v="0"/>
    <s v="KEPL/00516/82-83"/>
    <s v="WELSON TRADE &amp; RASAN MART"/>
    <x v="0"/>
    <x v="32"/>
    <n v="1"/>
    <n v="120"/>
    <n v="64.23"/>
    <n v="7707.5999999999995"/>
    <n v="-700.62"/>
    <n v="0"/>
    <n v="910.90761399999997"/>
    <n v="7917.8876140000002"/>
  </r>
  <r>
    <x v="56"/>
    <x v="5"/>
    <x v="1"/>
    <x v="0"/>
    <s v="KEPL/00517/82-83"/>
    <s v="SAMPURNA TRADERS"/>
    <x v="4"/>
    <x v="30"/>
    <n v="5"/>
    <n v="300"/>
    <n v="98.03"/>
    <n v="29409.000000000004"/>
    <n v="-2673.28"/>
    <n v="0"/>
    <n v="3475.6436799999997"/>
    <n v="30211.363679999999"/>
  </r>
  <r>
    <x v="56"/>
    <x v="5"/>
    <x v="1"/>
    <x v="0"/>
    <s v="KEPL/00517/82-83"/>
    <s v="SAMPURNA TRADERS"/>
    <x v="3"/>
    <x v="31"/>
    <n v="2"/>
    <n v="144"/>
    <n v="148.72999999999999"/>
    <n v="21417.119999999999"/>
    <n v="-1946.82"/>
    <n v="0"/>
    <n v="2531.1390579999997"/>
    <n v="22001.439058"/>
  </r>
  <r>
    <x v="56"/>
    <x v="5"/>
    <x v="1"/>
    <x v="0"/>
    <s v="KEPL/00517/82-83"/>
    <s v="SAMPURNA TRADERS"/>
    <x v="1"/>
    <x v="3"/>
    <n v="2"/>
    <n v="80"/>
    <n v="393.46"/>
    <n v="31476.799999999999"/>
    <n v="-2861.2400000000002"/>
    <n v="0"/>
    <n v="3720.0228860000002"/>
    <n v="32335.582886"/>
  </r>
  <r>
    <x v="56"/>
    <x v="5"/>
    <x v="1"/>
    <x v="0"/>
    <s v="KEPL/00517/82-83"/>
    <s v="SAMPURNA TRADERS"/>
    <x v="0"/>
    <x v="2"/>
    <n v="1"/>
    <n v="180"/>
    <n v="64.23"/>
    <n v="11561.4"/>
    <n v="-1050.9299999999998"/>
    <n v="0"/>
    <n v="1366.361132"/>
    <n v="11876.831131999999"/>
  </r>
  <r>
    <x v="56"/>
    <x v="5"/>
    <x v="1"/>
    <x v="0"/>
    <s v="KEPL/00517/82-83"/>
    <s v="SAMPURNA TRADERS"/>
    <x v="1"/>
    <x v="6"/>
    <n v="5"/>
    <n v="500"/>
    <n v="162.26"/>
    <n v="81130"/>
    <n v="-7374.72"/>
    <n v="0"/>
    <n v="9588.1866210000007"/>
    <n v="83343.466621"/>
  </r>
  <r>
    <x v="56"/>
    <x v="5"/>
    <x v="1"/>
    <x v="0"/>
    <s v="KEPL/00517/82-83"/>
    <s v="SAMPURNA TRADERS"/>
    <x v="2"/>
    <x v="33"/>
    <n v="1"/>
    <n v="180"/>
    <n v="91.27"/>
    <n v="16428.599999999999"/>
    <n v="-1493.36"/>
    <n v="0"/>
    <n v="1941.5812449999999"/>
    <n v="16876.821244999999"/>
  </r>
  <r>
    <x v="56"/>
    <x v="5"/>
    <x v="1"/>
    <x v="0"/>
    <s v="KEPL/00517/82-83"/>
    <s v="SAMPURNA TRADERS"/>
    <x v="2"/>
    <x v="5"/>
    <n v="1"/>
    <n v="180"/>
    <n v="94.65"/>
    <n v="17037"/>
    <n v="-1548.6599999999999"/>
    <n v="0"/>
    <n v="2013.484246"/>
    <n v="17501.824246"/>
  </r>
  <r>
    <x v="56"/>
    <x v="5"/>
    <x v="1"/>
    <x v="0"/>
    <s v="KEPL/00517/82-83"/>
    <s v="SAMPURNA TRADERS"/>
    <x v="0"/>
    <x v="11"/>
    <n v="1"/>
    <n v="180"/>
    <n v="64.23"/>
    <n v="11561.4"/>
    <n v="-1050.9299999999998"/>
    <n v="0"/>
    <n v="1366.361132"/>
    <n v="11876.831131999999"/>
  </r>
  <r>
    <x v="56"/>
    <x v="5"/>
    <x v="1"/>
    <x v="0"/>
    <s v="KEPL/00518/82-83"/>
    <s v="NEPAL SENA SUPATH MULYA CANTEEN"/>
    <x v="3"/>
    <x v="26"/>
    <n v="1"/>
    <n v="72"/>
    <n v="132.74"/>
    <n v="9557.2799999999988"/>
    <n v="0"/>
    <n v="0"/>
    <n v="1242.4466640000001"/>
    <n v="10799.726664"/>
  </r>
  <r>
    <x v="56"/>
    <x v="5"/>
    <x v="1"/>
    <x v="0"/>
    <s v="KEPL/00518/82-83"/>
    <s v="NEPAL SENA SUPATH MULYA CANTEEN"/>
    <x v="0"/>
    <x v="14"/>
    <n v="1"/>
    <n v="180"/>
    <n v="136.15"/>
    <n v="24507"/>
    <n v="0"/>
    <n v="0"/>
    <n v="3185.9106769999999"/>
    <n v="27692.910677"/>
  </r>
  <r>
    <x v="56"/>
    <x v="5"/>
    <x v="1"/>
    <x v="0"/>
    <s v="KEPL/00518/82-83"/>
    <s v="NEPAL SENA SUPATH MULYA CANTEEN"/>
    <x v="3"/>
    <x v="31"/>
    <n v="1"/>
    <n v="72"/>
    <n v="149.76"/>
    <n v="10782.72"/>
    <n v="0"/>
    <n v="0"/>
    <n v="1401.7538979999999"/>
    <n v="12184.473898"/>
  </r>
  <r>
    <x v="56"/>
    <x v="5"/>
    <x v="1"/>
    <x v="0"/>
    <s v="KEPL/00518/82-83"/>
    <s v="NEPAL SENA SUPATH MULYA CANTEEN"/>
    <x v="0"/>
    <x v="15"/>
    <n v="1"/>
    <n v="180"/>
    <n v="115.72"/>
    <n v="20829.599999999999"/>
    <n v="0"/>
    <n v="0"/>
    <n v="2707.8485759999999"/>
    <n v="23537.448575999999"/>
  </r>
  <r>
    <x v="56"/>
    <x v="5"/>
    <x v="1"/>
    <x v="0"/>
    <s v="KEPL/00518/82-83"/>
    <s v="NEPAL SENA SUPATH MULYA CANTEEN"/>
    <x v="2"/>
    <x v="8"/>
    <n v="1"/>
    <n v="120"/>
    <n v="51.06"/>
    <n v="6127.2"/>
    <n v="0"/>
    <n v="0"/>
    <n v="796.53616899999997"/>
    <n v="6923.7361689999998"/>
  </r>
  <r>
    <x v="56"/>
    <x v="5"/>
    <x v="1"/>
    <x v="0"/>
    <s v="KEPL/00518/82-83"/>
    <s v="NEPAL SENA SUPATH MULYA CANTEEN"/>
    <x v="3"/>
    <x v="25"/>
    <n v="1"/>
    <n v="48"/>
    <n v="313.14"/>
    <n v="15030.72"/>
    <n v="0"/>
    <n v="0"/>
    <n v="1953.994015"/>
    <n v="16984.714015000001"/>
  </r>
  <r>
    <x v="56"/>
    <x v="5"/>
    <x v="1"/>
    <x v="0"/>
    <s v="KEPL/00519/82-83"/>
    <s v="NEPAL SENA SUPATH MULYA CANTEEN"/>
    <x v="0"/>
    <x v="11"/>
    <n v="0.5"/>
    <n v="90"/>
    <n v="64.67"/>
    <n v="5820.3"/>
    <n v="0"/>
    <n v="0"/>
    <n v="756.639588"/>
    <n v="6576.9395880000002"/>
  </r>
  <r>
    <x v="56"/>
    <x v="5"/>
    <x v="1"/>
    <x v="0"/>
    <s v="KEPL/00519/82-83"/>
    <s v="NEPAL SENA SUPATH MULYA CANTEEN"/>
    <x v="0"/>
    <x v="2"/>
    <n v="0.5"/>
    <n v="90"/>
    <n v="64.67"/>
    <n v="5820.3"/>
    <n v="0"/>
    <n v="0"/>
    <n v="756.639588"/>
    <n v="6576.9395880000002"/>
  </r>
  <r>
    <x v="56"/>
    <x v="5"/>
    <x v="1"/>
    <x v="0"/>
    <s v="KEPL/00519/82-83"/>
    <s v="NEPAL SENA SUPATH MULYA CANTEEN"/>
    <x v="1"/>
    <x v="6"/>
    <n v="0.5"/>
    <n v="50"/>
    <n v="163.38"/>
    <n v="8169"/>
    <n v="0"/>
    <n v="0"/>
    <n v="1061.9708250000001"/>
    <n v="9230.9708250000003"/>
  </r>
  <r>
    <x v="56"/>
    <x v="5"/>
    <x v="1"/>
    <x v="0"/>
    <s v="KEPL/00520/82-83"/>
    <s v="NEPAL SENA SUPATH MULYA CANTEEN"/>
    <x v="1"/>
    <x v="13"/>
    <n v="0.5"/>
    <n v="50"/>
    <n v="130.77000000000001"/>
    <n v="6538.5"/>
    <s v=""/>
    <s v=""/>
    <s v=""/>
    <n v="6538.5"/>
  </r>
  <r>
    <x v="56"/>
    <x v="5"/>
    <x v="1"/>
    <x v="0"/>
    <s v="KEPL/00521/82-83"/>
    <s v="MEGA MART PVT.LTD"/>
    <x v="3"/>
    <x v="31"/>
    <n v="9"/>
    <n v="648"/>
    <n v="140.18"/>
    <n v="90836.64"/>
    <n v="0"/>
    <n v="0"/>
    <n v="11808.764793"/>
    <n v="102645.40479299999"/>
  </r>
  <r>
    <x v="56"/>
    <x v="5"/>
    <x v="1"/>
    <x v="0"/>
    <s v="KEPL/00521/82-83"/>
    <s v="MEGA MART PVT.LTD"/>
    <x v="3"/>
    <x v="25"/>
    <n v="13"/>
    <n v="624"/>
    <n v="293.10000000000002"/>
    <n v="182894.40000000002"/>
    <n v="0"/>
    <n v="0"/>
    <n v="23776.275207000002"/>
    <n v="206670.67520699999"/>
  </r>
  <r>
    <x v="56"/>
    <x v="5"/>
    <x v="1"/>
    <x v="0"/>
    <s v="KEPL/00523/82-83"/>
    <s v="SIMPEX SOLUTION PVT. LTD"/>
    <x v="1"/>
    <x v="13"/>
    <n v="0.05"/>
    <n v="5"/>
    <n v="144"/>
    <n v="720"/>
    <s v=""/>
    <s v=""/>
    <s v=""/>
    <n v="720"/>
  </r>
  <r>
    <x v="56"/>
    <x v="5"/>
    <x v="1"/>
    <x v="0"/>
    <s v="KEPL/00524/82-83"/>
    <s v="SIMPEX SOLUTION PVT. LTD"/>
    <x v="0"/>
    <x v="39"/>
    <n v="0.03"/>
    <n v="5"/>
    <n v="87.79"/>
    <n v="438.95"/>
    <n v="0"/>
    <n v="0"/>
    <n v="57.063437999999998"/>
    <n v="496.01343800000001"/>
  </r>
  <r>
    <x v="56"/>
    <x v="5"/>
    <x v="1"/>
    <x v="0"/>
    <s v="KEPL/00524/82-83"/>
    <s v="SIMPEX SOLUTION PVT. LTD"/>
    <x v="0"/>
    <x v="18"/>
    <n v="0.13"/>
    <n v="15"/>
    <n v="148.66999999999999"/>
    <n v="2230.0499999999997"/>
    <n v="0"/>
    <n v="0"/>
    <n v="289.906184"/>
    <n v="2519.9561840000001"/>
  </r>
  <r>
    <x v="56"/>
    <x v="5"/>
    <x v="1"/>
    <x v="0"/>
    <s v="KEPL/00524/82-83"/>
    <s v="SIMPEX SOLUTION PVT. LTD"/>
    <x v="0"/>
    <x v="42"/>
    <n v="0.04"/>
    <n v="5"/>
    <n v="99.12"/>
    <n v="495.6"/>
    <n v="0"/>
    <n v="0"/>
    <n v="64.427930000000003"/>
    <n v="560.02792999999997"/>
  </r>
  <r>
    <x v="56"/>
    <x v="5"/>
    <x v="1"/>
    <x v="0"/>
    <s v="KEPL/00524/82-83"/>
    <s v="SIMPEX SOLUTION PVT. LTD"/>
    <x v="0"/>
    <x v="37"/>
    <n v="0.03"/>
    <n v="5"/>
    <n v="102.65"/>
    <n v="513.25"/>
    <n v="0"/>
    <n v="0"/>
    <n v="66.72242700000001"/>
    <n v="579.97242700000004"/>
  </r>
  <r>
    <x v="56"/>
    <x v="5"/>
    <x v="1"/>
    <x v="0"/>
    <s v="KEPL/00524/82-83"/>
    <s v="SIMPEX SOLUTION PVT. LTD"/>
    <x v="3"/>
    <x v="46"/>
    <n v="0.05"/>
    <n v="5"/>
    <n v="102.65"/>
    <n v="513.25"/>
    <n v="0"/>
    <n v="0"/>
    <n v="66.72242700000001"/>
    <n v="579.97242700000004"/>
  </r>
  <r>
    <x v="56"/>
    <x v="5"/>
    <x v="1"/>
    <x v="0"/>
    <s v="KEPL/00524/82-83"/>
    <s v="SIMPEX SOLUTION PVT. LTD"/>
    <x v="0"/>
    <x v="44"/>
    <n v="0.03"/>
    <n v="5"/>
    <n v="134.51"/>
    <n v="672.55000000000007"/>
    <n v="0"/>
    <n v="0"/>
    <n v="87.431404999999998"/>
    <n v="759.981405"/>
  </r>
  <r>
    <x v="56"/>
    <x v="5"/>
    <x v="1"/>
    <x v="0"/>
    <s v="KEPL/00524/82-83"/>
    <s v="SIMPEX SOLUTION PVT. LTD"/>
    <x v="4"/>
    <x v="29"/>
    <n v="1.18"/>
    <n v="142"/>
    <n v="60.18"/>
    <n v="8545.56"/>
    <n v="0"/>
    <n v="0"/>
    <n v="1110.9215880000002"/>
    <n v="9656.4815880000006"/>
  </r>
  <r>
    <x v="56"/>
    <x v="5"/>
    <x v="1"/>
    <x v="0"/>
    <s v="KEPL/00524/82-83"/>
    <s v="SIMPEX SOLUTION PVT. LTD"/>
    <x v="3"/>
    <x v="31"/>
    <n v="0.25"/>
    <n v="18"/>
    <n v="155.75"/>
    <n v="2803.5"/>
    <n v="0"/>
    <n v="0"/>
    <n v="364.45460200000002"/>
    <n v="3167.9546019999998"/>
  </r>
  <r>
    <x v="57"/>
    <x v="5"/>
    <x v="1"/>
    <x v="0"/>
    <s v="KEPL/00530/82-83"/>
    <s v="DS SPICECO L &amp; D"/>
    <x v="3"/>
    <x v="31"/>
    <n v="0.01"/>
    <n v="1"/>
    <n v="148.72999999999999"/>
    <n v="148.72999999999999"/>
    <n v="-13.52"/>
    <n v="0"/>
    <n v="17.578465999999999"/>
    <n v="152.788466"/>
  </r>
  <r>
    <x v="57"/>
    <x v="5"/>
    <x v="1"/>
    <x v="0"/>
    <s v="KEPL/00530/82-83"/>
    <s v="DS SPICECO L &amp; D"/>
    <x v="3"/>
    <x v="26"/>
    <n v="0.01"/>
    <n v="1"/>
    <n v="131.83000000000001"/>
    <n v="131.83000000000001"/>
    <n v="-11.98"/>
    <n v="0"/>
    <n v="15.581534"/>
    <n v="135.431534"/>
  </r>
  <r>
    <x v="58"/>
    <x v="5"/>
    <x v="1"/>
    <x v="0"/>
    <s v="KEPL/00540/82-83"/>
    <s v="ISHWORI SUPPLIERS"/>
    <x v="3"/>
    <x v="26"/>
    <n v="1"/>
    <n v="72"/>
    <n v="131.83000000000001"/>
    <n v="9491.76"/>
    <n v="-862.8"/>
    <n v="0"/>
    <n v="1121.764872"/>
    <n v="9750.7248720000007"/>
  </r>
  <r>
    <x v="58"/>
    <x v="5"/>
    <x v="1"/>
    <x v="0"/>
    <s v="KEPL/00540/82-83"/>
    <s v="ISHWORI SUPPLIERS"/>
    <x v="0"/>
    <x v="10"/>
    <n v="1"/>
    <n v="180"/>
    <n v="60.84"/>
    <n v="10951.199999999999"/>
    <n v="-995.46"/>
    <n v="0"/>
    <n v="1294.2462829999999"/>
    <n v="11249.986283"/>
  </r>
  <r>
    <x v="58"/>
    <x v="5"/>
    <x v="1"/>
    <x v="0"/>
    <s v="KEPL/00540/82-83"/>
    <s v="ISHWORI SUPPLIERS"/>
    <x v="2"/>
    <x v="33"/>
    <n v="1"/>
    <n v="180"/>
    <n v="91.27"/>
    <n v="16428.599999999999"/>
    <n v="-1493.36"/>
    <n v="0"/>
    <n v="1941.581324"/>
    <n v="16876.821324"/>
  </r>
  <r>
    <x v="58"/>
    <x v="5"/>
    <x v="1"/>
    <x v="0"/>
    <s v="KEPL/00540/82-83"/>
    <s v="ISHWORI SUPPLIERS"/>
    <x v="3"/>
    <x v="47"/>
    <n v="1"/>
    <n v="100"/>
    <n v="70.989999999999995"/>
    <n v="7099"/>
    <n v="-645.29999999999995"/>
    <n v="0"/>
    <n v="838.98105399999997"/>
    <n v="7292.6810539999997"/>
  </r>
  <r>
    <x v="58"/>
    <x v="5"/>
    <x v="1"/>
    <x v="0"/>
    <s v="KEPL/00540/82-83"/>
    <s v="ISHWORI SUPPLIERS"/>
    <x v="0"/>
    <x v="39"/>
    <n v="1"/>
    <n v="180"/>
    <n v="83.82"/>
    <n v="15087.6"/>
    <n v="-1371.4599999999998"/>
    <n v="0"/>
    <n v="1783.0983140000001"/>
    <n v="15499.238314"/>
  </r>
  <r>
    <x v="58"/>
    <x v="5"/>
    <x v="1"/>
    <x v="0"/>
    <s v="KEPL/00540/82-83"/>
    <s v="ISHWORI SUPPLIERS"/>
    <x v="0"/>
    <x v="32"/>
    <n v="1"/>
    <n v="120"/>
    <n v="64.23"/>
    <n v="7707.5999999999995"/>
    <n v="-700.62"/>
    <n v="0"/>
    <n v="910.90745800000002"/>
    <n v="7917.8874580000002"/>
  </r>
  <r>
    <x v="58"/>
    <x v="5"/>
    <x v="1"/>
    <x v="0"/>
    <s v="KEPL/00540/82-83"/>
    <s v="ISHWORI SUPPLIERS"/>
    <x v="3"/>
    <x v="46"/>
    <n v="1"/>
    <n v="100"/>
    <n v="98.03"/>
    <n v="9803"/>
    <n v="-891.08999999999992"/>
    <n v="0"/>
    <n v="1158.548374"/>
    <n v="10070.458374"/>
  </r>
  <r>
    <x v="58"/>
    <x v="5"/>
    <x v="1"/>
    <x v="0"/>
    <s v="KEPL/00540/82-83"/>
    <s v="ISHWORI SUPPLIERS"/>
    <x v="0"/>
    <x v="0"/>
    <n v="1"/>
    <n v="180"/>
    <n v="64.23"/>
    <n v="11561.4"/>
    <n v="-1050.9299999999998"/>
    <n v="0"/>
    <n v="1366.361187"/>
    <n v="11876.831187"/>
  </r>
  <r>
    <x v="58"/>
    <x v="5"/>
    <x v="1"/>
    <x v="0"/>
    <s v="KEPL/00540/82-83"/>
    <s v="ISHWORI SUPPLIERS"/>
    <x v="3"/>
    <x v="31"/>
    <n v="1"/>
    <n v="72"/>
    <n v="148.74"/>
    <n v="10709.279999999999"/>
    <n v="-973.47"/>
    <n v="0"/>
    <n v="1265.655381"/>
    <n v="11001.465381"/>
  </r>
  <r>
    <x v="58"/>
    <x v="5"/>
    <x v="1"/>
    <x v="0"/>
    <s v="KEPL/00540/82-83"/>
    <s v="ISHWORI SUPPLIERS"/>
    <x v="0"/>
    <x v="18"/>
    <n v="1"/>
    <n v="120"/>
    <n v="141.97"/>
    <n v="17036.400000000001"/>
    <n v="-1548.61"/>
    <n v="0"/>
    <n v="2013.4128290000001"/>
    <n v="17501.202829000002"/>
  </r>
  <r>
    <x v="58"/>
    <x v="5"/>
    <x v="1"/>
    <x v="0"/>
    <s v="KEPL/00540/82-83"/>
    <s v="ISHWORI SUPPLIERS"/>
    <x v="3"/>
    <x v="25"/>
    <n v="1"/>
    <n v="48"/>
    <n v="310.99"/>
    <n v="14927.519999999999"/>
    <n v="-1356.91"/>
    <n v="0"/>
    <n v="1764.1794130000001"/>
    <n v="15334.789413"/>
  </r>
  <r>
    <x v="58"/>
    <x v="5"/>
    <x v="1"/>
    <x v="0"/>
    <s v="KEPL/00540/82-83"/>
    <s v="ISHWORI SUPPLIERS"/>
    <x v="0"/>
    <x v="11"/>
    <n v="1"/>
    <n v="180"/>
    <n v="64.23"/>
    <n v="11561.4"/>
    <n v="-1050.9299999999998"/>
    <n v="0"/>
    <n v="1366.361187"/>
    <n v="11876.831187"/>
  </r>
  <r>
    <x v="58"/>
    <x v="5"/>
    <x v="1"/>
    <x v="0"/>
    <s v="KEPL/00540/82-83"/>
    <s v="ISHWORI SUPPLIERS"/>
    <x v="2"/>
    <x v="5"/>
    <n v="1"/>
    <n v="180"/>
    <n v="94.65"/>
    <n v="17037"/>
    <n v="-1548.6599999999999"/>
    <n v="0"/>
    <n v="2013.4843290000001"/>
    <n v="17501.824328999999"/>
  </r>
  <r>
    <x v="58"/>
    <x v="5"/>
    <x v="1"/>
    <x v="0"/>
    <s v="KEPL/00540/82-83"/>
    <s v="ISHWORI SUPPLIERS"/>
    <x v="0"/>
    <x v="2"/>
    <n v="1"/>
    <n v="180"/>
    <n v="64.23"/>
    <n v="11561.4"/>
    <n v="-1050.9299999999998"/>
    <n v="0"/>
    <n v="1366.361187"/>
    <n v="11876.831187"/>
  </r>
  <r>
    <x v="58"/>
    <x v="5"/>
    <x v="1"/>
    <x v="0"/>
    <s v="KEPL/00540/82-83"/>
    <s v="ISHWORI SUPPLIERS"/>
    <x v="0"/>
    <x v="48"/>
    <n v="1"/>
    <n v="180"/>
    <n v="81.14"/>
    <n v="14605.199999999999"/>
    <n v="-1327.61"/>
    <n v="0"/>
    <n v="1726.08681"/>
    <n v="15003.676810000001"/>
  </r>
  <r>
    <x v="58"/>
    <x v="5"/>
    <x v="1"/>
    <x v="0"/>
    <s v="KEPL/00541/82-83"/>
    <s v="BEERA BARJEE INTERNATIONAL PVT.LTD"/>
    <x v="4"/>
    <x v="29"/>
    <n v="1"/>
    <n v="120"/>
    <n v="57.46"/>
    <n v="6895.2"/>
    <n v="-626.77"/>
    <n v="-239.845653"/>
    <n v="783.716227"/>
    <n v="6812.3005739999999"/>
  </r>
  <r>
    <x v="58"/>
    <x v="5"/>
    <x v="1"/>
    <x v="0"/>
    <s v="KEPL/00541/82-83"/>
    <s v="BEERA BARJEE INTERNATIONAL PVT.LTD"/>
    <x v="4"/>
    <x v="30"/>
    <n v="3"/>
    <n v="180"/>
    <n v="98.03"/>
    <n v="17645.400000000001"/>
    <n v="-1603.97"/>
    <n v="-613.78483200000005"/>
    <n v="2005.5945429999999"/>
    <n v="17433.239710999998"/>
  </r>
  <r>
    <x v="58"/>
    <x v="5"/>
    <x v="1"/>
    <x v="0"/>
    <s v="KEPL/00541/82-83"/>
    <s v="BEERA BARJEE INTERNATIONAL PVT.LTD"/>
    <x v="0"/>
    <x v="21"/>
    <n v="1"/>
    <n v="80"/>
    <n v="185.92"/>
    <n v="14873.6"/>
    <n v="-1352.01"/>
    <n v="-517.36951399999998"/>
    <n v="1690.549229"/>
    <n v="14694.769715"/>
  </r>
  <r>
    <x v="59"/>
    <x v="5"/>
    <x v="1"/>
    <x v="0"/>
    <s v="KEPL/00544/82-83"/>
    <s v="WELSON TRADE &amp; RASAN MART"/>
    <x v="0"/>
    <x v="11"/>
    <n v="2"/>
    <n v="360"/>
    <n v="64.23"/>
    <n v="23122.799999999999"/>
    <n v="-2101.8599999999997"/>
    <n v="0"/>
    <n v="2732.7217740000001"/>
    <n v="23753.661774"/>
  </r>
  <r>
    <x v="59"/>
    <x v="5"/>
    <x v="1"/>
    <x v="0"/>
    <s v="KEPL/00544/82-83"/>
    <s v="WELSON TRADE &amp; RASAN MART"/>
    <x v="0"/>
    <x v="9"/>
    <n v="1"/>
    <n v="180"/>
    <n v="70.989999999999995"/>
    <n v="12778.2"/>
    <n v="-1161.54"/>
    <n v="0"/>
    <n v="1510.165565"/>
    <n v="13126.825564999999"/>
  </r>
  <r>
    <x v="59"/>
    <x v="5"/>
    <x v="1"/>
    <x v="0"/>
    <s v="KEPL/00544/82-83"/>
    <s v="WELSON TRADE &amp; RASAN MART"/>
    <x v="0"/>
    <x v="2"/>
    <n v="3"/>
    <n v="540"/>
    <n v="64.23"/>
    <n v="34684.199999999997"/>
    <n v="-3152.79"/>
    <n v="0"/>
    <n v="4099.0826609999995"/>
    <n v="35630.492660999997"/>
  </r>
  <r>
    <x v="59"/>
    <x v="5"/>
    <x v="1"/>
    <x v="0"/>
    <s v="KEPL/00545/82-83"/>
    <s v="GORIN TRADING "/>
    <x v="0"/>
    <x v="48"/>
    <n v="0.5"/>
    <n v="90"/>
    <n v="81.14"/>
    <n v="7302.5999999999995"/>
    <n v="-663.81"/>
    <n v="0"/>
    <n v="863.04272900000001"/>
    <n v="7501.8327289999997"/>
  </r>
  <r>
    <x v="59"/>
    <x v="5"/>
    <x v="1"/>
    <x v="0"/>
    <s v="KEPL/00545/82-83"/>
    <s v="GORIN TRADING "/>
    <x v="2"/>
    <x v="33"/>
    <n v="1"/>
    <n v="180"/>
    <n v="91.27"/>
    <n v="16428.599999999999"/>
    <n v="-1493.36"/>
    <n v="0"/>
    <n v="1941.581265"/>
    <n v="16876.821264999999"/>
  </r>
  <r>
    <x v="59"/>
    <x v="5"/>
    <x v="1"/>
    <x v="0"/>
    <s v="KEPL/00545/82-83"/>
    <s v="GORIN TRADING "/>
    <x v="3"/>
    <x v="25"/>
    <n v="1"/>
    <n v="48"/>
    <n v="310.99"/>
    <n v="14927.519999999999"/>
    <n v="-1356.91"/>
    <n v="0"/>
    <n v="1764.179359"/>
    <n v="15334.789359"/>
  </r>
  <r>
    <x v="59"/>
    <x v="5"/>
    <x v="1"/>
    <x v="0"/>
    <s v="KEPL/00545/82-83"/>
    <s v="GORIN TRADING "/>
    <x v="0"/>
    <x v="20"/>
    <n v="1"/>
    <n v="120"/>
    <n v="121.69"/>
    <n v="14602.800000000001"/>
    <n v="-1327.39"/>
    <n v="0"/>
    <n v="1725.8033580000001"/>
    <n v="15001.213358000001"/>
  </r>
  <r>
    <x v="59"/>
    <x v="5"/>
    <x v="1"/>
    <x v="0"/>
    <s v="KEPL/00545/82-83"/>
    <s v="GORIN TRADING "/>
    <x v="0"/>
    <x v="17"/>
    <n v="1"/>
    <n v="180"/>
    <n v="121.69"/>
    <n v="21904.199999999997"/>
    <n v="-1991.09"/>
    <n v="0"/>
    <n v="2588.7043859999999"/>
    <n v="22501.814385999998"/>
  </r>
  <r>
    <x v="59"/>
    <x v="5"/>
    <x v="1"/>
    <x v="0"/>
    <s v="KEPL/00545/82-83"/>
    <s v="GORIN TRADING "/>
    <x v="1"/>
    <x v="6"/>
    <n v="1"/>
    <n v="100"/>
    <n v="162.26"/>
    <n v="16226"/>
    <n v="-1474.94"/>
    <n v="0"/>
    <n v="1917.637864"/>
    <n v="16668.697864000002"/>
  </r>
  <r>
    <x v="59"/>
    <x v="5"/>
    <x v="1"/>
    <x v="0"/>
    <s v="KEPL/00545/82-83"/>
    <s v="GORIN TRADING "/>
    <x v="0"/>
    <x v="16"/>
    <n v="1"/>
    <n v="120"/>
    <n v="121.69"/>
    <n v="14602.800000000001"/>
    <n v="-1327.39"/>
    <n v="0"/>
    <n v="1725.8033580000001"/>
    <n v="15001.213358000001"/>
  </r>
  <r>
    <x v="59"/>
    <x v="5"/>
    <x v="1"/>
    <x v="0"/>
    <s v="KEPL/00545/82-83"/>
    <s v="GORIN TRADING "/>
    <x v="0"/>
    <x v="42"/>
    <n v="1"/>
    <n v="120"/>
    <n v="94.65"/>
    <n v="11358"/>
    <n v="-1032.44"/>
    <n v="0"/>
    <n v="1342.3228450000001"/>
    <n v="11667.882845"/>
  </r>
  <r>
    <x v="59"/>
    <x v="5"/>
    <x v="1"/>
    <x v="0"/>
    <s v="KEPL/00545/82-83"/>
    <s v="GORIN TRADING "/>
    <x v="3"/>
    <x v="26"/>
    <n v="1"/>
    <n v="72"/>
    <n v="131.83000000000001"/>
    <n v="9491.76"/>
    <n v="-862.8"/>
    <n v="0"/>
    <n v="1121.7648369999999"/>
    <n v="9750.7248369999998"/>
  </r>
  <r>
    <x v="60"/>
    <x v="5"/>
    <x v="1"/>
    <x v="0"/>
    <s v="KEPL/00560/82-83"/>
    <s v="BEERA BARJEE INTERNATIONAL PVT.LTD"/>
    <x v="0"/>
    <x v="37"/>
    <n v="1"/>
    <n v="180"/>
    <n v="98.03"/>
    <n v="17645.400000000001"/>
    <n v="-1603.97"/>
    <n v="0"/>
    <n v="2085.39"/>
    <n v="18126.82"/>
  </r>
  <r>
    <x v="61"/>
    <x v="5"/>
    <x v="1"/>
    <x v="0"/>
    <s v="KEPL/00570/82-83"/>
    <s v="A N S STORE"/>
    <x v="0"/>
    <x v="20"/>
    <n v="1"/>
    <n v="120"/>
    <n v="133.86000000000001"/>
    <n v="16063.2"/>
    <n v="-1460.14"/>
    <n v="0"/>
    <n v="1898.3974210000001"/>
    <n v="16501.457420999999"/>
  </r>
  <r>
    <x v="61"/>
    <x v="5"/>
    <x v="1"/>
    <x v="0"/>
    <s v="KEPL/00570/82-83"/>
    <s v="A N S STORE"/>
    <x v="2"/>
    <x v="8"/>
    <n v="1"/>
    <n v="120"/>
    <n v="55.77"/>
    <n v="6692.4000000000005"/>
    <n v="-608.34"/>
    <n v="0"/>
    <n v="790.92764199999999"/>
    <n v="6874.9876420000001"/>
  </r>
  <r>
    <x v="61"/>
    <x v="5"/>
    <x v="1"/>
    <x v="0"/>
    <s v="KEPL/00570/82-83"/>
    <s v="A N S STORE"/>
    <x v="0"/>
    <x v="14"/>
    <n v="1"/>
    <n v="180"/>
    <n v="148.72999999999999"/>
    <n v="26771.399999999998"/>
    <n v="-2433.52"/>
    <n v="0"/>
    <n v="3163.923769"/>
    <n v="27501.803768999998"/>
  </r>
  <r>
    <x v="61"/>
    <x v="5"/>
    <x v="1"/>
    <x v="0"/>
    <s v="KEPL/00570/82-83"/>
    <s v="A N S STORE"/>
    <x v="2"/>
    <x v="23"/>
    <n v="1"/>
    <n v="180"/>
    <n v="200.79"/>
    <n v="36142.199999999997"/>
    <n v="-3285.3300000000004"/>
    <n v="0"/>
    <n v="4271.3922480000001"/>
    <n v="37128.262247999999"/>
  </r>
  <r>
    <x v="61"/>
    <x v="5"/>
    <x v="1"/>
    <x v="0"/>
    <s v="KEPL/00570/82-83"/>
    <s v="A N S STORE"/>
    <x v="0"/>
    <x v="18"/>
    <n v="1"/>
    <n v="120"/>
    <n v="156.16999999999999"/>
    <n v="18740.400000000001"/>
    <n v="-1703.5000000000002"/>
    <n v="0"/>
    <n v="2214.796558"/>
    <n v="19251.696558"/>
  </r>
  <r>
    <x v="61"/>
    <x v="5"/>
    <x v="1"/>
    <x v="0"/>
    <s v="KEPL/00570/82-83"/>
    <s v="A N S STORE"/>
    <x v="0"/>
    <x v="16"/>
    <n v="1"/>
    <n v="120"/>
    <n v="133.86000000000001"/>
    <n v="16063.2"/>
    <n v="-1460.14"/>
    <n v="0"/>
    <n v="1898.3974210000001"/>
    <n v="16501.457420999999"/>
  </r>
  <r>
    <x v="61"/>
    <x v="5"/>
    <x v="1"/>
    <x v="0"/>
    <s v="KEPL/00570/82-83"/>
    <s v="A N S STORE"/>
    <x v="0"/>
    <x v="27"/>
    <n v="1"/>
    <n v="120"/>
    <n v="126.42"/>
    <n v="15170.400000000001"/>
    <n v="-1378.99"/>
    <n v="0"/>
    <n v="1792.882942"/>
    <n v="15584.292942"/>
  </r>
  <r>
    <x v="61"/>
    <x v="5"/>
    <x v="1"/>
    <x v="0"/>
    <s v="KEPL/00570/82-83"/>
    <s v="A N S STORE"/>
    <x v="0"/>
    <x v="17"/>
    <n v="1"/>
    <n v="180"/>
    <n v="130.13999999999999"/>
    <n v="23425.200000000001"/>
    <n v="-2129.35"/>
    <n v="0"/>
    <n v="2768.4599480000002"/>
    <n v="24064.309947999998"/>
  </r>
  <r>
    <x v="61"/>
    <x v="5"/>
    <x v="1"/>
    <x v="0"/>
    <s v="KEPL/00570/82-83"/>
    <s v="A N S STORE"/>
    <x v="2"/>
    <x v="22"/>
    <n v="1"/>
    <n v="40"/>
    <n v="312.33999999999997"/>
    <n v="12493.599999999999"/>
    <n v="-1135.67"/>
    <n v="0"/>
    <n v="1476.5306049999999"/>
    <n v="12834.460605"/>
  </r>
  <r>
    <x v="61"/>
    <x v="5"/>
    <x v="1"/>
    <x v="0"/>
    <s v="KEPL/00570/82-83"/>
    <s v="A N S STORE"/>
    <x v="2"/>
    <x v="24"/>
    <n v="1"/>
    <n v="40"/>
    <n v="483.38"/>
    <n v="19335.2"/>
    <n v="-1757.57"/>
    <n v="0"/>
    <n v="2285.0914440000001"/>
    <n v="19862.721443999999"/>
  </r>
  <r>
    <x v="61"/>
    <x v="5"/>
    <x v="1"/>
    <x v="0"/>
    <s v="KEPL/00571/82-83"/>
    <s v="SHIVA SHAKTI CONCERN"/>
    <x v="3"/>
    <x v="26"/>
    <n v="1"/>
    <n v="72"/>
    <n v="131.83000000000001"/>
    <n v="9491.76"/>
    <n v="-862.8"/>
    <n v="0"/>
    <n v="1121.7651579999999"/>
    <n v="9750.7251579999993"/>
  </r>
  <r>
    <x v="61"/>
    <x v="5"/>
    <x v="1"/>
    <x v="0"/>
    <s v="KEPL/00571/82-83"/>
    <s v="SHIVA SHAKTI CONCERN"/>
    <x v="0"/>
    <x v="11"/>
    <n v="2"/>
    <n v="360"/>
    <n v="64.23"/>
    <n v="23122.799999999999"/>
    <n v="-2101.8599999999997"/>
    <n v="0"/>
    <n v="2732.7230709999999"/>
    <n v="23753.663070999999"/>
  </r>
  <r>
    <x v="61"/>
    <x v="5"/>
    <x v="1"/>
    <x v="0"/>
    <s v="KEPL/00571/82-83"/>
    <s v="SHIVA SHAKTI CONCERN"/>
    <x v="0"/>
    <x v="2"/>
    <n v="2"/>
    <n v="360"/>
    <n v="64.23"/>
    <n v="23122.799999999999"/>
    <n v="-2101.8599999999997"/>
    <n v="0"/>
    <n v="2732.7230709999999"/>
    <n v="23753.663070999999"/>
  </r>
  <r>
    <x v="61"/>
    <x v="5"/>
    <x v="1"/>
    <x v="0"/>
    <s v="KEPL/00571/82-83"/>
    <s v="SHIVA SHAKTI CONCERN"/>
    <x v="0"/>
    <x v="0"/>
    <n v="1"/>
    <n v="180"/>
    <n v="64.23"/>
    <n v="11561.4"/>
    <n v="-1050.9299999999998"/>
    <n v="0"/>
    <n v="1366.3615359999999"/>
    <n v="11876.831536"/>
  </r>
  <r>
    <x v="61"/>
    <x v="5"/>
    <x v="1"/>
    <x v="0"/>
    <s v="KEPL/00571/82-83"/>
    <s v="SHIVA SHAKTI CONCERN"/>
    <x v="0"/>
    <x v="9"/>
    <n v="1"/>
    <n v="180"/>
    <n v="70.989999999999995"/>
    <n v="12778.2"/>
    <n v="-1161.54"/>
    <n v="0"/>
    <n v="1510.1662820000001"/>
    <n v="13126.826282"/>
  </r>
  <r>
    <x v="61"/>
    <x v="5"/>
    <x v="1"/>
    <x v="0"/>
    <s v="KEPL/00571/82-83"/>
    <s v="SHIVA SHAKTI CONCERN"/>
    <x v="3"/>
    <x v="25"/>
    <n v="1"/>
    <n v="48"/>
    <n v="310.99"/>
    <n v="14927.519999999999"/>
    <n v="-1356.91"/>
    <n v="0"/>
    <n v="1764.1798630000001"/>
    <n v="15334.789863"/>
  </r>
  <r>
    <x v="61"/>
    <x v="5"/>
    <x v="1"/>
    <x v="0"/>
    <s v="KEPL/00571/82-83"/>
    <s v="SHIVA SHAKTI CONCERN"/>
    <x v="4"/>
    <x v="29"/>
    <n v="2"/>
    <n v="240"/>
    <n v="57.46"/>
    <n v="13790.4"/>
    <n v="-1253.55"/>
    <n v="0"/>
    <n v="1629.7910200000001"/>
    <n v="14166.641019999999"/>
  </r>
  <r>
    <x v="61"/>
    <x v="5"/>
    <x v="1"/>
    <x v="0"/>
    <s v="KESR/0006/82-83"/>
    <s v="AMRIT TRADE CONCERN"/>
    <x v="3"/>
    <x v="26"/>
    <n v="-1.43"/>
    <n v="-103"/>
    <n v="131.83000000000001"/>
    <n v="-13578.49"/>
    <n v="1234.28"/>
    <n v="0"/>
    <n v="-1604.7477630000001"/>
    <n v="-13948.957763"/>
  </r>
  <r>
    <x v="61"/>
    <x v="5"/>
    <x v="1"/>
    <x v="0"/>
    <s v="KESR/0006/82-83"/>
    <s v="AMRIT TRADE CONCERN"/>
    <x v="4"/>
    <x v="30"/>
    <n v="-0.62"/>
    <n v="-37"/>
    <n v="98.03"/>
    <n v="-3627.11"/>
    <n v="329.7"/>
    <n v="0"/>
    <n v="-428.66342400000002"/>
    <n v="-3726.0734240000002"/>
  </r>
  <r>
    <x v="61"/>
    <x v="5"/>
    <x v="1"/>
    <x v="0"/>
    <s v="KESR/0006/82-83"/>
    <s v="AMRIT TRADE CONCERN"/>
    <x v="0"/>
    <x v="18"/>
    <n v="-0.53"/>
    <n v="-64"/>
    <n v="141.97"/>
    <n v="-9086.08"/>
    <n v="825.92"/>
    <n v="0"/>
    <n v="-1073.8211100000001"/>
    <n v="-9333.9811100000006"/>
  </r>
  <r>
    <x v="61"/>
    <x v="5"/>
    <x v="1"/>
    <x v="0"/>
    <s v="KESR/0006/82-83"/>
    <s v="AMRIT TRADE CONCERN"/>
    <x v="0"/>
    <x v="27"/>
    <n v="-1"/>
    <n v="-120"/>
    <n v="118.31"/>
    <n v="-14197.199999999999"/>
    <n v="1290.53"/>
    <n v="0"/>
    <n v="-1677.8675840000001"/>
    <n v="-14584.537584"/>
  </r>
  <r>
    <x v="61"/>
    <x v="5"/>
    <x v="1"/>
    <x v="0"/>
    <s v="KESR/0006/82-83"/>
    <s v="AMRIT TRADE CONCERN"/>
    <x v="0"/>
    <x v="21"/>
    <n v="-0.94"/>
    <n v="-75"/>
    <n v="189.3"/>
    <n v="-14197.5"/>
    <n v="1290.55"/>
    <n v="0"/>
    <n v="-1677.903984"/>
    <n v="-14584.853983999999"/>
  </r>
  <r>
    <x v="61"/>
    <x v="5"/>
    <x v="1"/>
    <x v="0"/>
    <s v="KESR/0006/82-83"/>
    <s v="AMRIT TRADE CONCERN"/>
    <x v="0"/>
    <x v="19"/>
    <n v="-1"/>
    <n v="-180"/>
    <n v="155.49"/>
    <n v="-27988.2"/>
    <n v="2544.13"/>
    <n v="0"/>
    <n v="-3307.7300529999998"/>
    <n v="-28751.800052999999"/>
  </r>
  <r>
    <x v="61"/>
    <x v="5"/>
    <x v="1"/>
    <x v="0"/>
    <s v="KESR/0006/82-83"/>
    <s v="AMRIT TRADE CONCERN"/>
    <x v="3"/>
    <x v="31"/>
    <n v="-0.75"/>
    <n v="-54"/>
    <n v="148.72999999999999"/>
    <n v="-8031.4199999999992"/>
    <n v="730.06"/>
    <n v="0"/>
    <n v="-949.17707400000006"/>
    <n v="-8250.5370739999998"/>
  </r>
  <r>
    <x v="61"/>
    <x v="5"/>
    <x v="1"/>
    <x v="0"/>
    <s v="KESR/0006/82-83"/>
    <s v="AMRIT TRADE CONCERN"/>
    <x v="2"/>
    <x v="28"/>
    <n v="-0.25"/>
    <n v="-20"/>
    <n v="169.01"/>
    <n v="-3380.2"/>
    <n v="307.26"/>
    <n v="0"/>
    <n v="-399.48231500000003"/>
    <n v="-3472.4223149999998"/>
  </r>
  <r>
    <x v="61"/>
    <x v="5"/>
    <x v="1"/>
    <x v="0"/>
    <s v="KESR/0006/82-83"/>
    <s v="AMRIT TRADE CONCERN"/>
    <x v="3"/>
    <x v="25"/>
    <n v="-0.9"/>
    <n v="-43"/>
    <n v="310.99"/>
    <n v="-13372.57"/>
    <n v="1215.57"/>
    <n v="0"/>
    <n v="-1580.4104559999998"/>
    <n v="-13737.410456"/>
  </r>
  <r>
    <x v="61"/>
    <x v="5"/>
    <x v="1"/>
    <x v="0"/>
    <s v="KESR/0006/82-83"/>
    <s v="AMRIT TRADE CONCERN"/>
    <x v="4"/>
    <x v="29"/>
    <n v="-0.17"/>
    <n v="-20"/>
    <n v="57.46"/>
    <n v="-1149.2"/>
    <n v="104.46"/>
    <n v="0"/>
    <n v="-135.816239"/>
    <n v="-1180.556239"/>
  </r>
  <r>
    <x v="61"/>
    <x v="5"/>
    <x v="1"/>
    <x v="0"/>
    <s v="KESR/0007/82-83"/>
    <s v="AMRIT TRADE CONCERN"/>
    <x v="0"/>
    <x v="0"/>
    <n v="-0.72"/>
    <n v="-130"/>
    <n v="64.23"/>
    <n v="-8349.9"/>
    <n v="320.64"/>
    <n v="0"/>
    <n v="-1043.8037770000001"/>
    <n v="-9073.0637769999994"/>
  </r>
  <r>
    <x v="61"/>
    <x v="5"/>
    <x v="1"/>
    <x v="0"/>
    <s v="KESR/0007/82-83"/>
    <s v="AMRIT TRADE CONCERN"/>
    <x v="0"/>
    <x v="11"/>
    <n v="-0.24"/>
    <n v="-43"/>
    <n v="64.23"/>
    <n v="-2761.8900000000003"/>
    <n v="106.06"/>
    <n v="0"/>
    <n v="-345.25789199999997"/>
    <n v="-3001.087892"/>
  </r>
  <r>
    <x v="61"/>
    <x v="5"/>
    <x v="1"/>
    <x v="0"/>
    <s v="KESR/0007/82-83"/>
    <s v="AMRIT TRADE CONCERN"/>
    <x v="0"/>
    <x v="9"/>
    <n v="-0.75"/>
    <n v="-135"/>
    <n v="70.989999999999995"/>
    <n v="-9583.65"/>
    <n v="368.01"/>
    <n v="0"/>
    <n v="-1198.033173"/>
    <n v="-10413.673172999999"/>
  </r>
  <r>
    <x v="61"/>
    <x v="5"/>
    <x v="1"/>
    <x v="0"/>
    <s v="KESR/0007/82-83"/>
    <s v="AMRIT TRADE CONCERN"/>
    <x v="2"/>
    <x v="5"/>
    <n v="-1.56"/>
    <n v="-280"/>
    <n v="94.65"/>
    <n v="-26502"/>
    <n v="1017.68"/>
    <n v="0"/>
    <n v="-3312.961526"/>
    <n v="-28797.281525999999"/>
  </r>
  <r>
    <x v="61"/>
    <x v="5"/>
    <x v="1"/>
    <x v="0"/>
    <s v="KESR/0007/82-83"/>
    <s v="AMRIT TRADE CONCERN"/>
    <x v="2"/>
    <x v="7"/>
    <n v="-1.88"/>
    <n v="-225"/>
    <n v="152.11000000000001"/>
    <n v="-34224.75"/>
    <n v="1314.23"/>
    <n v="0"/>
    <n v="-4278.3675039999998"/>
    <n v="-37188.887503999998"/>
  </r>
  <r>
    <x v="61"/>
    <x v="5"/>
    <x v="1"/>
    <x v="0"/>
    <s v="KESR/0007/82-83"/>
    <s v="AMRIT TRADE CONCERN"/>
    <x v="0"/>
    <x v="10"/>
    <n v="-0.75"/>
    <n v="-135"/>
    <n v="60.84"/>
    <n v="-8213.4"/>
    <n v="315.39"/>
    <n v="0"/>
    <n v="-1026.7412769999999"/>
    <n v="-8924.7512769999994"/>
  </r>
  <r>
    <x v="61"/>
    <x v="5"/>
    <x v="1"/>
    <x v="0"/>
    <s v="KESR/0007/82-83"/>
    <s v="AMRIT TRADE CONCERN"/>
    <x v="0"/>
    <x v="2"/>
    <n v="-0.95"/>
    <n v="-171"/>
    <n v="64.23"/>
    <n v="-10983.33"/>
    <n v="421.76"/>
    <n v="0"/>
    <n v="-1373.0040690000001"/>
    <n v="-11934.574069"/>
  </r>
  <r>
    <x v="61"/>
    <x v="5"/>
    <x v="1"/>
    <x v="0"/>
    <s v="KESR/0007/82-83"/>
    <s v="AMRIT TRADE CONCERN"/>
    <x v="2"/>
    <x v="8"/>
    <n v="-0.96"/>
    <n v="-115"/>
    <n v="57.46"/>
    <n v="-6607.9"/>
    <n v="253.74"/>
    <n v="0"/>
    <n v="-826.04078199999992"/>
    <n v="-7180.2007819999999"/>
  </r>
  <r>
    <x v="62"/>
    <x v="5"/>
    <x v="1"/>
    <x v="0"/>
    <s v="KEPL/00572/82-83"/>
    <s v="DS SPICECO L &amp; D"/>
    <x v="0"/>
    <x v="20"/>
    <n v="0.02"/>
    <n v="2"/>
    <n v="93.06"/>
    <n v="186.12"/>
    <n v="0"/>
    <n v="0"/>
    <n v="24.194220000000001"/>
    <n v="210.31422000000001"/>
  </r>
  <r>
    <x v="62"/>
    <x v="5"/>
    <x v="1"/>
    <x v="0"/>
    <s v="KEPL/00572/82-83"/>
    <s v="DS SPICECO L &amp; D"/>
    <x v="0"/>
    <x v="44"/>
    <n v="0.01"/>
    <n v="2"/>
    <n v="95.72"/>
    <n v="191.44"/>
    <n v="0"/>
    <n v="0"/>
    <n v="24.88578"/>
    <n v="216.32578000000001"/>
  </r>
  <r>
    <x v="62"/>
    <x v="5"/>
    <x v="1"/>
    <x v="0"/>
    <s v="KEPL/00573/82-83"/>
    <s v="S GAUTAM STORE"/>
    <x v="2"/>
    <x v="8"/>
    <n v="1"/>
    <n v="120"/>
    <n v="50.7"/>
    <n v="6084"/>
    <n v="-553.04"/>
    <n v="0"/>
    <n v="719.02484399999992"/>
    <n v="6249.9848439999996"/>
  </r>
  <r>
    <x v="62"/>
    <x v="5"/>
    <x v="1"/>
    <x v="0"/>
    <s v="KEPL/00573/82-83"/>
    <s v="S GAUTAM STORE"/>
    <x v="0"/>
    <x v="11"/>
    <n v="1"/>
    <n v="180"/>
    <n v="64.23"/>
    <n v="11561.4"/>
    <n v="-1050.9299999999998"/>
    <n v="0"/>
    <n v="1366.3611840000001"/>
    <n v="11876.831184000001"/>
  </r>
  <r>
    <x v="62"/>
    <x v="5"/>
    <x v="1"/>
    <x v="0"/>
    <s v="KEPL/00573/82-83"/>
    <s v="S GAUTAM STORE"/>
    <x v="0"/>
    <x v="42"/>
    <n v="1"/>
    <n v="120"/>
    <n v="94.65"/>
    <n v="11358"/>
    <n v="-1032.44"/>
    <n v="0"/>
    <n v="1342.322883"/>
    <n v="11667.882883"/>
  </r>
  <r>
    <x v="62"/>
    <x v="5"/>
    <x v="1"/>
    <x v="0"/>
    <s v="KEPL/00573/82-83"/>
    <s v="S GAUTAM STORE"/>
    <x v="4"/>
    <x v="30"/>
    <n v="1"/>
    <n v="60"/>
    <n v="98.03"/>
    <n v="5881.8"/>
    <n v="-534.66"/>
    <n v="0"/>
    <n v="695.128243"/>
    <n v="6042.2682430000004"/>
  </r>
  <r>
    <x v="62"/>
    <x v="5"/>
    <x v="1"/>
    <x v="0"/>
    <s v="KEPL/00573/82-83"/>
    <s v="S GAUTAM STORE"/>
    <x v="3"/>
    <x v="25"/>
    <n v="1"/>
    <n v="48"/>
    <n v="310.99"/>
    <n v="14927.519999999999"/>
    <n v="-1356.91"/>
    <n v="0"/>
    <n v="1764.1794090000001"/>
    <n v="15334.789409000001"/>
  </r>
  <r>
    <x v="62"/>
    <x v="5"/>
    <x v="1"/>
    <x v="0"/>
    <s v="KEPL/00573/82-83"/>
    <s v="S GAUTAM STORE"/>
    <x v="2"/>
    <x v="7"/>
    <n v="1"/>
    <n v="120"/>
    <n v="152.11000000000001"/>
    <n v="18253.2"/>
    <n v="-1659.2199999999998"/>
    <n v="0"/>
    <n v="2157.217533"/>
    <n v="18751.197532999999"/>
  </r>
  <r>
    <x v="62"/>
    <x v="5"/>
    <x v="1"/>
    <x v="0"/>
    <s v="KEPL/00573/82-83"/>
    <s v="S GAUTAM STORE"/>
    <x v="3"/>
    <x v="26"/>
    <n v="1"/>
    <n v="72"/>
    <n v="131.83000000000001"/>
    <n v="9491.76"/>
    <n v="-862.8"/>
    <n v="0"/>
    <n v="1121.7648690000001"/>
    <n v="9750.7248689999997"/>
  </r>
  <r>
    <x v="62"/>
    <x v="5"/>
    <x v="1"/>
    <x v="0"/>
    <s v="KEPL/00573/82-83"/>
    <s v="S GAUTAM STORE"/>
    <x v="0"/>
    <x v="0"/>
    <n v="1"/>
    <n v="180"/>
    <n v="64.23"/>
    <n v="11561.4"/>
    <n v="-1050.9299999999998"/>
    <n v="0"/>
    <n v="1366.3611840000001"/>
    <n v="11876.831184000001"/>
  </r>
  <r>
    <x v="62"/>
    <x v="5"/>
    <x v="1"/>
    <x v="0"/>
    <s v="KEPL/00573/82-83"/>
    <s v="S GAUTAM STORE"/>
    <x v="2"/>
    <x v="5"/>
    <n v="1"/>
    <n v="180"/>
    <n v="94.65"/>
    <n v="17037"/>
    <n v="-1548.6599999999999"/>
    <n v="0"/>
    <n v="2013.484324"/>
    <n v="17501.824324000001"/>
  </r>
  <r>
    <x v="62"/>
    <x v="5"/>
    <x v="1"/>
    <x v="0"/>
    <s v="KEPL/00573/82-83"/>
    <s v="S GAUTAM STORE"/>
    <x v="0"/>
    <x v="48"/>
    <n v="1"/>
    <n v="180"/>
    <n v="81.14"/>
    <n v="14605.199999999999"/>
    <n v="-1327.61"/>
    <n v="0"/>
    <n v="1726.0868069999999"/>
    <n v="15003.676807"/>
  </r>
  <r>
    <x v="62"/>
    <x v="5"/>
    <x v="1"/>
    <x v="0"/>
    <s v="KEPL/00573/82-83"/>
    <s v="S GAUTAM STORE"/>
    <x v="0"/>
    <x v="18"/>
    <n v="1"/>
    <n v="120"/>
    <n v="141.97"/>
    <n v="17036.400000000001"/>
    <n v="-1548.61"/>
    <n v="0"/>
    <n v="2013.412824"/>
    <n v="17501.202824"/>
  </r>
  <r>
    <x v="62"/>
    <x v="5"/>
    <x v="1"/>
    <x v="0"/>
    <s v="KEPL/00573/82-83"/>
    <s v="S GAUTAM STORE"/>
    <x v="0"/>
    <x v="9"/>
    <n v="1"/>
    <n v="180"/>
    <n v="70.989999999999995"/>
    <n v="12778.2"/>
    <n v="-1161.54"/>
    <n v="0"/>
    <n v="1510.1658929999999"/>
    <n v="13126.825892999999"/>
  </r>
  <r>
    <x v="62"/>
    <x v="5"/>
    <x v="1"/>
    <x v="0"/>
    <s v="KEPL/00574/82-83"/>
    <s v="S GAUTAM STORE"/>
    <x v="0"/>
    <x v="10"/>
    <n v="1"/>
    <n v="180"/>
    <n v="60.84"/>
    <n v="10951.199999999999"/>
    <n v="-995.46"/>
    <n v="0"/>
    <n v="1294.2465179999999"/>
    <n v="11249.986518"/>
  </r>
  <r>
    <x v="62"/>
    <x v="5"/>
    <x v="1"/>
    <x v="0"/>
    <s v="KEPL/00574/82-83"/>
    <s v="S GAUTAM STORE"/>
    <x v="0"/>
    <x v="32"/>
    <n v="1"/>
    <n v="120"/>
    <n v="64.23"/>
    <n v="7707.5999999999995"/>
    <n v="-700.62"/>
    <n v="0"/>
    <n v="910.90762399999994"/>
    <n v="7917.887624"/>
  </r>
  <r>
    <x v="62"/>
    <x v="5"/>
    <x v="1"/>
    <x v="0"/>
    <s v="KEPL/00574/82-83"/>
    <s v="S GAUTAM STORE"/>
    <x v="3"/>
    <x v="31"/>
    <n v="1"/>
    <n v="72"/>
    <n v="148.72999999999999"/>
    <n v="10708.74"/>
    <n v="-973.42"/>
    <n v="0"/>
    <n v="1265.591911"/>
    <n v="11000.911910999999"/>
  </r>
  <r>
    <x v="62"/>
    <x v="5"/>
    <x v="1"/>
    <x v="0"/>
    <s v="KEPL/00574/82-83"/>
    <s v="S GAUTAM STORE"/>
    <x v="4"/>
    <x v="29"/>
    <n v="1"/>
    <n v="120"/>
    <n v="57.46"/>
    <n v="6895.2"/>
    <n v="-626.77"/>
    <n v="0"/>
    <n v="814.89609999999993"/>
    <n v="7083.3261000000002"/>
  </r>
  <r>
    <x v="62"/>
    <x v="5"/>
    <x v="1"/>
    <x v="0"/>
    <s v="KEPL/00574/82-83"/>
    <s v="S GAUTAM STORE"/>
    <x v="0"/>
    <x v="2"/>
    <n v="1"/>
    <n v="180"/>
    <n v="64.23"/>
    <n v="11561.4"/>
    <n v="-1050.9299999999998"/>
    <n v="0"/>
    <n v="1366.3614359999999"/>
    <n v="11876.831436"/>
  </r>
  <r>
    <x v="62"/>
    <x v="5"/>
    <x v="1"/>
    <x v="0"/>
    <s v="KEPL/00574/82-83"/>
    <s v="S GAUTAM STORE"/>
    <x v="0"/>
    <x v="37"/>
    <n v="1"/>
    <n v="180"/>
    <n v="98.03"/>
    <n v="17645.400000000001"/>
    <n v="-1603.97"/>
    <n v="0"/>
    <n v="2085.3864120000003"/>
    <n v="18126.816412"/>
  </r>
  <r>
    <x v="62"/>
    <x v="5"/>
    <x v="1"/>
    <x v="0"/>
    <s v="KEPL/00575/82-83"/>
    <s v="SUBHARAMBHA TRADING"/>
    <x v="2"/>
    <x v="5"/>
    <n v="1"/>
    <n v="180"/>
    <n v="94.65"/>
    <n v="17037"/>
    <n v="-1548.6599999999999"/>
    <n v="0"/>
    <n v="2013.4845889999999"/>
    <n v="17501.824589"/>
  </r>
  <r>
    <x v="62"/>
    <x v="5"/>
    <x v="1"/>
    <x v="0"/>
    <s v="KEPL/00575/82-83"/>
    <s v="SUBHARAMBHA TRADING"/>
    <x v="3"/>
    <x v="26"/>
    <n v="1"/>
    <n v="72"/>
    <n v="131.83000000000001"/>
    <n v="9491.76"/>
    <n v="-862.8"/>
    <n v="0"/>
    <n v="1121.7650169999999"/>
    <n v="9750.7250170000007"/>
  </r>
  <r>
    <x v="62"/>
    <x v="5"/>
    <x v="1"/>
    <x v="0"/>
    <s v="KEPL/00575/82-83"/>
    <s v="SUBHARAMBHA TRADING"/>
    <x v="0"/>
    <x v="0"/>
    <n v="1"/>
    <n v="180"/>
    <n v="64.23"/>
    <n v="11561.4"/>
    <n v="-1050.9299999999998"/>
    <n v="0"/>
    <n v="1366.3613639999999"/>
    <n v="11876.831364"/>
  </r>
  <r>
    <x v="62"/>
    <x v="5"/>
    <x v="1"/>
    <x v="0"/>
    <s v="KEPL/00575/82-83"/>
    <s v="SUBHARAMBHA TRADING"/>
    <x v="0"/>
    <x v="42"/>
    <n v="1"/>
    <n v="120"/>
    <n v="94.65"/>
    <n v="11358"/>
    <n v="-1032.44"/>
    <n v="0"/>
    <n v="1342.3230590000001"/>
    <n v="11667.883059"/>
  </r>
  <r>
    <x v="62"/>
    <x v="5"/>
    <x v="1"/>
    <x v="0"/>
    <s v="KEPL/00575/82-83"/>
    <s v="SUBHARAMBHA TRADING"/>
    <x v="4"/>
    <x v="30"/>
    <n v="1"/>
    <n v="60"/>
    <n v="98.03"/>
    <n v="5881.8"/>
    <n v="-534.66"/>
    <n v="0"/>
    <n v="695.128334"/>
    <n v="6042.2683340000003"/>
  </r>
  <r>
    <x v="62"/>
    <x v="5"/>
    <x v="1"/>
    <x v="0"/>
    <s v="KEPL/00575/82-83"/>
    <s v="SUBHARAMBHA TRADING"/>
    <x v="0"/>
    <x v="9"/>
    <n v="1"/>
    <n v="180"/>
    <n v="70.989999999999995"/>
    <n v="12778.2"/>
    <n v="-1161.54"/>
    <n v="0"/>
    <n v="1510.1660919999999"/>
    <n v="13126.826091999999"/>
  </r>
  <r>
    <x v="62"/>
    <x v="5"/>
    <x v="1"/>
    <x v="0"/>
    <s v="KEPL/00575/82-83"/>
    <s v="SUBHARAMBHA TRADING"/>
    <x v="0"/>
    <x v="2"/>
    <n v="1"/>
    <n v="180"/>
    <n v="64.23"/>
    <n v="11561.4"/>
    <n v="-1050.9299999999998"/>
    <n v="0"/>
    <n v="1366.3613639999999"/>
    <n v="11876.831364"/>
  </r>
  <r>
    <x v="62"/>
    <x v="5"/>
    <x v="1"/>
    <x v="0"/>
    <s v="KEPL/00575/82-83"/>
    <s v="SUBHARAMBHA TRADING"/>
    <x v="3"/>
    <x v="31"/>
    <n v="1"/>
    <n v="72"/>
    <n v="148.74"/>
    <n v="10709.279999999999"/>
    <n v="-973.47"/>
    <n v="0"/>
    <n v="1265.655544"/>
    <n v="11001.465544000001"/>
  </r>
  <r>
    <x v="62"/>
    <x v="5"/>
    <x v="1"/>
    <x v="0"/>
    <s v="KEPL/00575/82-83"/>
    <s v="SUBHARAMBHA TRADING"/>
    <x v="0"/>
    <x v="32"/>
    <n v="1"/>
    <n v="120"/>
    <n v="64.23"/>
    <n v="7707.5999999999995"/>
    <n v="-700.62"/>
    <n v="0"/>
    <n v="910.90757600000006"/>
    <n v="7917.8875760000001"/>
  </r>
  <r>
    <x v="62"/>
    <x v="5"/>
    <x v="1"/>
    <x v="0"/>
    <s v="KEPL/00575/82-83"/>
    <s v="SUBHARAMBHA TRADING"/>
    <x v="4"/>
    <x v="29"/>
    <n v="1"/>
    <n v="120"/>
    <n v="57.46"/>
    <n v="6895.2"/>
    <n v="-626.77"/>
    <n v="0"/>
    <n v="814.89605699999993"/>
    <n v="7083.3260570000002"/>
  </r>
  <r>
    <x v="62"/>
    <x v="5"/>
    <x v="1"/>
    <x v="0"/>
    <s v="KEPL/00575/82-83"/>
    <s v="SUBHARAMBHA TRADING"/>
    <x v="3"/>
    <x v="25"/>
    <n v="1"/>
    <n v="48"/>
    <n v="310.99"/>
    <n v="14927.519999999999"/>
    <n v="-1356.91"/>
    <n v="0"/>
    <n v="1764.1796409999999"/>
    <n v="15334.789640999999"/>
  </r>
  <r>
    <x v="62"/>
    <x v="5"/>
    <x v="1"/>
    <x v="0"/>
    <s v="KEPL/00575/82-83"/>
    <s v="SUBHARAMBHA TRADING"/>
    <x v="0"/>
    <x v="11"/>
    <n v="1"/>
    <n v="180"/>
    <n v="64.23"/>
    <n v="11561.4"/>
    <n v="-1050.9299999999998"/>
    <n v="0"/>
    <n v="1366.3613639999999"/>
    <n v="11876.831364"/>
  </r>
  <r>
    <x v="62"/>
    <x v="5"/>
    <x v="1"/>
    <x v="0"/>
    <s v="KEPL/00588/82-83"/>
    <s v="GORIN TRADING "/>
    <x v="1"/>
    <x v="1"/>
    <n v="1"/>
    <n v="100"/>
    <n v="108.17"/>
    <n v="10817"/>
    <n v="-983.2700000000001"/>
    <n v="0"/>
    <n v="1278.3862779999999"/>
    <n v="11112.116278"/>
  </r>
  <r>
    <x v="62"/>
    <x v="5"/>
    <x v="1"/>
    <x v="0"/>
    <s v="KEPL/00588/82-83"/>
    <s v="GORIN TRADING "/>
    <x v="0"/>
    <x v="37"/>
    <n v="1"/>
    <n v="180"/>
    <n v="98.03"/>
    <n v="17645.400000000001"/>
    <n v="-1603.97"/>
    <n v="0"/>
    <n v="2085.3881470000001"/>
    <n v="18126.818147000002"/>
  </r>
  <r>
    <x v="62"/>
    <x v="5"/>
    <x v="1"/>
    <x v="0"/>
    <s v="KEPL/00588/82-83"/>
    <s v="GORIN TRADING "/>
    <x v="2"/>
    <x v="8"/>
    <n v="1"/>
    <n v="120"/>
    <n v="50.7"/>
    <n v="6084"/>
    <n v="-553.04"/>
    <n v="0"/>
    <n v="719.025575"/>
    <n v="6249.9855749999997"/>
  </r>
  <r>
    <x v="63"/>
    <x v="5"/>
    <x v="1"/>
    <x v="0"/>
    <s v="KEPL/00624/82-83"/>
    <s v="MEGA MART PVT.LTD"/>
    <x v="3"/>
    <x v="25"/>
    <n v="1"/>
    <n v="48"/>
    <n v="293.10000000000002"/>
    <n v="14068.8"/>
    <n v="0"/>
    <n v="0"/>
    <n v="1828.9425209999999"/>
    <n v="15897.742521"/>
  </r>
  <r>
    <x v="63"/>
    <x v="5"/>
    <x v="1"/>
    <x v="0"/>
    <s v="KEPL/00624/82-83"/>
    <s v="MEGA MART PVT.LTD"/>
    <x v="3"/>
    <x v="31"/>
    <n v="2"/>
    <n v="144"/>
    <n v="140.18"/>
    <n v="20185.919999999998"/>
    <n v="0"/>
    <n v="0"/>
    <n v="2624.1674790000002"/>
    <n v="22810.087479000002"/>
  </r>
  <r>
    <x v="63"/>
    <x v="5"/>
    <x v="1"/>
    <x v="0"/>
    <s v="KEPL/00626/82-83"/>
    <s v="BEERA BARJEE INTERNATIONAL PVT.LTD"/>
    <x v="0"/>
    <x v="20"/>
    <n v="1"/>
    <n v="120"/>
    <n v="121.69"/>
    <n v="14602.800000000001"/>
    <n v="-1327.39"/>
    <n v="0"/>
    <n v="1725.8033830000002"/>
    <n v="15001.213383"/>
  </r>
  <r>
    <x v="63"/>
    <x v="5"/>
    <x v="1"/>
    <x v="0"/>
    <s v="KEPL/00626/82-83"/>
    <s v="BEERA BARJEE INTERNATIONAL PVT.LTD"/>
    <x v="0"/>
    <x v="14"/>
    <n v="1"/>
    <n v="180"/>
    <n v="135.21"/>
    <n v="24337.8"/>
    <n v="-2212.31"/>
    <n v="0"/>
    <n v="2876.3138389999999"/>
    <n v="25001.803839"/>
  </r>
  <r>
    <x v="63"/>
    <x v="5"/>
    <x v="1"/>
    <x v="0"/>
    <s v="KEPL/00626/82-83"/>
    <s v="BEERA BARJEE INTERNATIONAL PVT.LTD"/>
    <x v="2"/>
    <x v="8"/>
    <n v="1"/>
    <n v="120"/>
    <n v="50.7"/>
    <n v="6084"/>
    <n v="-553.04"/>
    <n v="0"/>
    <n v="719.02483500000005"/>
    <n v="6249.9848350000002"/>
  </r>
  <r>
    <x v="63"/>
    <x v="5"/>
    <x v="1"/>
    <x v="0"/>
    <s v="KEPL/00626/82-83"/>
    <s v="BEERA BARJEE INTERNATIONAL PVT.LTD"/>
    <x v="4"/>
    <x v="29"/>
    <n v="3"/>
    <n v="360"/>
    <n v="57.46"/>
    <n v="20685.599999999999"/>
    <n v="-1880.32"/>
    <n v="0"/>
    <n v="2444.686518"/>
    <n v="21249.966518000001"/>
  </r>
  <r>
    <x v="63"/>
    <x v="5"/>
    <x v="1"/>
    <x v="0"/>
    <s v="KEPL/00626/82-83"/>
    <s v="BEERA BARJEE INTERNATIONAL PVT.LTD"/>
    <x v="3"/>
    <x v="25"/>
    <n v="2"/>
    <n v="96"/>
    <n v="310.99"/>
    <n v="29855.039999999997"/>
    <n v="-2713.82"/>
    <n v="0"/>
    <n v="3528.3587699999998"/>
    <n v="30669.57877"/>
  </r>
  <r>
    <x v="63"/>
    <x v="5"/>
    <x v="1"/>
    <x v="0"/>
    <s v="KEPL/00626/82-83"/>
    <s v="BEERA BARJEE INTERNATIONAL PVT.LTD"/>
    <x v="4"/>
    <x v="30"/>
    <n v="4"/>
    <n v="240"/>
    <n v="98.03"/>
    <n v="23527.200000000001"/>
    <n v="-2138.6200000000003"/>
    <n v="0"/>
    <n v="2780.5155339999997"/>
    <n v="24169.095534"/>
  </r>
  <r>
    <x v="63"/>
    <x v="5"/>
    <x v="1"/>
    <x v="0"/>
    <s v="KEPL/00626/82-83"/>
    <s v="BEERA BARJEE INTERNATIONAL PVT.LTD"/>
    <x v="2"/>
    <x v="5"/>
    <n v="1"/>
    <n v="180"/>
    <n v="94.65"/>
    <n v="17037"/>
    <n v="-1548.6599999999999"/>
    <n v="0"/>
    <n v="2013.484297"/>
    <n v="17501.824296999999"/>
  </r>
  <r>
    <x v="63"/>
    <x v="5"/>
    <x v="1"/>
    <x v="0"/>
    <s v="KEPL/00626/82-83"/>
    <s v="BEERA BARJEE INTERNATIONAL PVT.LTD"/>
    <x v="0"/>
    <x v="18"/>
    <n v="2"/>
    <n v="240"/>
    <n v="141.97"/>
    <n v="34072.800000000003"/>
    <n v="-3097.22"/>
    <n v="0"/>
    <n v="4026.8255939999999"/>
    <n v="35002.405594000003"/>
  </r>
  <r>
    <x v="63"/>
    <x v="5"/>
    <x v="1"/>
    <x v="0"/>
    <s v="KEPL/00626/82-83"/>
    <s v="BEERA BARJEE INTERNATIONAL PVT.LTD"/>
    <x v="5"/>
    <x v="43"/>
    <n v="1"/>
    <n v="60"/>
    <n v="148.74"/>
    <n v="8924.4"/>
    <n v="-811.23"/>
    <n v="0"/>
    <n v="1054.7121509999999"/>
    <n v="9167.8821509999998"/>
  </r>
  <r>
    <x v="63"/>
    <x v="5"/>
    <x v="1"/>
    <x v="0"/>
    <s v="KEPL/00626/82-83"/>
    <s v="BEERA BARJEE INTERNATIONAL PVT.LTD"/>
    <x v="0"/>
    <x v="44"/>
    <n v="1"/>
    <n v="180"/>
    <n v="128.44999999999999"/>
    <n v="23121.000000000004"/>
    <n v="-2101.6999999999998"/>
    <n v="0"/>
    <n v="2732.5091320000001"/>
    <n v="23751.809131999998"/>
  </r>
  <r>
    <x v="63"/>
    <x v="5"/>
    <x v="1"/>
    <x v="0"/>
    <s v="KEPL/00626/82-83"/>
    <s v="BEERA BARJEE INTERNATIONAL PVT.LTD"/>
    <x v="0"/>
    <x v="11"/>
    <n v="1"/>
    <n v="180"/>
    <n v="64.23"/>
    <n v="11561.4"/>
    <n v="-1050.9299999999998"/>
    <n v="0"/>
    <n v="1366.3611660000001"/>
    <n v="11876.831166"/>
  </r>
  <r>
    <x v="63"/>
    <x v="5"/>
    <x v="1"/>
    <x v="0"/>
    <s v="KEPL/00626/82-83"/>
    <s v="BEERA BARJEE INTERNATIONAL PVT.LTD"/>
    <x v="3"/>
    <x v="31"/>
    <n v="3"/>
    <n v="216"/>
    <n v="148.74"/>
    <n v="32127.84"/>
    <n v="-2920.42"/>
    <n v="0"/>
    <n v="3796.9647830000004"/>
    <n v="33004.384783000001"/>
  </r>
  <r>
    <x v="64"/>
    <x v="5"/>
    <x v="1"/>
    <x v="0"/>
    <s v="KESR/0014/82-83"/>
    <s v="BEERA BARJEE INTERNATIONAL PVT.LTD"/>
    <x v="0"/>
    <x v="21"/>
    <n v="-1"/>
    <n v="-80"/>
    <n v="185.92"/>
    <n v="-14873.6"/>
    <n v="1352.01"/>
    <n v="0"/>
    <n v="-1757.81"/>
    <n v="-15279.4"/>
  </r>
  <r>
    <x v="65"/>
    <x v="5"/>
    <x v="1"/>
    <x v="0"/>
    <s v="KEPL/00682/82-83"/>
    <s v="BHAT BHATENI SUPERMARKET &amp; DEPARTMENTAL STORE PVT. LTD."/>
    <x v="3"/>
    <x v="26"/>
    <n v="1"/>
    <n v="72"/>
    <n v="120.8"/>
    <n v="8697.6"/>
    <n v="0"/>
    <n v="-434.88023300000003"/>
    <n v="1074.1541420000001"/>
    <n v="9336.8739089999999"/>
  </r>
  <r>
    <x v="65"/>
    <x v="5"/>
    <x v="1"/>
    <x v="0"/>
    <s v="KEPL/00682/82-83"/>
    <s v="BHAT BHATENI SUPERMARKET &amp; DEPARTMENTAL STORE PVT. LTD."/>
    <x v="0"/>
    <x v="37"/>
    <n v="1"/>
    <n v="180"/>
    <n v="89.82"/>
    <n v="16167.6"/>
    <n v="0"/>
    <n v="-808.38043400000004"/>
    <n v="1996.699607"/>
    <n v="17355.919172999998"/>
  </r>
  <r>
    <x v="65"/>
    <x v="5"/>
    <x v="1"/>
    <x v="0"/>
    <s v="KEPL/00682/82-83"/>
    <s v="BHAT BHATENI SUPERMARKET &amp; DEPARTMENTAL STORE PVT. LTD."/>
    <x v="0"/>
    <x v="21"/>
    <n v="1"/>
    <n v="80"/>
    <n v="170.35"/>
    <n v="13628.000000000002"/>
    <n v="0"/>
    <n v="-681.40036599999996"/>
    <n v="1683.058849"/>
    <n v="14629.658482999999"/>
  </r>
  <r>
    <x v="65"/>
    <x v="5"/>
    <x v="1"/>
    <x v="0"/>
    <s v="KEPL/00682/82-83"/>
    <s v="BHAT BHATENI SUPERMARKET &amp; DEPARTMENTAL STORE PVT. LTD."/>
    <x v="2"/>
    <x v="23"/>
    <n v="1"/>
    <n v="180"/>
    <n v="145.58000000000001"/>
    <n v="26204.399999999998"/>
    <n v="0"/>
    <n v="-1310.220703"/>
    <n v="3236.2450319999998"/>
    <n v="28130.424329000001"/>
  </r>
  <r>
    <x v="65"/>
    <x v="5"/>
    <x v="1"/>
    <x v="0"/>
    <s v="KEPL/00682/82-83"/>
    <s v="BHAT BHATENI SUPERMARKET &amp; DEPARTMENTAL STORE PVT. LTD."/>
    <x v="3"/>
    <x v="31"/>
    <n v="1"/>
    <n v="72"/>
    <n v="136.28"/>
    <n v="9812.16"/>
    <n v="0"/>
    <n v="-490.60826299999997"/>
    <n v="1211.802371"/>
    <n v="10533.354108"/>
  </r>
  <r>
    <x v="65"/>
    <x v="5"/>
    <x v="1"/>
    <x v="0"/>
    <s v="KEPL/00683/82-83"/>
    <s v="BHAT BHATENI SUPERMARKET &amp; DEPARTMENTAL STORE PVT. LTD."/>
    <x v="1"/>
    <x v="13"/>
    <n v="1"/>
    <n v="100"/>
    <n v="126"/>
    <n v="12600"/>
    <n v="0"/>
    <n v="-630"/>
    <n v="0"/>
    <n v="11970"/>
  </r>
  <r>
    <x v="65"/>
    <x v="5"/>
    <x v="1"/>
    <x v="0"/>
    <s v="KEPL/00683/82-83"/>
    <s v="BHAT BHATENI SUPERMARKET &amp; DEPARTMENTAL STORE PVT. LTD."/>
    <x v="1"/>
    <x v="12"/>
    <n v="1"/>
    <n v="40"/>
    <n v="308"/>
    <n v="12320"/>
    <n v="0"/>
    <n v="-616"/>
    <n v="0"/>
    <n v="11704"/>
  </r>
  <r>
    <x v="65"/>
    <x v="5"/>
    <x v="1"/>
    <x v="0"/>
    <s v="KEPL/00684/82-83"/>
    <s v="BHAT BHATENI SUPERMARKET &amp; DEPARTMENTAL STORE PVT. LTD."/>
    <x v="0"/>
    <x v="18"/>
    <n v="0.5"/>
    <n v="60"/>
    <n v="130.09"/>
    <n v="7805.4000000000005"/>
    <n v="0"/>
    <n v="-390.27004600000004"/>
    <n v="963.96683899999994"/>
    <n v="8379.0967930000006"/>
  </r>
  <r>
    <x v="65"/>
    <x v="5"/>
    <x v="1"/>
    <x v="0"/>
    <s v="KEPL/00684/82-83"/>
    <s v="BHAT BHATENI SUPERMARKET &amp; DEPARTMENTAL STORE PVT. LTD."/>
    <x v="2"/>
    <x v="22"/>
    <n v="1"/>
    <n v="40"/>
    <n v="260.18"/>
    <n v="10407.199999999999"/>
    <n v="0"/>
    <n v="-520.36006099999997"/>
    <n v="1285.289119"/>
    <n v="11172.129058"/>
  </r>
  <r>
    <x v="65"/>
    <x v="5"/>
    <x v="1"/>
    <x v="0"/>
    <s v="KEPL/00684/82-83"/>
    <s v="BHAT BHATENI SUPERMARKET &amp; DEPARTMENTAL STORE PVT. LTD."/>
    <x v="0"/>
    <x v="48"/>
    <n v="0.5"/>
    <n v="90"/>
    <n v="74.34"/>
    <n v="6690.5999999999995"/>
    <n v="0"/>
    <n v="-334.53003899999999"/>
    <n v="826.28904799999998"/>
    <n v="7182.3590089999998"/>
  </r>
  <r>
    <x v="65"/>
    <x v="5"/>
    <x v="1"/>
    <x v="0"/>
    <s v="KEPL/00684/82-83"/>
    <s v="BHAT BHATENI SUPERMARKET &amp; DEPARTMENTAL STORE PVT. LTD."/>
    <x v="3"/>
    <x v="47"/>
    <n v="0.5"/>
    <n v="50"/>
    <n v="65.040000000000006"/>
    <n v="3252"/>
    <n v="0"/>
    <n v="-162.60001899999997"/>
    <n v="401.62197499999996"/>
    <n v="3491.021956"/>
  </r>
  <r>
    <x v="65"/>
    <x v="5"/>
    <x v="1"/>
    <x v="0"/>
    <s v="KEPL/00684/82-83"/>
    <s v="BHAT BHATENI SUPERMARKET &amp; DEPARTMENTAL STORE PVT. LTD."/>
    <x v="0"/>
    <x v="16"/>
    <n v="0.5"/>
    <n v="60"/>
    <n v="108.41"/>
    <n v="6504.6"/>
    <n v="0"/>
    <n v="-325.23003799999998"/>
    <n v="803.31804900000009"/>
    <n v="6982.6880110000002"/>
  </r>
  <r>
    <x v="65"/>
    <x v="5"/>
    <x v="1"/>
    <x v="0"/>
    <s v="KEPL/00684/82-83"/>
    <s v="BHAT BHATENI SUPERMARKET &amp; DEPARTMENTAL STORE PVT. LTD."/>
    <x v="3"/>
    <x v="26"/>
    <n v="1"/>
    <n v="72"/>
    <n v="120.8"/>
    <n v="8697.6"/>
    <n v="0"/>
    <n v="-434.88005099999998"/>
    <n v="1074.153532"/>
    <n v="9336.8734810000005"/>
  </r>
  <r>
    <x v="65"/>
    <x v="5"/>
    <x v="1"/>
    <x v="0"/>
    <s v="KEPL/00684/82-83"/>
    <s v="BHAT BHATENI SUPERMARKET &amp; DEPARTMENTAL STORE PVT. LTD."/>
    <x v="0"/>
    <x v="41"/>
    <n v="0.5"/>
    <n v="60"/>
    <n v="145.58000000000001"/>
    <n v="8734.7999999999993"/>
    <n v="0"/>
    <n v="-436.74005099999999"/>
    <n v="1078.747732"/>
    <n v="9376.8076810000002"/>
  </r>
  <r>
    <x v="65"/>
    <x v="5"/>
    <x v="1"/>
    <x v="0"/>
    <s v="KEPL/00684/82-83"/>
    <s v="BHAT BHATENI SUPERMARKET &amp; DEPARTMENTAL STORE PVT. LTD."/>
    <x v="0"/>
    <x v="39"/>
    <n v="0.5"/>
    <n v="90"/>
    <n v="76.81"/>
    <n v="6912.9000000000005"/>
    <n v="0"/>
    <n v="-345.64504099999999"/>
    <n v="853.74309600000004"/>
    <n v="7420.998055"/>
  </r>
  <r>
    <x v="65"/>
    <x v="5"/>
    <x v="1"/>
    <x v="0"/>
    <s v="KEPL/00684/82-83"/>
    <s v="BHAT BHATENI SUPERMARKET &amp; DEPARTMENTAL STORE PVT. LTD."/>
    <x v="2"/>
    <x v="28"/>
    <n v="0.5"/>
    <n v="40"/>
    <n v="154.87"/>
    <n v="6194.8"/>
    <n v="0"/>
    <n v="-309.74003599999998"/>
    <n v="765.05775200000005"/>
    <n v="6650.1177159999997"/>
  </r>
  <r>
    <x v="65"/>
    <x v="5"/>
    <x v="1"/>
    <x v="0"/>
    <s v="KEPL/00684/82-83"/>
    <s v="BHAT BHATENI SUPERMARKET &amp; DEPARTMENTAL STORE PVT. LTD."/>
    <x v="1"/>
    <x v="4"/>
    <n v="1"/>
    <n v="40"/>
    <n v="238.5"/>
    <n v="9539.9999999999982"/>
    <n v="0"/>
    <n v="-477.00005600000003"/>
    <n v="1178.1899250000001"/>
    <n v="10241.189869"/>
  </r>
  <r>
    <x v="65"/>
    <x v="5"/>
    <x v="1"/>
    <x v="0"/>
    <s v="KEPL/00684/82-83"/>
    <s v="BHAT BHATENI SUPERMARKET &amp; DEPARTMENTAL STORE PVT. LTD."/>
    <x v="0"/>
    <x v="17"/>
    <n v="0.5"/>
    <n v="90"/>
    <n v="108.41"/>
    <n v="9756.9"/>
    <n v="0"/>
    <n v="-487.845057"/>
    <n v="1204.9770739999999"/>
    <n v="10474.032017"/>
  </r>
  <r>
    <x v="65"/>
    <x v="5"/>
    <x v="1"/>
    <x v="0"/>
    <s v="KEPL/00684/82-83"/>
    <s v="BHAT BHATENI SUPERMARKET &amp; DEPARTMENTAL STORE PVT. LTD."/>
    <x v="1"/>
    <x v="1"/>
    <n v="1"/>
    <n v="100"/>
    <n v="99.12"/>
    <n v="9912"/>
    <n v="0"/>
    <n v="-495.60005800000005"/>
    <n v="1224.1319229999999"/>
    <n v="10640.531865000001"/>
  </r>
  <r>
    <x v="65"/>
    <x v="5"/>
    <x v="1"/>
    <x v="0"/>
    <s v="KEPL/00684/82-83"/>
    <s v="BHAT BHATENI SUPERMARKET &amp; DEPARTMENTAL STORE PVT. LTD."/>
    <x v="0"/>
    <x v="42"/>
    <n v="0.5"/>
    <n v="60"/>
    <n v="86.73"/>
    <n v="5203.8"/>
    <n v="0"/>
    <n v="-260.19003099999998"/>
    <n v="642.66925900000001"/>
    <n v="5586.2792280000003"/>
  </r>
  <r>
    <x v="65"/>
    <x v="5"/>
    <x v="1"/>
    <x v="0"/>
    <s v="KEPL/00684/82-83"/>
    <s v="BHAT BHATENI SUPERMARKET &amp; DEPARTMENTAL STORE PVT. LTD."/>
    <x v="4"/>
    <x v="30"/>
    <n v="1"/>
    <n v="60"/>
    <n v="89.82"/>
    <n v="5389.2"/>
    <n v="0"/>
    <n v="-269.46003200000001"/>
    <n v="665.56615799999997"/>
    <n v="5785.3061260000004"/>
  </r>
  <r>
    <x v="65"/>
    <x v="5"/>
    <x v="1"/>
    <x v="0"/>
    <s v="KEPL/00684/82-83"/>
    <s v="BHAT BHATENI SUPERMARKET &amp; DEPARTMENTAL STORE PVT. LTD."/>
    <x v="0"/>
    <x v="44"/>
    <n v="0.5"/>
    <n v="90"/>
    <n v="111.5"/>
    <n v="10035"/>
    <n v="0"/>
    <n v="-501.75005900000002"/>
    <n v="1239.322422"/>
    <n v="10772.572362999999"/>
  </r>
  <r>
    <x v="65"/>
    <x v="5"/>
    <x v="1"/>
    <x v="0"/>
    <s v="KEPL/00684/82-83"/>
    <s v="BHAT BHATENI SUPERMARKET &amp; DEPARTMENTAL STORE PVT. LTD."/>
    <x v="2"/>
    <x v="33"/>
    <n v="0.5"/>
    <n v="90"/>
    <n v="83.63"/>
    <n v="7526.7"/>
    <n v="0"/>
    <n v="-376.33504399999998"/>
    <n v="929.54739099999995"/>
    <n v="8079.9123470000004"/>
  </r>
  <r>
    <x v="65"/>
    <x v="5"/>
    <x v="1"/>
    <x v="0"/>
    <s v="KEPL/00684/82-83"/>
    <s v="BHAT BHATENI SUPERMARKET &amp; DEPARTMENTAL STORE PVT. LTD."/>
    <x v="5"/>
    <x v="43"/>
    <n v="1"/>
    <n v="60"/>
    <n v="136.28"/>
    <n v="8176.8"/>
    <n v="0"/>
    <n v="-408.84004800000002"/>
    <n v="1009.834736"/>
    <n v="8777.794688"/>
  </r>
  <r>
    <x v="65"/>
    <x v="5"/>
    <x v="1"/>
    <x v="0"/>
    <s v="KEPL/00684/82-83"/>
    <s v="BHAT BHATENI SUPERMARKET &amp; DEPARTMENTAL STORE PVT. LTD."/>
    <x v="0"/>
    <x v="19"/>
    <n v="0.5"/>
    <n v="90"/>
    <n v="142.47999999999999"/>
    <n v="12823.199999999999"/>
    <n v="0"/>
    <n v="-641.16007500000001"/>
    <n v="1583.6650999999999"/>
    <n v="13765.705024999999"/>
  </r>
  <r>
    <x v="65"/>
    <x v="5"/>
    <x v="1"/>
    <x v="0"/>
    <s v="KEPL/00684/82-83"/>
    <s v="BHAT BHATENI SUPERMARKET &amp; DEPARTMENTAL STORE PVT. LTD."/>
    <x v="3"/>
    <x v="25"/>
    <n v="1"/>
    <n v="48"/>
    <n v="284.95999999999998"/>
    <n v="13678.08"/>
    <n v="0"/>
    <n v="-683.90407999999991"/>
    <n v="1689.2427730000002"/>
    <n v="14683.418693"/>
  </r>
  <r>
    <x v="65"/>
    <x v="5"/>
    <x v="1"/>
    <x v="0"/>
    <s v="KEPL/00684/82-83"/>
    <s v="BHAT BHATENI SUPERMARKET &amp; DEPARTMENTAL STORE PVT. LTD."/>
    <x v="0"/>
    <x v="20"/>
    <n v="1"/>
    <n v="120"/>
    <n v="108.41"/>
    <n v="13009.2"/>
    <n v="0"/>
    <n v="-650.46007599999996"/>
    <n v="1606.6360980000002"/>
    <n v="13965.376022"/>
  </r>
  <r>
    <x v="65"/>
    <x v="5"/>
    <x v="1"/>
    <x v="0"/>
    <s v="KEPL/00685/82-83"/>
    <s v="BHAT BHATENI SUPERMARKET &amp; DEPARTMENTAL STORE PVT. LTD."/>
    <x v="0"/>
    <x v="37"/>
    <n v="0.5"/>
    <n v="90"/>
    <n v="89.82"/>
    <n v="8083.8"/>
    <n v="0"/>
    <n v="-404.18980999999997"/>
    <n v="998.3492040000001"/>
    <n v="8677.9593939999995"/>
  </r>
  <r>
    <x v="65"/>
    <x v="5"/>
    <x v="1"/>
    <x v="0"/>
    <s v="KEPL/00685/82-83"/>
    <s v="BHAT BHATENI SUPERMARKET &amp; DEPARTMENTAL STORE PVT. LTD."/>
    <x v="0"/>
    <x v="15"/>
    <n v="0.5"/>
    <n v="90"/>
    <n v="105.31"/>
    <n v="9477.9"/>
    <n v="0"/>
    <n v="-473.89477700000003"/>
    <n v="1170.520538"/>
    <n v="10174.525761000001"/>
  </r>
  <r>
    <x v="65"/>
    <x v="5"/>
    <x v="1"/>
    <x v="0"/>
    <s v="KEPL/00685/82-83"/>
    <s v="BHAT BHATENI SUPERMARKET &amp; DEPARTMENTAL STORE PVT. LTD."/>
    <x v="0"/>
    <x v="38"/>
    <n v="0.5"/>
    <n v="60"/>
    <n v="77.430000000000007"/>
    <n v="4645.8"/>
    <n v="0"/>
    <n v="-232.28989099999998"/>
    <n v="573.75624500000004"/>
    <n v="4987.2663540000003"/>
  </r>
  <r>
    <x v="65"/>
    <x v="5"/>
    <x v="1"/>
    <x v="0"/>
    <s v="KEPL/00685/82-83"/>
    <s v="BHAT BHATENI SUPERMARKET &amp; DEPARTMENTAL STORE PVT. LTD."/>
    <x v="3"/>
    <x v="31"/>
    <n v="1"/>
    <n v="72"/>
    <n v="136.28"/>
    <n v="9812.16"/>
    <n v="0"/>
    <n v="-490.60776900000002"/>
    <n v="1211.8016440000001"/>
    <n v="10533.353875000001"/>
  </r>
  <r>
    <x v="65"/>
    <x v="5"/>
    <x v="1"/>
    <x v="0"/>
    <s v="KEPL/00685/82-83"/>
    <s v="BHAT BHATENI SUPERMARKET &amp; DEPARTMENTAL STORE PVT. LTD."/>
    <x v="0"/>
    <x v="35"/>
    <n v="0.5"/>
    <n v="40"/>
    <n v="154.87"/>
    <n v="6194.8"/>
    <n v="0"/>
    <n v="-309.73985399999998"/>
    <n v="765.05772699999989"/>
    <n v="6650.1178730000001"/>
  </r>
  <r>
    <x v="65"/>
    <x v="5"/>
    <x v="1"/>
    <x v="0"/>
    <s v="KEPL/00685/82-83"/>
    <s v="BHAT BHATENI SUPERMARKET &amp; DEPARTMENTAL STORE PVT. LTD."/>
    <x v="0"/>
    <x v="36"/>
    <n v="0.5"/>
    <n v="40"/>
    <n v="142.28"/>
    <n v="5691.2"/>
    <n v="0"/>
    <n v="-284.559866"/>
    <n v="702.86313299999995"/>
    <n v="6109.5032670000001"/>
  </r>
  <r>
    <x v="65"/>
    <x v="5"/>
    <x v="1"/>
    <x v="0"/>
    <s v="KEPL/00685/82-83"/>
    <s v="BHAT BHATENI SUPERMARKET &amp; DEPARTMENTAL STORE PVT. LTD."/>
    <x v="0"/>
    <x v="32"/>
    <n v="0.5"/>
    <n v="60"/>
    <n v="58.85"/>
    <n v="3531.0000000000005"/>
    <n v="0"/>
    <n v="-176.54991700000002"/>
    <n v="436.07845800000001"/>
    <n v="3790.5285410000001"/>
  </r>
  <r>
    <x v="65"/>
    <x v="5"/>
    <x v="1"/>
    <x v="0"/>
    <s v="KEPL/00685/82-83"/>
    <s v="BHAT BHATENI SUPERMARKET &amp; DEPARTMENTAL STORE PVT. LTD."/>
    <x v="1"/>
    <x v="3"/>
    <n v="1"/>
    <n v="40"/>
    <n v="360.53"/>
    <n v="14421.199999999999"/>
    <n v="0"/>
    <n v="-721.05966100000001"/>
    <n v="1781.0180290000001"/>
    <n v="15481.158368"/>
  </r>
  <r>
    <x v="65"/>
    <x v="5"/>
    <x v="1"/>
    <x v="0"/>
    <s v="KEPL/00685/82-83"/>
    <s v="BHAT BHATENI SUPERMARKET &amp; DEPARTMENTAL STORE PVT. LTD."/>
    <x v="0"/>
    <x v="45"/>
    <n v="0.5"/>
    <n v="40"/>
    <n v="130.09"/>
    <n v="5203.5999999999995"/>
    <n v="0"/>
    <n v="-260.17987800000003"/>
    <n v="642.64453800000001"/>
    <n v="5586.06466"/>
  </r>
  <r>
    <x v="65"/>
    <x v="5"/>
    <x v="1"/>
    <x v="0"/>
    <s v="KEPL/00685/82-83"/>
    <s v="BHAT BHATENI SUPERMARKET &amp; DEPARTMENTAL STORE PVT. LTD."/>
    <x v="1"/>
    <x v="6"/>
    <n v="1"/>
    <n v="100"/>
    <n v="148.66999999999999"/>
    <n v="14867"/>
    <n v="0"/>
    <n v="-743.34965000000011"/>
    <n v="1836.0743239999999"/>
    <n v="15959.724673999999"/>
  </r>
  <r>
    <x v="65"/>
    <x v="5"/>
    <x v="1"/>
    <x v="0"/>
    <s v="KEPL/00685/82-83"/>
    <s v="BHAT BHATENI SUPERMARKET &amp; DEPARTMENTAL STORE PVT. LTD."/>
    <x v="0"/>
    <x v="40"/>
    <n v="0.5"/>
    <n v="60"/>
    <n v="71.239999999999995"/>
    <n v="4274.3999999999996"/>
    <n v="0"/>
    <n v="-213.719899"/>
    <n v="527.88834900000006"/>
    <n v="4588.5684499999998"/>
  </r>
  <r>
    <x v="65"/>
    <x v="5"/>
    <x v="1"/>
    <x v="0"/>
    <s v="KEPL/00685/82-83"/>
    <s v="BHAT BHATENI SUPERMARKET &amp; DEPARTMENTAL STORE PVT. LTD."/>
    <x v="4"/>
    <x v="29"/>
    <n v="0.5"/>
    <n v="60"/>
    <n v="52.65"/>
    <n v="3159.0000000000005"/>
    <n v="0"/>
    <n v="-157.949926"/>
    <n v="390.13646299999999"/>
    <n v="3391.186537"/>
  </r>
  <r>
    <x v="65"/>
    <x v="5"/>
    <x v="1"/>
    <x v="0"/>
    <s v="KEPL/00685/82-83"/>
    <s v="BHAT BHATENI SUPERMARKET &amp; DEPARTMENTAL STORE PVT. LTD."/>
    <x v="0"/>
    <x v="21"/>
    <n v="1"/>
    <n v="80"/>
    <n v="170.35"/>
    <n v="13628.000000000002"/>
    <n v="0"/>
    <n v="-681.39967899999999"/>
    <n v="1683.0578389999998"/>
    <n v="14629.658160000001"/>
  </r>
  <r>
    <x v="65"/>
    <x v="5"/>
    <x v="1"/>
    <x v="0"/>
    <s v="KEPL/00685/82-83"/>
    <s v="BHAT BHATENI SUPERMARKET &amp; DEPARTMENTAL STORE PVT. LTD."/>
    <x v="2"/>
    <x v="34"/>
    <n v="0.5"/>
    <n v="40"/>
    <n v="210.62"/>
    <n v="8424.7999999999993"/>
    <n v="0"/>
    <n v="-421.239802"/>
    <n v="1040.4627"/>
    <n v="9044.0228979999993"/>
  </r>
  <r>
    <x v="65"/>
    <x v="5"/>
    <x v="1"/>
    <x v="0"/>
    <s v="KEPL/00685/82-83"/>
    <s v="BHAT BHATENI SUPERMARKET &amp; DEPARTMENTAL STORE PVT. LTD."/>
    <x v="2"/>
    <x v="24"/>
    <n v="1"/>
    <n v="40"/>
    <n v="402.65"/>
    <n v="16106"/>
    <n v="0"/>
    <n v="-805.299621"/>
    <n v="1989.090809"/>
    <n v="17289.791187999999"/>
  </r>
  <r>
    <x v="65"/>
    <x v="5"/>
    <x v="1"/>
    <x v="0"/>
    <s v="KEPL/00686/82-83"/>
    <s v="BHAT BHATENI SUPERMARKET &amp; DEPARTMENTAL STORE PVT. LTD."/>
    <x v="1"/>
    <x v="13"/>
    <n v="1"/>
    <n v="100"/>
    <n v="126"/>
    <n v="12600"/>
    <n v="0"/>
    <n v="-630"/>
    <n v="0"/>
    <n v="11970"/>
  </r>
  <r>
    <x v="65"/>
    <x v="5"/>
    <x v="1"/>
    <x v="0"/>
    <s v="KEPL/00686/82-83"/>
    <s v="BHAT BHATENI SUPERMARKET &amp; DEPARTMENTAL STORE PVT. LTD."/>
    <x v="1"/>
    <x v="12"/>
    <n v="2"/>
    <n v="80"/>
    <n v="308"/>
    <n v="24640"/>
    <n v="0"/>
    <n v="-1232"/>
    <n v="0"/>
    <n v="23408"/>
  </r>
  <r>
    <x v="65"/>
    <x v="5"/>
    <x v="1"/>
    <x v="0"/>
    <s v="KEPL/00687/82-83"/>
    <s v="GORIN TRADING "/>
    <x v="4"/>
    <x v="29"/>
    <n v="2"/>
    <n v="240"/>
    <n v="57.46"/>
    <n v="13790.4"/>
    <n v="-1253.55"/>
    <n v="0"/>
    <n v="1629.79"/>
    <n v="14166.64"/>
  </r>
  <r>
    <x v="66"/>
    <x v="5"/>
    <x v="1"/>
    <x v="0"/>
    <s v="KEPL/00697/82-83"/>
    <s v="BHAT BHATENI SUPERMARKET &amp; DEPARTMENTAL STORE PVT. LTD."/>
    <x v="1"/>
    <x v="13"/>
    <n v="0.4"/>
    <n v="40"/>
    <n v="126"/>
    <n v="5040"/>
    <n v="0"/>
    <n v="-252"/>
    <n v="0"/>
    <n v="4788"/>
  </r>
  <r>
    <x v="66"/>
    <x v="5"/>
    <x v="1"/>
    <x v="0"/>
    <s v="KEPL/00697/82-83"/>
    <s v="BHAT BHATENI SUPERMARKET &amp; DEPARTMENTAL STORE PVT. LTD."/>
    <x v="1"/>
    <x v="12"/>
    <n v="1"/>
    <n v="40"/>
    <n v="308"/>
    <n v="12320"/>
    <n v="0"/>
    <n v="-616"/>
    <n v="0"/>
    <n v="11704"/>
  </r>
  <r>
    <x v="66"/>
    <x v="5"/>
    <x v="1"/>
    <x v="0"/>
    <s v="KEPL/00698/82-83"/>
    <s v="BHAT BHATENI SUPERMARKET &amp; DEPARTMENTAL STORE PVT. LTD."/>
    <x v="1"/>
    <x v="13"/>
    <n v="2"/>
    <n v="200"/>
    <n v="126"/>
    <n v="25200"/>
    <n v="0"/>
    <n v="-1260"/>
    <n v="0"/>
    <n v="23940"/>
  </r>
  <r>
    <x v="66"/>
    <x v="5"/>
    <x v="1"/>
    <x v="0"/>
    <s v="KEPL/00698/82-83"/>
    <s v="BHAT BHATENI SUPERMARKET &amp; DEPARTMENTAL STORE PVT. LTD."/>
    <x v="1"/>
    <x v="12"/>
    <n v="2"/>
    <n v="80"/>
    <n v="308"/>
    <n v="24640"/>
    <n v="0"/>
    <n v="-1232"/>
    <n v="0"/>
    <n v="23408"/>
  </r>
  <r>
    <x v="66"/>
    <x v="5"/>
    <x v="1"/>
    <x v="0"/>
    <s v="KEPL/00699/82-83"/>
    <s v="BHAT BHATENI SUPERMARKET &amp; DEPARTMENTAL STORE PVT. LTD."/>
    <x v="4"/>
    <x v="30"/>
    <n v="1"/>
    <n v="60"/>
    <n v="89.82"/>
    <n v="5389.2"/>
    <n v="0"/>
    <n v="-269.45999999999998"/>
    <n v="665.56607200000008"/>
    <n v="5785.3060720000003"/>
  </r>
  <r>
    <x v="66"/>
    <x v="5"/>
    <x v="1"/>
    <x v="0"/>
    <s v="KEPL/00699/82-83"/>
    <s v="BHAT BHATENI SUPERMARKET &amp; DEPARTMENTAL STORE PVT. LTD."/>
    <x v="5"/>
    <x v="43"/>
    <n v="1"/>
    <n v="60"/>
    <n v="136.28"/>
    <n v="8176.8"/>
    <n v="0"/>
    <n v="-408.84"/>
    <n v="1009.834607"/>
    <n v="8777.7946069999998"/>
  </r>
  <r>
    <x v="66"/>
    <x v="5"/>
    <x v="1"/>
    <x v="0"/>
    <s v="KEPL/00699/82-83"/>
    <s v="BHAT BHATENI SUPERMARKET &amp; DEPARTMENTAL STORE PVT. LTD."/>
    <x v="0"/>
    <x v="42"/>
    <n v="0.5"/>
    <n v="60"/>
    <n v="86.73"/>
    <n v="5203.8"/>
    <n v="0"/>
    <n v="-260.19"/>
    <n v="642.66917699999999"/>
    <n v="5586.2791770000003"/>
  </r>
  <r>
    <x v="66"/>
    <x v="5"/>
    <x v="1"/>
    <x v="0"/>
    <s v="KEPL/00699/82-83"/>
    <s v="BHAT BHATENI SUPERMARKET &amp; DEPARTMENTAL STORE PVT. LTD."/>
    <x v="0"/>
    <x v="44"/>
    <n v="0.5"/>
    <n v="90"/>
    <n v="111.5"/>
    <n v="10035"/>
    <n v="0"/>
    <n v="-501.75"/>
    <n v="1239.322263"/>
    <n v="10772.572263"/>
  </r>
  <r>
    <x v="66"/>
    <x v="5"/>
    <x v="1"/>
    <x v="0"/>
    <s v="KEPL/00699/82-83"/>
    <s v="BHAT BHATENI SUPERMARKET &amp; DEPARTMENTAL STORE PVT. LTD."/>
    <x v="0"/>
    <x v="41"/>
    <n v="0.5"/>
    <n v="60"/>
    <n v="145.58000000000001"/>
    <n v="8734.7999999999993"/>
    <n v="0"/>
    <n v="-436.74"/>
    <n v="1078.7475930000001"/>
    <n v="9376.8075929999995"/>
  </r>
  <r>
    <x v="66"/>
    <x v="5"/>
    <x v="1"/>
    <x v="0"/>
    <s v="KEPL/00699/82-83"/>
    <s v="BHAT BHATENI SUPERMARKET &amp; DEPARTMENTAL STORE PVT. LTD."/>
    <x v="0"/>
    <x v="32"/>
    <n v="0.5"/>
    <n v="60"/>
    <n v="58.85"/>
    <n v="3531.0000000000005"/>
    <n v="0"/>
    <n v="-176.55"/>
    <n v="436.078416"/>
    <n v="3790.5284160000001"/>
  </r>
  <r>
    <x v="66"/>
    <x v="5"/>
    <x v="1"/>
    <x v="0"/>
    <s v="KEPL/00699/82-83"/>
    <s v="BHAT BHATENI SUPERMARKET &amp; DEPARTMENTAL STORE PVT. LTD."/>
    <x v="2"/>
    <x v="34"/>
    <n v="0.5"/>
    <n v="40"/>
    <n v="210.62"/>
    <n v="8424.7999999999993"/>
    <n v="0"/>
    <n v="-421.24"/>
    <n v="1040.4626009999999"/>
    <n v="9044.0226010000006"/>
  </r>
  <r>
    <x v="66"/>
    <x v="5"/>
    <x v="1"/>
    <x v="0"/>
    <s v="KEPL/00699/82-83"/>
    <s v="BHAT BHATENI SUPERMARKET &amp; DEPARTMENTAL STORE PVT. LTD."/>
    <x v="3"/>
    <x v="26"/>
    <n v="1"/>
    <n v="72"/>
    <n v="120.8"/>
    <n v="8697.6"/>
    <n v="0"/>
    <n v="-434.88"/>
    <n v="1074.1533940000002"/>
    <n v="9336.8733940000002"/>
  </r>
  <r>
    <x v="66"/>
    <x v="5"/>
    <x v="1"/>
    <x v="0"/>
    <s v="KEPL/00699/82-83"/>
    <s v="BHAT BHATENI SUPERMARKET &amp; DEPARTMENTAL STORE PVT. LTD."/>
    <x v="0"/>
    <x v="39"/>
    <n v="0.5"/>
    <n v="90"/>
    <n v="76.81"/>
    <n v="6912.9000000000005"/>
    <n v="0"/>
    <n v="-345.64499999999998"/>
    <n v="853.74298599999997"/>
    <n v="7420.9979860000003"/>
  </r>
  <r>
    <x v="66"/>
    <x v="5"/>
    <x v="1"/>
    <x v="0"/>
    <s v="KEPL/00699/82-83"/>
    <s v="BHAT BHATENI SUPERMARKET &amp; DEPARTMENTAL STORE PVT. LTD."/>
    <x v="4"/>
    <x v="29"/>
    <n v="0.5"/>
    <n v="60"/>
    <n v="52.65"/>
    <n v="3159.0000000000005"/>
    <n v="0"/>
    <n v="-157.94999999999999"/>
    <n v="390.13642500000003"/>
    <n v="3391.1864249999999"/>
  </r>
  <r>
    <x v="66"/>
    <x v="5"/>
    <x v="1"/>
    <x v="0"/>
    <s v="KEPL/00699/82-83"/>
    <s v="BHAT BHATENI SUPERMARKET &amp; DEPARTMENTAL STORE PVT. LTD."/>
    <x v="2"/>
    <x v="24"/>
    <n v="1"/>
    <n v="40"/>
    <n v="402.65"/>
    <n v="16106"/>
    <n v="0"/>
    <n v="-805.3"/>
    <n v="1989.0906190000001"/>
    <n v="17289.790618999999"/>
  </r>
  <r>
    <x v="66"/>
    <x v="5"/>
    <x v="1"/>
    <x v="0"/>
    <s v="KEPL/00699/82-83"/>
    <s v="BHAT BHATENI SUPERMARKET &amp; DEPARTMENTAL STORE PVT. LTD."/>
    <x v="0"/>
    <x v="48"/>
    <n v="0.5"/>
    <n v="90"/>
    <n v="74.34"/>
    <n v="6690.5999999999995"/>
    <n v="0"/>
    <n v="-334.53"/>
    <n v="826.28894199999991"/>
    <n v="7182.3589419999998"/>
  </r>
  <r>
    <x v="66"/>
    <x v="5"/>
    <x v="1"/>
    <x v="0"/>
    <s v="KEPL/00699/82-83"/>
    <s v="BHAT BHATENI SUPERMARKET &amp; DEPARTMENTAL STORE PVT. LTD."/>
    <x v="0"/>
    <x v="37"/>
    <n v="0.5"/>
    <n v="90"/>
    <n v="89.82"/>
    <n v="8083.8"/>
    <n v="0"/>
    <n v="-404.19"/>
    <n v="998.349109"/>
    <n v="8677.9591089999994"/>
  </r>
  <r>
    <x v="66"/>
    <x v="5"/>
    <x v="1"/>
    <x v="0"/>
    <s v="KEPL/00699/82-83"/>
    <s v="BHAT BHATENI SUPERMARKET &amp; DEPARTMENTAL STORE PVT. LTD."/>
    <x v="2"/>
    <x v="28"/>
    <n v="0.5"/>
    <n v="40"/>
    <n v="154.87"/>
    <n v="6194.8"/>
    <n v="0"/>
    <n v="-309.74"/>
    <n v="765.05765299999996"/>
    <n v="6650.1176530000002"/>
  </r>
  <r>
    <x v="66"/>
    <x v="5"/>
    <x v="1"/>
    <x v="0"/>
    <s v="KEPL/00699/82-83"/>
    <s v="BHAT BHATENI SUPERMARKET &amp; DEPARTMENTAL STORE PVT. LTD."/>
    <x v="0"/>
    <x v="35"/>
    <n v="0.5"/>
    <n v="40"/>
    <n v="154.87"/>
    <n v="6194.8"/>
    <n v="0"/>
    <n v="-309.74"/>
    <n v="765.05765299999996"/>
    <n v="6650.1176530000002"/>
  </r>
  <r>
    <x v="66"/>
    <x v="5"/>
    <x v="1"/>
    <x v="0"/>
    <s v="KEPL/00699/82-83"/>
    <s v="BHAT BHATENI SUPERMARKET &amp; DEPARTMENTAL STORE PVT. LTD."/>
    <x v="0"/>
    <x v="36"/>
    <n v="0.5"/>
    <n v="40"/>
    <n v="142.47999999999999"/>
    <n v="5699.2"/>
    <n v="0"/>
    <n v="-284.95999999999998"/>
    <n v="703.85106499999995"/>
    <n v="6118.0910649999996"/>
  </r>
  <r>
    <x v="66"/>
    <x v="5"/>
    <x v="1"/>
    <x v="0"/>
    <s v="KEPL/00699/82-83"/>
    <s v="BHAT BHATENI SUPERMARKET &amp; DEPARTMENTAL STORE PVT. LTD."/>
    <x v="1"/>
    <x v="3"/>
    <n v="2"/>
    <n v="80"/>
    <n v="360.53"/>
    <n v="28842.399999999998"/>
    <n v="0"/>
    <n v="-1442.12"/>
    <n v="3562.0357180000001"/>
    <n v="30962.315718000002"/>
  </r>
  <r>
    <x v="66"/>
    <x v="5"/>
    <x v="1"/>
    <x v="0"/>
    <s v="KEPL/00699/82-83"/>
    <s v="BHAT BHATENI SUPERMARKET &amp; DEPARTMENTAL STORE PVT. LTD."/>
    <x v="2"/>
    <x v="33"/>
    <n v="0.5"/>
    <n v="90"/>
    <n v="83.63"/>
    <n v="7526.7"/>
    <n v="0"/>
    <n v="-376.33500000000004"/>
    <n v="929.54727200000002"/>
    <n v="8079.9122719999996"/>
  </r>
  <r>
    <x v="66"/>
    <x v="5"/>
    <x v="1"/>
    <x v="0"/>
    <s v="KEPL/00699/82-83"/>
    <s v="BHAT BHATENI SUPERMARKET &amp; DEPARTMENTAL STORE PVT. LTD."/>
    <x v="3"/>
    <x v="46"/>
    <n v="0.5"/>
    <n v="50"/>
    <n v="89.82"/>
    <n v="4491"/>
    <n v="0"/>
    <n v="-224.55"/>
    <n v="554.63839400000006"/>
    <n v="4821.0883940000003"/>
  </r>
  <r>
    <x v="66"/>
    <x v="5"/>
    <x v="1"/>
    <x v="0"/>
    <s v="KEPL/00699/82-83"/>
    <s v="BHAT BHATENI SUPERMARKET &amp; DEPARTMENTAL STORE PVT. LTD."/>
    <x v="1"/>
    <x v="6"/>
    <n v="2"/>
    <n v="200"/>
    <n v="148.66999999999999"/>
    <n v="29734"/>
    <n v="0"/>
    <n v="-1486.7"/>
    <n v="3672.1482960000003"/>
    <n v="31919.448295999999"/>
  </r>
  <r>
    <x v="66"/>
    <x v="5"/>
    <x v="1"/>
    <x v="0"/>
    <s v="KEPL/00699/82-83"/>
    <s v="BHAT BHATENI SUPERMARKET &amp; DEPARTMENTAL STORE PVT. LTD."/>
    <x v="0"/>
    <x v="18"/>
    <n v="0.5"/>
    <n v="60"/>
    <n v="130.09"/>
    <n v="7805.4000000000005"/>
    <n v="0"/>
    <n v="-390.27"/>
    <n v="963.96671499999991"/>
    <n v="8379.0967149999997"/>
  </r>
  <r>
    <x v="66"/>
    <x v="5"/>
    <x v="1"/>
    <x v="0"/>
    <s v="KEPL/00699/82-83"/>
    <s v="BHAT BHATENI SUPERMARKET &amp; DEPARTMENTAL STORE PVT. LTD."/>
    <x v="0"/>
    <x v="38"/>
    <n v="0.5"/>
    <n v="60"/>
    <n v="77.430000000000007"/>
    <n v="4645.8"/>
    <n v="0"/>
    <n v="-232.29"/>
    <n v="573.75619000000006"/>
    <n v="4987.2661900000003"/>
  </r>
  <r>
    <x v="66"/>
    <x v="5"/>
    <x v="1"/>
    <x v="0"/>
    <s v="KEPL/00699/82-83"/>
    <s v="BHAT BHATENI SUPERMARKET &amp; DEPARTMENTAL STORE PVT. LTD."/>
    <x v="0"/>
    <x v="21"/>
    <n v="0.5"/>
    <n v="40"/>
    <n v="170.35"/>
    <n v="6814.0000000000009"/>
    <n v="0"/>
    <n v="-340.7"/>
    <n v="841.52883900000006"/>
    <n v="7314.8288389999998"/>
  </r>
  <r>
    <x v="66"/>
    <x v="5"/>
    <x v="1"/>
    <x v="0"/>
    <s v="KEPL/00700/82-83"/>
    <s v="BHAT BHATENI SUPERMARKET &amp; DEPARTMENTAL STORE PVT. LTD."/>
    <x v="2"/>
    <x v="22"/>
    <n v="1"/>
    <n v="40"/>
    <n v="260.18"/>
    <n v="10407.199999999999"/>
    <n v="0"/>
    <n v="-520.36030000000005"/>
    <n v="1285.28847"/>
    <n v="11172.12817"/>
  </r>
  <r>
    <x v="66"/>
    <x v="5"/>
    <x v="1"/>
    <x v="0"/>
    <s v="KEPL/00700/82-83"/>
    <s v="BHAT BHATENI SUPERMARKET &amp; DEPARTMENTAL STORE PVT. LTD."/>
    <x v="0"/>
    <x v="16"/>
    <n v="0.25"/>
    <n v="30"/>
    <n v="108.41"/>
    <n v="3252.3"/>
    <n v="0"/>
    <n v="-162.615094"/>
    <n v="401.65882199999999"/>
    <n v="3491.3437279999998"/>
  </r>
  <r>
    <x v="66"/>
    <x v="5"/>
    <x v="1"/>
    <x v="0"/>
    <s v="KEPL/00700/82-83"/>
    <s v="BHAT BHATENI SUPERMARKET &amp; DEPARTMENTAL STORE PVT. LTD."/>
    <x v="0"/>
    <x v="18"/>
    <n v="0.25"/>
    <n v="30"/>
    <n v="130.09"/>
    <n v="3902.7000000000003"/>
    <n v="0"/>
    <n v="-195.13511299999999"/>
    <n v="481.98317599999996"/>
    <n v="4189.5480630000002"/>
  </r>
  <r>
    <x v="66"/>
    <x v="5"/>
    <x v="1"/>
    <x v="0"/>
    <s v="KEPL/00700/82-83"/>
    <s v="BHAT BHATENI SUPERMARKET &amp; DEPARTMENTAL STORE PVT. LTD."/>
    <x v="3"/>
    <x v="25"/>
    <n v="0.75"/>
    <n v="36"/>
    <n v="284.95999999999998"/>
    <n v="10258.56"/>
    <n v="0"/>
    <n v="-512.92829599999993"/>
    <n v="1266.9314409999999"/>
    <n v="11012.563145"/>
  </r>
  <r>
    <x v="66"/>
    <x v="5"/>
    <x v="1"/>
    <x v="0"/>
    <s v="KEPL/00700/82-83"/>
    <s v="BHAT BHATENI SUPERMARKET &amp; DEPARTMENTAL STORE PVT. LTD."/>
    <x v="0"/>
    <x v="19"/>
    <n v="0.22"/>
    <n v="40"/>
    <n v="142.47999999999999"/>
    <n v="5699.2"/>
    <n v="0"/>
    <n v="-284.96016399999996"/>
    <n v="703.85080000000005"/>
    <n v="6118.0906359999999"/>
  </r>
  <r>
    <x v="66"/>
    <x v="5"/>
    <x v="1"/>
    <x v="0"/>
    <s v="KEPL/00700/82-83"/>
    <s v="BHAT BHATENI SUPERMARKET &amp; DEPARTMENTAL STORE PVT. LTD."/>
    <x v="2"/>
    <x v="23"/>
    <n v="0.22"/>
    <n v="40"/>
    <n v="145.58000000000001"/>
    <n v="5823.2"/>
    <n v="0"/>
    <n v="-291.160168"/>
    <n v="719.16479200000003"/>
    <n v="6251.204624"/>
  </r>
  <r>
    <x v="66"/>
    <x v="5"/>
    <x v="1"/>
    <x v="0"/>
    <s v="KEPL/00700/82-83"/>
    <s v="BHAT BHATENI SUPERMARKET &amp; DEPARTMENTAL STORE PVT. LTD."/>
    <x v="1"/>
    <x v="1"/>
    <n v="0.4"/>
    <n v="40"/>
    <n v="99.12"/>
    <n v="3964.8"/>
    <n v="0"/>
    <n v="-198.24011400000001"/>
    <n v="489.65252200000003"/>
    <n v="4256.2124080000003"/>
  </r>
  <r>
    <x v="66"/>
    <x v="5"/>
    <x v="1"/>
    <x v="0"/>
    <s v="KEPL/00700/82-83"/>
    <s v="BHAT BHATENI SUPERMARKET &amp; DEPARTMENTAL STORE PVT. LTD."/>
    <x v="0"/>
    <x v="42"/>
    <n v="0.17"/>
    <n v="20"/>
    <n v="86.73"/>
    <n v="1734.6"/>
    <n v="0"/>
    <n v="-86.730049999999991"/>
    <n v="214.22297799999998"/>
    <n v="1862.092928"/>
  </r>
  <r>
    <x v="66"/>
    <x v="5"/>
    <x v="1"/>
    <x v="0"/>
    <s v="KEPL/00700/82-83"/>
    <s v="BHAT BHATENI SUPERMARKET &amp; DEPARTMENTAL STORE PVT. LTD."/>
    <x v="1"/>
    <x v="4"/>
    <n v="1"/>
    <n v="40"/>
    <n v="238.5"/>
    <n v="9539.9999999999982"/>
    <n v="0"/>
    <n v="-477.00027499999999"/>
    <n v="1178.189331"/>
    <n v="10241.189055999999"/>
  </r>
  <r>
    <x v="66"/>
    <x v="5"/>
    <x v="1"/>
    <x v="0"/>
    <s v="KEPL/00700/82-83"/>
    <s v="BHAT BHATENI SUPERMARKET &amp; DEPARTMENTAL STORE PVT. LTD."/>
    <x v="2"/>
    <x v="8"/>
    <n v="0.25"/>
    <n v="30"/>
    <n v="46.46"/>
    <n v="1393.8"/>
    <n v="0"/>
    <n v="-69.690039999999996"/>
    <n v="172.13420199999999"/>
    <n v="1496.244162"/>
  </r>
  <r>
    <x v="66"/>
    <x v="5"/>
    <x v="1"/>
    <x v="0"/>
    <s v="KEPL/00700/82-83"/>
    <s v="BHAT BHATENI SUPERMARKET &amp; DEPARTMENTAL STORE PVT. LTD."/>
    <x v="0"/>
    <x v="14"/>
    <n v="0.17"/>
    <n v="30"/>
    <n v="123.89"/>
    <n v="3716.7000000000003"/>
    <n v="0"/>
    <n v="-185.83510699999999"/>
    <n v="459.01218900000003"/>
    <n v="3989.877082"/>
  </r>
  <r>
    <x v="66"/>
    <x v="5"/>
    <x v="1"/>
    <x v="0"/>
    <s v="KEPL/00700/82-83"/>
    <s v="BHAT BHATENI SUPERMARKET &amp; DEPARTMENTAL STORE PVT. LTD."/>
    <x v="5"/>
    <x v="43"/>
    <n v="0.17"/>
    <n v="10"/>
    <n v="136.28"/>
    <n v="1362.8"/>
    <n v="0"/>
    <n v="-68.140039000000002"/>
    <n v="168.30570399999999"/>
    <n v="1462.9656649999999"/>
  </r>
  <r>
    <x v="66"/>
    <x v="5"/>
    <x v="1"/>
    <x v="0"/>
    <s v="KEPL/00700/82-83"/>
    <s v="BHAT BHATENI SUPERMARKET &amp; DEPARTMENTAL STORE PVT. LTD."/>
    <x v="0"/>
    <x v="9"/>
    <n v="0.22"/>
    <n v="40"/>
    <n v="65.040000000000006"/>
    <n v="2601.6"/>
    <n v="0"/>
    <n v="-130.08007499999999"/>
    <n v="321.29741800000005"/>
    <n v="2792.8173430000002"/>
  </r>
  <r>
    <x v="66"/>
    <x v="5"/>
    <x v="1"/>
    <x v="0"/>
    <s v="KEPL/00700/82-83"/>
    <s v="BHAT BHATENI SUPERMARKET &amp; DEPARTMENTAL STORE PVT. LTD."/>
    <x v="0"/>
    <x v="44"/>
    <n v="0.17"/>
    <n v="30"/>
    <n v="111.5"/>
    <n v="3344.9999999999995"/>
    <n v="0"/>
    <n v="-167.25009699999998"/>
    <n v="413.10726499999998"/>
    <n v="3590.857168"/>
  </r>
  <r>
    <x v="66"/>
    <x v="5"/>
    <x v="1"/>
    <x v="0"/>
    <s v="KEPL/00700/82-83"/>
    <s v="BHAT BHATENI SUPERMARKET &amp; DEPARTMENTAL STORE PVT. LTD."/>
    <x v="0"/>
    <x v="39"/>
    <n v="0.17"/>
    <n v="30"/>
    <n v="76.81"/>
    <n v="2304.3000000000002"/>
    <n v="0"/>
    <n v="-115.21506599999999"/>
    <n v="284.58088800000002"/>
    <n v="2473.6658219999999"/>
  </r>
  <r>
    <x v="66"/>
    <x v="5"/>
    <x v="1"/>
    <x v="0"/>
    <s v="KEPL/00701/82-83"/>
    <s v="BHAT BHATENI SUPERMARKET &amp; DEPARTMENTAL STORE PVT. LTD."/>
    <x v="0"/>
    <x v="21"/>
    <n v="0.38"/>
    <n v="30"/>
    <n v="170.35"/>
    <n v="5110.5"/>
    <n v="0"/>
    <n v="-255.52507499999999"/>
    <n v="631.14656100000002"/>
    <n v="5486.121486"/>
  </r>
  <r>
    <x v="66"/>
    <x v="5"/>
    <x v="1"/>
    <x v="0"/>
    <s v="KEPL/00701/82-83"/>
    <s v="BHAT BHATENI SUPERMARKET &amp; DEPARTMENTAL STORE PVT. LTD."/>
    <x v="2"/>
    <x v="34"/>
    <n v="0.5"/>
    <n v="40"/>
    <n v="210.62"/>
    <n v="8424.7999999999993"/>
    <n v="0"/>
    <n v="-421.24012300000004"/>
    <n v="1040.462489"/>
    <n v="9044.0223659999992"/>
  </r>
  <r>
    <x v="66"/>
    <x v="5"/>
    <x v="1"/>
    <x v="0"/>
    <s v="KEPL/00701/82-83"/>
    <s v="BHAT BHATENI SUPERMARKET &amp; DEPARTMENTAL STORE PVT. LTD."/>
    <x v="4"/>
    <x v="29"/>
    <n v="0.3"/>
    <n v="36"/>
    <n v="52.65"/>
    <n v="1895.4"/>
    <n v="0"/>
    <n v="-94.770027999999996"/>
    <n v="234.08183"/>
    <n v="2034.711802"/>
  </r>
  <r>
    <x v="66"/>
    <x v="5"/>
    <x v="1"/>
    <x v="0"/>
    <s v="KEPL/00701/82-83"/>
    <s v="BHAT BHATENI SUPERMARKET &amp; DEPARTMENTAL STORE PVT. LTD."/>
    <x v="2"/>
    <x v="24"/>
    <n v="0.5"/>
    <n v="20"/>
    <n v="402.65"/>
    <n v="8053"/>
    <n v="0"/>
    <n v="-402.65011699999997"/>
    <n v="994.54520300000001"/>
    <n v="8644.8950860000004"/>
  </r>
  <r>
    <x v="66"/>
    <x v="5"/>
    <x v="1"/>
    <x v="0"/>
    <s v="KEPL/00701/82-83"/>
    <s v="BHAT BHATENI SUPERMARKET &amp; DEPARTMENTAL STORE PVT. LTD."/>
    <x v="1"/>
    <x v="3"/>
    <n v="1"/>
    <n v="40"/>
    <n v="360.53"/>
    <n v="14421.199999999999"/>
    <n v="0"/>
    <n v="-721.0602100000001"/>
    <n v="1781.017668"/>
    <n v="15481.157458"/>
  </r>
  <r>
    <x v="66"/>
    <x v="5"/>
    <x v="1"/>
    <x v="0"/>
    <s v="KEPL/00701/82-83"/>
    <s v="BHAT BHATENI SUPERMARKET &amp; DEPARTMENTAL STORE PVT. LTD."/>
    <x v="0"/>
    <x v="45"/>
    <n v="0.38"/>
    <n v="30"/>
    <n v="130.09"/>
    <n v="3902.7000000000003"/>
    <n v="0"/>
    <n v="-195.13505699999999"/>
    <n v="481.98330600000003"/>
    <n v="4189.5482490000004"/>
  </r>
  <r>
    <x v="66"/>
    <x v="5"/>
    <x v="1"/>
    <x v="0"/>
    <s v="KEPL/00701/82-83"/>
    <s v="BHAT BHATENI SUPERMARKET &amp; DEPARTMENTAL STORE PVT. LTD."/>
    <x v="0"/>
    <x v="40"/>
    <n v="0.25"/>
    <n v="30"/>
    <n v="71.239999999999995"/>
    <n v="2137.1999999999998"/>
    <n v="0"/>
    <n v="-106.86003100000001"/>
    <n v="263.944121"/>
    <n v="2294.2840900000001"/>
  </r>
  <r>
    <x v="66"/>
    <x v="5"/>
    <x v="1"/>
    <x v="0"/>
    <s v="KEPL/00701/82-83"/>
    <s v="BHAT BHATENI SUPERMARKET &amp; DEPARTMENTAL STORE PVT. LTD."/>
    <x v="3"/>
    <x v="31"/>
    <n v="0.5"/>
    <n v="36"/>
    <n v="136.28"/>
    <n v="4906.08"/>
    <n v="0"/>
    <n v="-245.30407199999999"/>
    <n v="605.90069899999992"/>
    <n v="5266.6766269999998"/>
  </r>
  <r>
    <x v="66"/>
    <x v="5"/>
    <x v="1"/>
    <x v="0"/>
    <s v="KEPL/00701/82-83"/>
    <s v="BHAT BHATENI SUPERMARKET &amp; DEPARTMENTAL STORE PVT. LTD."/>
    <x v="3"/>
    <x v="46"/>
    <n v="0.3"/>
    <n v="30"/>
    <n v="89.82"/>
    <n v="2694.6"/>
    <n v="0"/>
    <n v="-134.730039"/>
    <n v="332.78300100000001"/>
    <n v="2892.6529620000001"/>
  </r>
  <r>
    <x v="66"/>
    <x v="5"/>
    <x v="1"/>
    <x v="0"/>
    <s v="KEPL/00701/82-83"/>
    <s v="BHAT BHATENI SUPERMARKET &amp; DEPARTMENTAL STORE PVT. LTD."/>
    <x v="0"/>
    <x v="27"/>
    <n v="0.25"/>
    <n v="30"/>
    <n v="105.31"/>
    <n v="3159.2999999999997"/>
    <n v="0"/>
    <n v="-157.965046"/>
    <n v="390.17343300000005"/>
    <n v="3391.5083869999999"/>
  </r>
  <r>
    <x v="66"/>
    <x v="5"/>
    <x v="1"/>
    <x v="0"/>
    <s v="KEPL/00701/82-83"/>
    <s v="BHAT BHATENI SUPERMARKET &amp; DEPARTMENTAL STORE PVT. LTD."/>
    <x v="0"/>
    <x v="32"/>
    <n v="0.25"/>
    <n v="30"/>
    <n v="58.85"/>
    <n v="1765.5000000000002"/>
    <n v="0"/>
    <n v="-88.275025999999997"/>
    <n v="218.039185"/>
    <n v="1895.2641590000001"/>
  </r>
  <r>
    <x v="66"/>
    <x v="5"/>
    <x v="1"/>
    <x v="0"/>
    <s v="KEPL/00701/82-83"/>
    <s v="BHAT BHATENI SUPERMARKET &amp; DEPARTMENTAL STORE PVT. LTD."/>
    <x v="1"/>
    <x v="6"/>
    <n v="0.4"/>
    <n v="40"/>
    <n v="148.66999999999999"/>
    <n v="5946.8"/>
    <n v="0"/>
    <n v="-297.34008699999998"/>
    <n v="734.42958099999998"/>
    <n v="6383.889494"/>
  </r>
  <r>
    <x v="66"/>
    <x v="5"/>
    <x v="1"/>
    <x v="0"/>
    <s v="KEPL/00701/82-83"/>
    <s v="BHAT BHATENI SUPERMARKET &amp; DEPARTMENTAL STORE PVT. LTD."/>
    <x v="2"/>
    <x v="5"/>
    <n v="0.22"/>
    <n v="40"/>
    <n v="74.34"/>
    <n v="2973.6"/>
    <n v="0"/>
    <n v="-148.68004299999998"/>
    <n v="367.23948999999999"/>
    <n v="3192.159447"/>
  </r>
  <r>
    <x v="66"/>
    <x v="5"/>
    <x v="1"/>
    <x v="0"/>
    <s v="KEPL/00701/82-83"/>
    <s v="BHAT BHATENI SUPERMARKET &amp; DEPARTMENTAL STORE PVT. LTD."/>
    <x v="0"/>
    <x v="15"/>
    <n v="0.17"/>
    <n v="30"/>
    <n v="105.31"/>
    <n v="3159.2999999999997"/>
    <n v="0"/>
    <n v="-157.965046"/>
    <n v="390.17343300000005"/>
    <n v="3391.5083869999999"/>
  </r>
  <r>
    <x v="66"/>
    <x v="5"/>
    <x v="1"/>
    <x v="0"/>
    <s v="KEPL/00702/82-83"/>
    <s v="NEPAL SENA SUPATH MULYA CANTEEN"/>
    <x v="3"/>
    <x v="25"/>
    <n v="1"/>
    <n v="48"/>
    <n v="313.14"/>
    <n v="15030.72"/>
    <n v="0"/>
    <n v="0"/>
    <n v="1953.99207"/>
    <n v="16984.712070000001"/>
  </r>
  <r>
    <x v="66"/>
    <x v="5"/>
    <x v="1"/>
    <x v="0"/>
    <s v="KEPL/00702/82-83"/>
    <s v="NEPAL SENA SUPATH MULYA CANTEEN"/>
    <x v="3"/>
    <x v="31"/>
    <n v="1"/>
    <n v="72"/>
    <n v="149.76"/>
    <n v="10782.72"/>
    <n v="0"/>
    <n v="0"/>
    <n v="1401.7525030000002"/>
    <n v="12184.472503000001"/>
  </r>
  <r>
    <x v="66"/>
    <x v="5"/>
    <x v="1"/>
    <x v="0"/>
    <s v="KEPL/00702/82-83"/>
    <s v="NEPAL SENA SUPATH MULYA CANTEEN"/>
    <x v="3"/>
    <x v="26"/>
    <n v="1"/>
    <n v="72"/>
    <n v="132.74"/>
    <n v="9557.2799999999988"/>
    <n v="0"/>
    <n v="0"/>
    <n v="1242.4454270000001"/>
    <n v="10799.725426999999"/>
  </r>
  <r>
    <x v="67"/>
    <x v="5"/>
    <x v="1"/>
    <x v="0"/>
    <s v="KEPL/00731/82-83"/>
    <s v="SHIVA SHAKTI CONCERN"/>
    <x v="2"/>
    <x v="5"/>
    <n v="3"/>
    <n v="540"/>
    <n v="94.65"/>
    <n v="51110.999999999993"/>
    <n v="-4645.99"/>
    <n v="0"/>
    <n v="6040.45"/>
    <n v="52505.46"/>
  </r>
  <r>
    <x v="67"/>
    <x v="5"/>
    <x v="1"/>
    <x v="0"/>
    <s v="KEPL/00732/82-83"/>
    <s v="SIMPEX SOLUTION PVT. LTD"/>
    <x v="0"/>
    <x v="16"/>
    <n v="0.04"/>
    <n v="5"/>
    <n v="127.43"/>
    <n v="637.15000000000009"/>
    <n v="0"/>
    <n v="0"/>
    <n v="82.829031999999998"/>
    <n v="719.97903199999996"/>
  </r>
  <r>
    <x v="67"/>
    <x v="5"/>
    <x v="1"/>
    <x v="0"/>
    <s v="KEPL/00732/82-83"/>
    <s v="SIMPEX SOLUTION PVT. LTD"/>
    <x v="0"/>
    <x v="9"/>
    <n v="0.03"/>
    <n v="5"/>
    <n v="74.34"/>
    <n v="371.7"/>
    <n v="0"/>
    <n v="0"/>
    <n v="48.320727000000005"/>
    <n v="420.02072700000002"/>
  </r>
  <r>
    <x v="67"/>
    <x v="5"/>
    <x v="1"/>
    <x v="0"/>
    <s v="KEPL/00732/82-83"/>
    <s v="SIMPEX SOLUTION PVT. LTD"/>
    <x v="0"/>
    <x v="11"/>
    <n v="0.04"/>
    <n v="7"/>
    <n v="67.260000000000005"/>
    <n v="470.82"/>
    <n v="0"/>
    <n v="0"/>
    <n v="61.206254000000001"/>
    <n v="532.02625399999999"/>
  </r>
  <r>
    <x v="67"/>
    <x v="5"/>
    <x v="1"/>
    <x v="0"/>
    <s v="KEPL/00732/82-83"/>
    <s v="SIMPEX SOLUTION PVT. LTD"/>
    <x v="0"/>
    <x v="17"/>
    <n v="0.03"/>
    <n v="5"/>
    <n v="127.43"/>
    <n v="637.15000000000009"/>
    <n v="0"/>
    <n v="0"/>
    <n v="82.829031999999998"/>
    <n v="719.97903199999996"/>
  </r>
  <r>
    <x v="67"/>
    <x v="5"/>
    <x v="1"/>
    <x v="0"/>
    <s v="KEPL/00732/82-83"/>
    <s v="SIMPEX SOLUTION PVT. LTD"/>
    <x v="0"/>
    <x v="18"/>
    <n v="0.04"/>
    <n v="5"/>
    <n v="148.66999999999999"/>
    <n v="743.35"/>
    <n v="0"/>
    <n v="0"/>
    <n v="96.634953999999993"/>
    <n v="839.98495400000002"/>
  </r>
  <r>
    <x v="67"/>
    <x v="5"/>
    <x v="1"/>
    <x v="0"/>
    <s v="KEPL/00733/82-83"/>
    <s v="GORIN TRADING "/>
    <x v="4"/>
    <x v="30"/>
    <n v="2"/>
    <n v="120"/>
    <n v="98.03"/>
    <n v="11763.6"/>
    <n v="-1069.3100000000002"/>
    <n v="0"/>
    <n v="1390.2599999999998"/>
    <n v="12084.55"/>
  </r>
  <r>
    <x v="68"/>
    <x v="6"/>
    <x v="2"/>
    <x v="0"/>
    <s v="KEPL/00832/82-83"/>
    <s v="BHAT BHATENI SUPERMARKET &amp; DEPARTMENTAL STORE PVT. LTD."/>
    <x v="6"/>
    <x v="49"/>
    <n v="3"/>
    <n v="360"/>
    <n v="229.2"/>
    <n v="82512"/>
    <n v="0"/>
    <n v="-4125.6000000000004"/>
    <n v="10190.232639"/>
    <n v="88576.632639000003"/>
  </r>
  <r>
    <x v="68"/>
    <x v="6"/>
    <x v="2"/>
    <x v="0"/>
    <s v="KEPL/00832/82-83"/>
    <s v="BHAT BHATENI SUPERMARKET &amp; DEPARTMENTAL STORE PVT. LTD."/>
    <x v="6"/>
    <x v="50"/>
    <n v="3"/>
    <n v="600"/>
    <n v="117.7"/>
    <n v="70620"/>
    <n v="0"/>
    <n v="-3531.0000000000005"/>
    <n v="8721.5705469999994"/>
    <n v="75810.570546999996"/>
  </r>
  <r>
    <x v="68"/>
    <x v="6"/>
    <x v="2"/>
    <x v="0"/>
    <s v="KEPL/00832/82-83"/>
    <s v="BHAT BHATENI SUPERMARKET &amp; DEPARTMENTAL STORE PVT. LTD."/>
    <x v="6"/>
    <x v="51"/>
    <n v="2"/>
    <n v="120"/>
    <n v="446.02"/>
    <n v="53522.399999999994"/>
    <n v="0"/>
    <n v="-2676.1200000000003"/>
    <n v="6610.0168140000005"/>
    <n v="57456.296814000001"/>
  </r>
  <r>
    <x v="69"/>
    <x v="6"/>
    <x v="2"/>
    <x v="0"/>
    <s v="KEPL/00845/82-83"/>
    <s v="SIMPEX SOLUTION PVT. LTD"/>
    <x v="3"/>
    <x v="26"/>
    <n v="0.15"/>
    <n v="11"/>
    <n v="138.05000000000001"/>
    <n v="1518.55"/>
    <n v="0"/>
    <n v="0"/>
    <n v="197.41181300000002"/>
    <n v="1715.9618129999999"/>
  </r>
  <r>
    <x v="69"/>
    <x v="6"/>
    <x v="2"/>
    <x v="0"/>
    <s v="KEPL/00845/82-83"/>
    <s v="SIMPEX SOLUTION PVT. LTD"/>
    <x v="0"/>
    <x v="16"/>
    <n v="0.04"/>
    <n v="5"/>
    <n v="127.43"/>
    <n v="637.15000000000009"/>
    <n v="0"/>
    <n v="0"/>
    <n v="82.829631000000006"/>
    <n v="719.97963100000004"/>
  </r>
  <r>
    <x v="69"/>
    <x v="6"/>
    <x v="2"/>
    <x v="0"/>
    <s v="KEPL/00845/82-83"/>
    <s v="SIMPEX SOLUTION PVT. LTD"/>
    <x v="0"/>
    <x v="10"/>
    <n v="0.09"/>
    <n v="16"/>
    <n v="63.72"/>
    <n v="1019.52"/>
    <n v="0"/>
    <n v="0"/>
    <n v="132.53780999999998"/>
    <n v="1152.05781"/>
  </r>
  <r>
    <x v="69"/>
    <x v="6"/>
    <x v="2"/>
    <x v="0"/>
    <s v="KEPL/00845/82-83"/>
    <s v="SIMPEX SOLUTION PVT. LTD"/>
    <x v="0"/>
    <x v="18"/>
    <n v="0.09"/>
    <n v="11"/>
    <n v="148.66999999999999"/>
    <n v="1635.37"/>
    <n v="0"/>
    <n v="0"/>
    <n v="212.59843700000002"/>
    <n v="1847.968437"/>
  </r>
  <r>
    <x v="69"/>
    <x v="6"/>
    <x v="2"/>
    <x v="0"/>
    <s v="KEPL/00845/82-83"/>
    <s v="SIMPEX SOLUTION PVT. LTD"/>
    <x v="2"/>
    <x v="5"/>
    <n v="0.12"/>
    <n v="22"/>
    <n v="99.12"/>
    <n v="2180.64"/>
    <n v="0"/>
    <n v="0"/>
    <n v="283.48364900000001"/>
    <n v="2464.1236490000001"/>
  </r>
  <r>
    <x v="69"/>
    <x v="6"/>
    <x v="2"/>
    <x v="0"/>
    <s v="KEPL/00845/82-83"/>
    <s v="SIMPEX SOLUTION PVT. LTD"/>
    <x v="2"/>
    <x v="8"/>
    <n v="0.38"/>
    <n v="46"/>
    <n v="53.1"/>
    <n v="2442.6"/>
    <n v="0"/>
    <n v="0"/>
    <n v="317.53850299999999"/>
    <n v="2760.1385030000001"/>
  </r>
  <r>
    <x v="69"/>
    <x v="6"/>
    <x v="2"/>
    <x v="0"/>
    <s v="KEPL/00845/82-83"/>
    <s v="SIMPEX SOLUTION PVT. LTD"/>
    <x v="4"/>
    <x v="30"/>
    <n v="0.17"/>
    <n v="10"/>
    <n v="102.65"/>
    <n v="1026.5"/>
    <n v="0"/>
    <n v="0"/>
    <n v="133.445211"/>
    <n v="1159.945211"/>
  </r>
  <r>
    <x v="69"/>
    <x v="6"/>
    <x v="2"/>
    <x v="0"/>
    <s v="KEPL/00845/82-83"/>
    <s v="SIMPEX SOLUTION PVT. LTD"/>
    <x v="0"/>
    <x v="17"/>
    <n v="0.06"/>
    <n v="10"/>
    <n v="127.43"/>
    <n v="1274.3000000000002"/>
    <n v="0"/>
    <n v="0"/>
    <n v="165.65926300000001"/>
    <n v="1439.959263"/>
  </r>
  <r>
    <x v="69"/>
    <x v="6"/>
    <x v="2"/>
    <x v="0"/>
    <s v="KEPL/00845/82-83"/>
    <s v="SIMPEX SOLUTION PVT. LTD"/>
    <x v="0"/>
    <x v="0"/>
    <n v="0.03"/>
    <n v="6"/>
    <n v="67.260000000000005"/>
    <n v="403.56"/>
    <n v="0"/>
    <n v="0"/>
    <n v="52.462883000000005"/>
    <n v="456.02288299999998"/>
  </r>
  <r>
    <x v="69"/>
    <x v="6"/>
    <x v="2"/>
    <x v="0"/>
    <s v="KEPL/00845/82-83"/>
    <s v="SIMPEX SOLUTION PVT. LTD"/>
    <x v="0"/>
    <x v="9"/>
    <n v="0.08"/>
    <n v="15"/>
    <n v="74.34"/>
    <n v="1115.0999999999999"/>
    <n v="0"/>
    <n v="0"/>
    <n v="144.96323000000001"/>
    <n v="1260.06323"/>
  </r>
  <r>
    <x v="69"/>
    <x v="6"/>
    <x v="2"/>
    <x v="0"/>
    <s v="KEPL/00845/82-83"/>
    <s v="SIMPEX SOLUTION PVT. LTD"/>
    <x v="0"/>
    <x v="2"/>
    <n v="0.09"/>
    <n v="16"/>
    <n v="67.260000000000005"/>
    <n v="1076.1600000000001"/>
    <n v="0"/>
    <n v="0"/>
    <n v="139.90102200000001"/>
    <n v="1216.0610220000001"/>
  </r>
  <r>
    <x v="69"/>
    <x v="6"/>
    <x v="2"/>
    <x v="0"/>
    <s v="KEPL/00845/82-83"/>
    <s v="SIMPEX SOLUTION PVT. LTD"/>
    <x v="3"/>
    <x v="31"/>
    <n v="0.25"/>
    <n v="18"/>
    <n v="155.75"/>
    <n v="2803.5"/>
    <n v="0"/>
    <n v="0"/>
    <n v="364.455578"/>
    <n v="3167.9555780000001"/>
  </r>
  <r>
    <x v="69"/>
    <x v="6"/>
    <x v="2"/>
    <x v="0"/>
    <s v="KEPL/00845/82-83"/>
    <s v="SIMPEX SOLUTION PVT. LTD"/>
    <x v="0"/>
    <x v="11"/>
    <n v="0.14000000000000001"/>
    <n v="25"/>
    <n v="67.260000000000005"/>
    <n v="1681.5000000000002"/>
    <n v="0"/>
    <n v="0"/>
    <n v="218.59534599999998"/>
    <n v="1900.0953460000001"/>
  </r>
  <r>
    <x v="69"/>
    <x v="6"/>
    <x v="2"/>
    <x v="0"/>
    <s v="KEPL/00845/82-83"/>
    <s v="SIMPEX SOLUTION PVT. LTD"/>
    <x v="0"/>
    <x v="27"/>
    <n v="0.04"/>
    <n v="5"/>
    <n v="120.35"/>
    <n v="601.75000000000011"/>
    <n v="0"/>
    <n v="0"/>
    <n v="78.227624000000006"/>
    <n v="679.97762399999999"/>
  </r>
  <r>
    <x v="70"/>
    <x v="6"/>
    <x v="2"/>
    <x v="0"/>
    <s v="KEPL/00848/82-83"/>
    <s v="BHAT BHATENI SUPERMARKET &amp; DEPARTMENTAL STORE PVT. LTD."/>
    <x v="6"/>
    <x v="51"/>
    <n v="0.5"/>
    <n v="30"/>
    <n v="446.02"/>
    <n v="13380.599999999999"/>
    <n v="0"/>
    <n v="-669.03000000000009"/>
    <n v="1652.5037219999999"/>
    <n v="14364.073721999999"/>
  </r>
  <r>
    <x v="70"/>
    <x v="6"/>
    <x v="2"/>
    <x v="0"/>
    <s v="KEPL/00848/82-83"/>
    <s v="BHAT BHATENI SUPERMARKET &amp; DEPARTMENTAL STORE PVT. LTD."/>
    <x v="6"/>
    <x v="49"/>
    <n v="0.5"/>
    <n v="60"/>
    <n v="229.2"/>
    <n v="13752"/>
    <n v="0"/>
    <n v="-687.6"/>
    <n v="1698.371611"/>
    <n v="14762.771611"/>
  </r>
  <r>
    <x v="70"/>
    <x v="6"/>
    <x v="2"/>
    <x v="0"/>
    <s v="KEPL/00848/82-83"/>
    <s v="BHAT BHATENI SUPERMARKET &amp; DEPARTMENTAL STORE PVT. LTD."/>
    <x v="6"/>
    <x v="50"/>
    <n v="0.5"/>
    <n v="100"/>
    <n v="117.7"/>
    <n v="11770"/>
    <n v="0"/>
    <n v="-588.5"/>
    <n v="1453.5946669999998"/>
    <n v="12635.094666999999"/>
  </r>
  <r>
    <x v="70"/>
    <x v="6"/>
    <x v="2"/>
    <x v="0"/>
    <s v="KEPL/00849/82-83"/>
    <s v="BHAT BHATENI SUPERMARKET &amp; DEPARTMENTAL STORE PVT. LTD."/>
    <x v="6"/>
    <x v="50"/>
    <n v="0.5"/>
    <n v="100"/>
    <n v="117.7"/>
    <n v="11770"/>
    <n v="0"/>
    <n v="-588.5"/>
    <n v="1453.5963840000002"/>
    <n v="12635.096384"/>
  </r>
  <r>
    <x v="70"/>
    <x v="6"/>
    <x v="2"/>
    <x v="0"/>
    <s v="KEPL/00849/82-83"/>
    <s v="BHAT BHATENI SUPERMARKET &amp; DEPARTMENTAL STORE PVT. LTD."/>
    <x v="6"/>
    <x v="49"/>
    <n v="0.5"/>
    <n v="60"/>
    <n v="229.2"/>
    <n v="13752"/>
    <n v="0"/>
    <n v="-687.6"/>
    <n v="1698.3736160000001"/>
    <n v="14762.773616"/>
  </r>
  <r>
    <x v="70"/>
    <x v="6"/>
    <x v="2"/>
    <x v="0"/>
    <s v="KEPL/00867/82-83"/>
    <s v="BHAT BHATENI SUPERMARKET &amp; DEPARTMENTAL STORE PVT. LTD."/>
    <x v="1"/>
    <x v="4"/>
    <n v="0.5"/>
    <n v="20"/>
    <n v="238.5"/>
    <n v="4769.9999999999991"/>
    <n v="0"/>
    <n v="-238.50021099999998"/>
    <n v="589.09488799999997"/>
    <n v="5120.594677"/>
  </r>
  <r>
    <x v="70"/>
    <x v="6"/>
    <x v="2"/>
    <x v="0"/>
    <s v="KEPL/00867/82-83"/>
    <s v="BHAT BHATENI SUPERMARKET &amp; DEPARTMENTAL STORE PVT. LTD."/>
    <x v="0"/>
    <x v="42"/>
    <n v="0.25"/>
    <n v="30"/>
    <n v="86.73"/>
    <n v="2601.9"/>
    <n v="0"/>
    <n v="-130.09511499999999"/>
    <n v="321.33458899999999"/>
    <n v="2793.1394740000001"/>
  </r>
  <r>
    <x v="70"/>
    <x v="6"/>
    <x v="2"/>
    <x v="0"/>
    <s v="KEPL/00867/82-83"/>
    <s v="BHAT BHATENI SUPERMARKET &amp; DEPARTMENTAL STORE PVT. LTD."/>
    <x v="0"/>
    <x v="41"/>
    <n v="0.25"/>
    <n v="30"/>
    <n v="145.58000000000001"/>
    <n v="4367.3999999999996"/>
    <n v="0"/>
    <n v="-218.370193"/>
    <n v="539.37379699999997"/>
    <n v="4688.4036040000001"/>
  </r>
  <r>
    <x v="70"/>
    <x v="6"/>
    <x v="2"/>
    <x v="0"/>
    <s v="KEPL/00867/82-83"/>
    <s v="BHAT BHATENI SUPERMARKET &amp; DEPARTMENTAL STORE PVT. LTD."/>
    <x v="1"/>
    <x v="1"/>
    <n v="0.5"/>
    <n v="50"/>
    <n v="99.12"/>
    <n v="4956"/>
    <n v="0"/>
    <n v="-247.80022000000002"/>
    <n v="612.06588399999998"/>
    <n v="5320.2656639999996"/>
  </r>
  <r>
    <x v="70"/>
    <x v="6"/>
    <x v="2"/>
    <x v="0"/>
    <s v="KEPL/00867/82-83"/>
    <s v="BHAT BHATENI SUPERMARKET &amp; DEPARTMENTAL STORE PVT. LTD."/>
    <x v="0"/>
    <x v="18"/>
    <n v="0.5"/>
    <n v="60"/>
    <n v="130.09"/>
    <n v="7805.4000000000005"/>
    <n v="0"/>
    <n v="-390.27034600000002"/>
    <n v="963.9667169999999"/>
    <n v="8379.0963709999996"/>
  </r>
  <r>
    <x v="70"/>
    <x v="6"/>
    <x v="2"/>
    <x v="0"/>
    <s v="KEPL/00867/82-83"/>
    <s v="BHAT BHATENI SUPERMARKET &amp; DEPARTMENTAL STORE PVT. LTD."/>
    <x v="2"/>
    <x v="22"/>
    <n v="1"/>
    <n v="40"/>
    <n v="260.18"/>
    <n v="10407.199999999999"/>
    <n v="0"/>
    <n v="-520.36046099999999"/>
    <n v="1285.2889560000001"/>
    <n v="11172.128495000001"/>
  </r>
  <r>
    <x v="70"/>
    <x v="6"/>
    <x v="2"/>
    <x v="0"/>
    <s v="KEPL/00867/82-83"/>
    <s v="BHAT BHATENI SUPERMARKET &amp; DEPARTMENTAL STORE PVT. LTD."/>
    <x v="0"/>
    <x v="44"/>
    <n v="0.17"/>
    <n v="30"/>
    <n v="111.5"/>
    <n v="3344.9999999999995"/>
    <n v="0"/>
    <n v="-167.250148"/>
    <n v="413.10742099999999"/>
    <n v="3590.8572730000001"/>
  </r>
  <r>
    <x v="70"/>
    <x v="6"/>
    <x v="2"/>
    <x v="0"/>
    <s v="KEPL/00867/82-83"/>
    <s v="BHAT BHATENI SUPERMARKET &amp; DEPARTMENTAL STORE PVT. LTD."/>
    <x v="2"/>
    <x v="5"/>
    <n v="0.17"/>
    <n v="30"/>
    <n v="74.34"/>
    <n v="2230.1999999999998"/>
    <n v="0"/>
    <n v="-111.51009900000001"/>
    <n v="275.42964799999999"/>
    <n v="2394.119549"/>
  </r>
  <r>
    <x v="70"/>
    <x v="6"/>
    <x v="2"/>
    <x v="0"/>
    <s v="KEPL/00867/82-83"/>
    <s v="BHAT BHATENI SUPERMARKET &amp; DEPARTMENTAL STORE PVT. LTD."/>
    <x v="2"/>
    <x v="28"/>
    <n v="0.5"/>
    <n v="40"/>
    <n v="154.87"/>
    <n v="6194.8"/>
    <n v="0"/>
    <n v="-309.740274"/>
    <n v="765.05765499999995"/>
    <n v="6650.117381"/>
  </r>
  <r>
    <x v="70"/>
    <x v="6"/>
    <x v="2"/>
    <x v="0"/>
    <s v="KEPL/00867/82-83"/>
    <s v="BHAT BHATENI SUPERMARKET &amp; DEPARTMENTAL STORE PVT. LTD."/>
    <x v="2"/>
    <x v="8"/>
    <n v="0.25"/>
    <n v="30"/>
    <n v="46.46"/>
    <n v="1393.8"/>
    <n v="0"/>
    <n v="-69.690061999999998"/>
    <n v="172.13426699999999"/>
    <n v="1496.244205"/>
  </r>
  <r>
    <x v="70"/>
    <x v="6"/>
    <x v="2"/>
    <x v="0"/>
    <s v="KEPL/00867/82-83"/>
    <s v="BHAT BHATENI SUPERMARKET &amp; DEPARTMENTAL STORE PVT. LTD."/>
    <x v="0"/>
    <x v="16"/>
    <n v="0.25"/>
    <n v="30"/>
    <n v="108.41"/>
    <n v="3252.3"/>
    <n v="0"/>
    <n v="-162.61514399999999"/>
    <n v="401.658974"/>
    <n v="3491.3438299999998"/>
  </r>
  <r>
    <x v="70"/>
    <x v="6"/>
    <x v="2"/>
    <x v="0"/>
    <s v="KEPL/00867/82-83"/>
    <s v="BHAT BHATENI SUPERMARKET &amp; DEPARTMENTAL STORE PVT. LTD."/>
    <x v="2"/>
    <x v="23"/>
    <n v="0.17"/>
    <n v="30"/>
    <n v="145.58000000000001"/>
    <n v="4367.3999999999996"/>
    <n v="0"/>
    <n v="-218.370193"/>
    <n v="539.37379699999997"/>
    <n v="4688.4036040000001"/>
  </r>
  <r>
    <x v="70"/>
    <x v="6"/>
    <x v="2"/>
    <x v="0"/>
    <s v="KEPL/00867/82-83"/>
    <s v="BHAT BHATENI SUPERMARKET &amp; DEPARTMENTAL STORE PVT. LTD."/>
    <x v="3"/>
    <x v="25"/>
    <n v="0.5"/>
    <n v="24"/>
    <n v="284.95999999999998"/>
    <n v="6839.04"/>
    <n v="0"/>
    <n v="-341.95230300000003"/>
    <n v="844.62127899999996"/>
    <n v="7341.7089759999999"/>
  </r>
  <r>
    <x v="70"/>
    <x v="6"/>
    <x v="2"/>
    <x v="0"/>
    <s v="KEPL/00867/82-83"/>
    <s v="BHAT BHATENI SUPERMARKET &amp; DEPARTMENTAL STORE PVT. LTD."/>
    <x v="4"/>
    <x v="30"/>
    <n v="0.5"/>
    <n v="30"/>
    <n v="89.82"/>
    <n v="2694.6"/>
    <n v="0"/>
    <n v="-134.730119"/>
    <n v="332.78303700000004"/>
    <n v="2892.6529180000002"/>
  </r>
  <r>
    <x v="70"/>
    <x v="6"/>
    <x v="2"/>
    <x v="0"/>
    <s v="KEPL/00867/82-83"/>
    <s v="BHAT BHATENI SUPERMARKET &amp; DEPARTMENTAL STORE PVT. LTD."/>
    <x v="2"/>
    <x v="33"/>
    <n v="0.17"/>
    <n v="30"/>
    <n v="83.63"/>
    <n v="2508.9"/>
    <n v="0"/>
    <n v="-125.445111"/>
    <n v="309.84909099999999"/>
    <n v="2693.3039800000001"/>
  </r>
  <r>
    <x v="70"/>
    <x v="6"/>
    <x v="2"/>
    <x v="0"/>
    <s v="KEPL/00868/82-83"/>
    <s v="BHAT BHATENI SUPERMARKET &amp; DEPARTMENTAL STORE PVT. LTD."/>
    <x v="0"/>
    <x v="21"/>
    <n v="0.5"/>
    <n v="40"/>
    <n v="170.35"/>
    <n v="6814.0000000000009"/>
    <n v="0"/>
    <n v="-340.70041900000001"/>
    <n v="841.52860199999998"/>
    <n v="7314.8281829999996"/>
  </r>
  <r>
    <x v="70"/>
    <x v="6"/>
    <x v="2"/>
    <x v="0"/>
    <s v="KEPL/00868/82-83"/>
    <s v="BHAT BHATENI SUPERMARKET &amp; DEPARTMENTAL STORE PVT. LTD."/>
    <x v="6"/>
    <x v="50"/>
    <n v="0.3"/>
    <n v="60"/>
    <n v="117.7"/>
    <n v="7062.0000000000009"/>
    <n v="0"/>
    <n v="-353.10043400000001"/>
    <n v="872.15658700000006"/>
    <n v="7581.0561530000004"/>
  </r>
  <r>
    <x v="70"/>
    <x v="6"/>
    <x v="2"/>
    <x v="0"/>
    <s v="KEPL/00868/82-83"/>
    <s v="BHAT BHATENI SUPERMARKET &amp; DEPARTMENTAL STORE PVT. LTD."/>
    <x v="0"/>
    <x v="36"/>
    <n v="0.5"/>
    <n v="40"/>
    <n v="142.47999999999999"/>
    <n v="5699.2"/>
    <n v="0"/>
    <n v="-284.960351"/>
    <n v="703.85086699999999"/>
    <n v="6118.0905160000002"/>
  </r>
  <r>
    <x v="70"/>
    <x v="6"/>
    <x v="2"/>
    <x v="0"/>
    <s v="KEPL/00868/82-83"/>
    <s v="BHAT BHATENI SUPERMARKET &amp; DEPARTMENTAL STORE PVT. LTD."/>
    <x v="1"/>
    <x v="3"/>
    <n v="0.5"/>
    <n v="20"/>
    <n v="360.53"/>
    <n v="7210.5999999999995"/>
    <n v="0"/>
    <n v="-360.53044300000005"/>
    <n v="890.50867900000003"/>
    <n v="7740.5782360000003"/>
  </r>
  <r>
    <x v="70"/>
    <x v="6"/>
    <x v="2"/>
    <x v="0"/>
    <s v="KEPL/00868/82-83"/>
    <s v="BHAT BHATENI SUPERMARKET &amp; DEPARTMENTAL STORE PVT. LTD."/>
    <x v="6"/>
    <x v="49"/>
    <n v="0.25"/>
    <n v="30"/>
    <n v="229.2"/>
    <n v="6876"/>
    <n v="0"/>
    <n v="-343.80042299999997"/>
    <n v="849.18559800000003"/>
    <n v="7381.3851750000003"/>
  </r>
  <r>
    <x v="70"/>
    <x v="6"/>
    <x v="2"/>
    <x v="0"/>
    <s v="KEPL/00868/82-83"/>
    <s v="BHAT BHATENI SUPERMARKET &amp; DEPARTMENTAL STORE PVT. LTD."/>
    <x v="4"/>
    <x v="29"/>
    <n v="0.5"/>
    <n v="60"/>
    <n v="52.65"/>
    <n v="3159.0000000000005"/>
    <n v="0"/>
    <n v="-157.95019399999998"/>
    <n v="390.13631500000002"/>
    <n v="3391.1861210000002"/>
  </r>
  <r>
    <x v="70"/>
    <x v="6"/>
    <x v="2"/>
    <x v="0"/>
    <s v="KEPL/00868/82-83"/>
    <s v="BHAT BHATENI SUPERMARKET &amp; DEPARTMENTAL STORE PVT. LTD."/>
    <x v="2"/>
    <x v="24"/>
    <n v="1"/>
    <n v="40"/>
    <n v="402.65"/>
    <n v="16106"/>
    <n v="0"/>
    <n v="-805.30099099999995"/>
    <n v="1989.0900590000001"/>
    <n v="17289.789067999998"/>
  </r>
  <r>
    <x v="70"/>
    <x v="6"/>
    <x v="2"/>
    <x v="0"/>
    <s v="KEPL/00868/82-83"/>
    <s v="BHAT BHATENI SUPERMARKET &amp; DEPARTMENTAL STORE PVT. LTD."/>
    <x v="2"/>
    <x v="34"/>
    <n v="0.5"/>
    <n v="40"/>
    <n v="210.62"/>
    <n v="8424.7999999999993"/>
    <n v="0"/>
    <n v="-421.24051799999995"/>
    <n v="1040.4623079999999"/>
    <n v="9044.0217900000007"/>
  </r>
  <r>
    <x v="70"/>
    <x v="6"/>
    <x v="2"/>
    <x v="0"/>
    <s v="KEPL/00868/82-83"/>
    <s v="BHAT BHATENI SUPERMARKET &amp; DEPARTMENTAL STORE PVT. LTD."/>
    <x v="0"/>
    <x v="32"/>
    <n v="0.5"/>
    <n v="60"/>
    <n v="58.85"/>
    <n v="3531.0000000000005"/>
    <n v="0"/>
    <n v="-176.550217"/>
    <n v="436.07829399999997"/>
    <n v="3790.5280769999999"/>
  </r>
  <r>
    <x v="70"/>
    <x v="6"/>
    <x v="2"/>
    <x v="0"/>
    <s v="KEPL/00868/82-83"/>
    <s v="BHAT BHATENI SUPERMARKET &amp; DEPARTMENTAL STORE PVT. LTD."/>
    <x v="0"/>
    <x v="45"/>
    <n v="0.5"/>
    <n v="40"/>
    <n v="130.09"/>
    <n v="5203.5999999999995"/>
    <n v="0"/>
    <n v="-260.18031999999999"/>
    <n v="642.64429599999994"/>
    <n v="5586.0639760000004"/>
  </r>
  <r>
    <x v="70"/>
    <x v="6"/>
    <x v="2"/>
    <x v="0"/>
    <s v="KEPL/00868/82-83"/>
    <s v="BHAT BHATENI SUPERMARKET &amp; DEPARTMENTAL STORE PVT. LTD."/>
    <x v="0"/>
    <x v="48"/>
    <n v="0.17"/>
    <n v="30"/>
    <n v="74.34"/>
    <n v="2230.1999999999998"/>
    <n v="0"/>
    <n v="-111.510137"/>
    <n v="275.42957000000001"/>
    <n v="2394.1194329999998"/>
  </r>
  <r>
    <x v="70"/>
    <x v="6"/>
    <x v="2"/>
    <x v="0"/>
    <s v="KEPL/00868/82-83"/>
    <s v="BHAT BHATENI SUPERMARKET &amp; DEPARTMENTAL STORE PVT. LTD."/>
    <x v="0"/>
    <x v="38"/>
    <n v="0.17"/>
    <n v="20"/>
    <n v="77.430000000000007"/>
    <n v="1548.6"/>
    <n v="0"/>
    <n v="-77.430095000000009"/>
    <n v="191.25200999999998"/>
    <n v="1662.4219149999999"/>
  </r>
  <r>
    <x v="70"/>
    <x v="6"/>
    <x v="2"/>
    <x v="0"/>
    <s v="KEPL/00868/82-83"/>
    <s v="BHAT BHATENI SUPERMARKET &amp; DEPARTMENTAL STORE PVT. LTD."/>
    <x v="1"/>
    <x v="6"/>
    <n v="0.5"/>
    <n v="50"/>
    <n v="148.66999999999999"/>
    <n v="7433.5"/>
    <n v="0"/>
    <n v="-371.67545699999999"/>
    <n v="918.03681599999993"/>
    <n v="7979.8613590000004"/>
  </r>
  <r>
    <x v="70"/>
    <x v="6"/>
    <x v="2"/>
    <x v="0"/>
    <s v="KEPL/00871/82-83"/>
    <s v="BHAT BHATENI SUPERMARKET &amp; DEPARTMENTAL STORE PVT. LTD."/>
    <x v="3"/>
    <x v="31"/>
    <n v="0.33"/>
    <n v="24"/>
    <n v="136.28"/>
    <n v="3270.72"/>
    <n v="0"/>
    <n v="-163.53658300000001"/>
    <n v="403.93329"/>
    <n v="3511.1167070000001"/>
  </r>
  <r>
    <x v="70"/>
    <x v="6"/>
    <x v="2"/>
    <x v="0"/>
    <s v="KEPL/00871/82-83"/>
    <s v="BHAT BHATENI SUPERMARKET &amp; DEPARTMENTAL STORE PVT. LTD."/>
    <x v="0"/>
    <x v="27"/>
    <n v="0.25"/>
    <n v="30"/>
    <n v="105.31"/>
    <n v="3159.2999999999997"/>
    <n v="0"/>
    <n v="-157.96556299999997"/>
    <n v="390.17294200000003"/>
    <n v="3391.5073790000001"/>
  </r>
  <r>
    <x v="70"/>
    <x v="6"/>
    <x v="2"/>
    <x v="0"/>
    <s v="KEPL/00871/82-83"/>
    <s v="BHAT BHATENI SUPERMARKET &amp; DEPARTMENTAL STORE PVT. LTD."/>
    <x v="1"/>
    <x v="3"/>
    <n v="0.5"/>
    <n v="20"/>
    <n v="360.53"/>
    <n v="7210.5999999999995"/>
    <n v="0"/>
    <n v="-360.53128499999997"/>
    <n v="890.50771199999997"/>
    <n v="7740.576427"/>
  </r>
  <r>
    <x v="70"/>
    <x v="6"/>
    <x v="2"/>
    <x v="0"/>
    <s v="KEPL/00871/82-83"/>
    <s v="BHAT BHATENI SUPERMARKET &amp; DEPARTMENTAL STORE PVT. LTD."/>
    <x v="0"/>
    <x v="32"/>
    <n v="0.17"/>
    <n v="20"/>
    <n v="58.85"/>
    <n v="1177"/>
    <n v="0"/>
    <n v="-58.850209999999997"/>
    <n v="145.359273"/>
    <n v="1263.509063"/>
  </r>
  <r>
    <x v="70"/>
    <x v="6"/>
    <x v="2"/>
    <x v="0"/>
    <s v="KEPL/00871/82-83"/>
    <s v="BHAT BHATENI SUPERMARKET &amp; DEPARTMENTAL STORE PVT. LTD."/>
    <x v="0"/>
    <x v="35"/>
    <n v="0.38"/>
    <n v="30"/>
    <n v="154.87"/>
    <n v="4646.0999999999995"/>
    <n v="0"/>
    <n v="-232.30582799999999"/>
    <n v="573.79245500000002"/>
    <n v="4987.5866269999997"/>
  </r>
  <r>
    <x v="70"/>
    <x v="6"/>
    <x v="2"/>
    <x v="0"/>
    <s v="KEPL/00871/82-83"/>
    <s v="BHAT BHATENI SUPERMARKET &amp; DEPARTMENTAL STORE PVT. LTD."/>
    <x v="1"/>
    <x v="6"/>
    <n v="0.2"/>
    <n v="20"/>
    <n v="148.66999999999999"/>
    <n v="2973.4"/>
    <n v="0"/>
    <n v="-148.67052999999999"/>
    <n v="367.21432800000002"/>
    <n v="3191.9437979999998"/>
  </r>
  <r>
    <x v="70"/>
    <x v="6"/>
    <x v="2"/>
    <x v="0"/>
    <s v="KEPL/00872/82-83"/>
    <s v="BHAT BHATENI SUPERMARKET &amp; DEPARTMENTAL STORE PVT. LTD."/>
    <x v="2"/>
    <x v="7"/>
    <n v="0.17"/>
    <n v="20"/>
    <n v="136.28"/>
    <n v="2725.6"/>
    <n v="0"/>
    <n v="-136.28021200000001"/>
    <n v="336.61147099999999"/>
    <n v="2925.931259"/>
  </r>
  <r>
    <x v="70"/>
    <x v="6"/>
    <x v="2"/>
    <x v="0"/>
    <s v="KEPL/00872/82-83"/>
    <s v="BHAT BHATENI SUPERMARKET &amp; DEPARTMENTAL STORE PVT. LTD."/>
    <x v="0"/>
    <x v="42"/>
    <n v="0.25"/>
    <n v="30"/>
    <n v="86.73"/>
    <n v="2601.9"/>
    <n v="0"/>
    <n v="-130.095203"/>
    <n v="321.33452599999998"/>
    <n v="2793.1393229999999"/>
  </r>
  <r>
    <x v="70"/>
    <x v="6"/>
    <x v="2"/>
    <x v="0"/>
    <s v="KEPL/00872/82-83"/>
    <s v="BHAT BHATENI SUPERMARKET &amp; DEPARTMENTAL STORE PVT. LTD."/>
    <x v="3"/>
    <x v="25"/>
    <n v="0.63"/>
    <n v="30"/>
    <n v="284.95999999999998"/>
    <n v="8548.7999999999993"/>
    <n v="0"/>
    <n v="-427.44066600000002"/>
    <n v="1055.776394"/>
    <n v="9177.1357279999993"/>
  </r>
  <r>
    <x v="70"/>
    <x v="6"/>
    <x v="2"/>
    <x v="0"/>
    <s v="KEPL/00872/82-83"/>
    <s v="BHAT BHATENI SUPERMARKET &amp; DEPARTMENTAL STORE PVT. LTD."/>
    <x v="1"/>
    <x v="1"/>
    <n v="0.3"/>
    <n v="30"/>
    <n v="99.12"/>
    <n v="2973.6"/>
    <n v="0"/>
    <n v="-148.68023199999999"/>
    <n v="367.23945900000001"/>
    <n v="3192.1592270000001"/>
  </r>
  <r>
    <x v="70"/>
    <x v="6"/>
    <x v="2"/>
    <x v="0"/>
    <s v="KEPL/00872/82-83"/>
    <s v="BHAT BHATENI SUPERMARKET &amp; DEPARTMENTAL STORE PVT. LTD."/>
    <x v="3"/>
    <x v="26"/>
    <n v="0.42"/>
    <n v="30"/>
    <n v="120.8"/>
    <n v="3624"/>
    <n v="0"/>
    <n v="-181.20028199999999"/>
    <n v="447.563828"/>
    <n v="3890.363546"/>
  </r>
  <r>
    <x v="70"/>
    <x v="6"/>
    <x v="2"/>
    <x v="0"/>
    <s v="KEPL/00872/82-83"/>
    <s v="BHAT BHATENI SUPERMARKET &amp; DEPARTMENTAL STORE PVT. LTD."/>
    <x v="0"/>
    <x v="41"/>
    <n v="0.25"/>
    <n v="30"/>
    <n v="145.58000000000001"/>
    <n v="4367.3999999999996"/>
    <n v="0"/>
    <n v="-218.37033999999997"/>
    <n v="539.373693"/>
    <n v="4688.4033529999997"/>
  </r>
  <r>
    <x v="70"/>
    <x v="6"/>
    <x v="2"/>
    <x v="0"/>
    <s v="KEPL/00872/82-83"/>
    <s v="BHAT BHATENI SUPERMARKET &amp; DEPARTMENTAL STORE PVT. LTD."/>
    <x v="2"/>
    <x v="28"/>
    <n v="0.38"/>
    <n v="30"/>
    <n v="154.87"/>
    <n v="4646.0999999999995"/>
    <n v="0"/>
    <n v="-232.305362"/>
    <n v="573.79312900000002"/>
    <n v="4987.587767"/>
  </r>
  <r>
    <x v="70"/>
    <x v="6"/>
    <x v="2"/>
    <x v="0"/>
    <s v="KEPL/00872/82-83"/>
    <s v="BHAT BHATENI SUPERMARKET &amp; DEPARTMENTAL STORE PVT. LTD."/>
    <x v="2"/>
    <x v="23"/>
    <n v="0.17"/>
    <n v="30"/>
    <n v="145.58000000000001"/>
    <n v="4367.3999999999996"/>
    <n v="0"/>
    <n v="-218.37033999999997"/>
    <n v="539.373693"/>
    <n v="4688.4033529999997"/>
  </r>
  <r>
    <x v="70"/>
    <x v="6"/>
    <x v="2"/>
    <x v="0"/>
    <s v="KEPL/00872/82-83"/>
    <s v="BHAT BHATENI SUPERMARKET &amp; DEPARTMENTAL STORE PVT. LTD."/>
    <x v="2"/>
    <x v="8"/>
    <n v="0.25"/>
    <n v="30"/>
    <n v="46.46"/>
    <n v="1393.8"/>
    <n v="0"/>
    <n v="-69.690108999999993"/>
    <n v="172.13423399999999"/>
    <n v="1496.2441249999999"/>
  </r>
  <r>
    <x v="70"/>
    <x v="6"/>
    <x v="2"/>
    <x v="0"/>
    <s v="KEPL/00872/82-83"/>
    <s v="BHAT BHATENI SUPERMARKET &amp; DEPARTMENTAL STORE PVT. LTD."/>
    <x v="2"/>
    <x v="33"/>
    <n v="0.11"/>
    <n v="20"/>
    <n v="83.63"/>
    <n v="1672.6"/>
    <n v="0"/>
    <n v="-83.630129999999994"/>
    <n v="206.56602100000001"/>
    <n v="1795.535891"/>
  </r>
  <r>
    <x v="70"/>
    <x v="6"/>
    <x v="2"/>
    <x v="0"/>
    <s v="KEPL/00872/82-83"/>
    <s v="BHAT BHATENI SUPERMARKET &amp; DEPARTMENTAL STORE PVT. LTD."/>
    <x v="0"/>
    <x v="44"/>
    <n v="0.11"/>
    <n v="20"/>
    <n v="111.5"/>
    <n v="2230"/>
    <n v="0"/>
    <n v="-111.500174"/>
    <n v="275.40489400000001"/>
    <n v="2393.90472"/>
  </r>
  <r>
    <x v="70"/>
    <x v="6"/>
    <x v="2"/>
    <x v="0"/>
    <s v="KEPL/00872/82-83"/>
    <s v="BHAT BHATENI SUPERMARKET &amp; DEPARTMENTAL STORE PVT. LTD."/>
    <x v="1"/>
    <x v="4"/>
    <n v="0.75"/>
    <n v="30"/>
    <n v="238.5"/>
    <n v="7155"/>
    <n v="0"/>
    <n v="-357.75055700000001"/>
    <n v="883.6421600000001"/>
    <n v="7680.891603"/>
  </r>
  <r>
    <x v="70"/>
    <x v="6"/>
    <x v="2"/>
    <x v="0"/>
    <s v="KEPL/00872/82-83"/>
    <s v="BHAT BHATENI SUPERMARKET &amp; DEPARTMENTAL STORE PVT. LTD."/>
    <x v="4"/>
    <x v="30"/>
    <n v="0.5"/>
    <n v="30"/>
    <n v="89.82"/>
    <n v="2694.6"/>
    <n v="0"/>
    <n v="-134.73021"/>
    <n v="332.78297200000003"/>
    <n v="2892.6527620000002"/>
  </r>
  <r>
    <x v="70"/>
    <x v="6"/>
    <x v="2"/>
    <x v="0"/>
    <s v="KEPL/00872/82-83"/>
    <s v="BHAT BHATENI SUPERMARKET &amp; DEPARTMENTAL STORE PVT. LTD."/>
    <x v="0"/>
    <x v="18"/>
    <n v="0.25"/>
    <n v="30"/>
    <n v="130.09"/>
    <n v="3902.7000000000003"/>
    <n v="0"/>
    <n v="-195.13530399999999"/>
    <n v="481.98326500000002"/>
    <n v="4189.5479610000002"/>
  </r>
  <r>
    <x v="70"/>
    <x v="6"/>
    <x v="2"/>
    <x v="0"/>
    <s v="KEPL/00872/82-83"/>
    <s v="BHAT BHATENI SUPERMARKET &amp; DEPARTMENTAL STORE PVT. LTD."/>
    <x v="2"/>
    <x v="22"/>
    <n v="0.75"/>
    <n v="30"/>
    <n v="260.18"/>
    <n v="7805.4000000000005"/>
    <n v="0"/>
    <n v="-390.27060799999998"/>
    <n v="963.96652900000004"/>
    <n v="8379.0959210000001"/>
  </r>
  <r>
    <x v="70"/>
    <x v="6"/>
    <x v="2"/>
    <x v="0"/>
    <s v="KEPL/00872/82-83"/>
    <s v="BHAT BHATENI SUPERMARKET &amp; DEPARTMENTAL STORE PVT. LTD."/>
    <x v="3"/>
    <x v="47"/>
    <n v="0.3"/>
    <n v="30"/>
    <n v="65.040000000000006"/>
    <n v="1951.2"/>
    <n v="0"/>
    <n v="-97.560152000000002"/>
    <n v="240.973107"/>
    <n v="2094.6129550000001"/>
  </r>
  <r>
    <x v="70"/>
    <x v="6"/>
    <x v="2"/>
    <x v="0"/>
    <s v="KEPL/00872/82-83"/>
    <s v="BHAT BHATENI SUPERMARKET &amp; DEPARTMENTAL STORE PVT. LTD."/>
    <x v="0"/>
    <x v="39"/>
    <n v="0.11"/>
    <n v="20"/>
    <n v="76.81"/>
    <n v="1536.2"/>
    <n v="0"/>
    <n v="-76.810119999999998"/>
    <n v="189.72062699999998"/>
    <n v="1649.1105070000001"/>
  </r>
  <r>
    <x v="70"/>
    <x v="6"/>
    <x v="2"/>
    <x v="0"/>
    <s v="KEPL/00873/82-83"/>
    <s v="BHAT BHATENI SUPERMARKET &amp; DEPARTMENTAL STORE PVT. LTD."/>
    <x v="1"/>
    <x v="6"/>
    <n v="0.3"/>
    <n v="30"/>
    <n v="148.66999999999999"/>
    <n v="4460.0999999999995"/>
    <n v="0"/>
    <n v="-223.00550200000001"/>
    <n v="550.82260600000006"/>
    <n v="4787.9171040000001"/>
  </r>
  <r>
    <x v="70"/>
    <x v="6"/>
    <x v="2"/>
    <x v="0"/>
    <s v="KEPL/00873/82-83"/>
    <s v="BHAT BHATENI SUPERMARKET &amp; DEPARTMENTAL STORE PVT. LTD."/>
    <x v="4"/>
    <x v="29"/>
    <n v="0.25"/>
    <n v="30"/>
    <n v="52.65"/>
    <n v="1579.5000000000002"/>
    <n v="0"/>
    <n v="-78.975177999999985"/>
    <n v="195.068341"/>
    <n v="1695.593163"/>
  </r>
  <r>
    <x v="70"/>
    <x v="6"/>
    <x v="2"/>
    <x v="0"/>
    <s v="KEPL/00873/82-83"/>
    <s v="BHAT BHATENI SUPERMARKET &amp; DEPARTMENTAL STORE PVT. LTD."/>
    <x v="0"/>
    <x v="19"/>
    <n v="0.17"/>
    <n v="30"/>
    <n v="142.47999999999999"/>
    <n v="4274.3999999999996"/>
    <n v="0"/>
    <n v="-213.72048100000001"/>
    <n v="527.888645"/>
    <n v="4588.5681640000003"/>
  </r>
  <r>
    <x v="70"/>
    <x v="6"/>
    <x v="2"/>
    <x v="0"/>
    <s v="KEPL/00873/82-83"/>
    <s v="BHAT BHATENI SUPERMARKET &amp; DEPARTMENTAL STORE PVT. LTD."/>
    <x v="0"/>
    <x v="48"/>
    <n v="0.17"/>
    <n v="30"/>
    <n v="74.34"/>
    <n v="2230.1999999999998"/>
    <n v="0"/>
    <n v="-111.51025100000001"/>
    <n v="275.42982799999999"/>
    <n v="2394.1195769999999"/>
  </r>
  <r>
    <x v="70"/>
    <x v="6"/>
    <x v="2"/>
    <x v="0"/>
    <s v="KEPL/00873/82-83"/>
    <s v="BHAT BHATENI SUPERMARKET &amp; DEPARTMENTAL STORE PVT. LTD."/>
    <x v="0"/>
    <x v="37"/>
    <n v="0.17"/>
    <n v="30"/>
    <n v="89.82"/>
    <n v="2694.6"/>
    <n v="0"/>
    <n v="-134.73030299999999"/>
    <n v="332.783255"/>
    <n v="2892.6529519999999"/>
  </r>
  <r>
    <x v="70"/>
    <x v="6"/>
    <x v="2"/>
    <x v="0"/>
    <s v="KEPL/00873/82-83"/>
    <s v="BHAT BHATENI SUPERMARKET &amp; DEPARTMENTAL STORE PVT. LTD."/>
    <x v="0"/>
    <x v="35"/>
    <n v="0.25"/>
    <n v="20"/>
    <n v="154.87"/>
    <n v="3097.4"/>
    <n v="0"/>
    <n v="-154.87034800000001"/>
    <n v="382.52907799999997"/>
    <n v="3325.0587300000002"/>
  </r>
  <r>
    <x v="70"/>
    <x v="6"/>
    <x v="2"/>
    <x v="0"/>
    <s v="KEPL/00873/82-83"/>
    <s v="BHAT BHATENI SUPERMARKET &amp; DEPARTMENTAL STORE PVT. LTD."/>
    <x v="2"/>
    <x v="24"/>
    <n v="0.75"/>
    <n v="30"/>
    <n v="402.65"/>
    <n v="12079.499999999998"/>
    <n v="0"/>
    <n v="-603.976359"/>
    <n v="1491.818943"/>
    <n v="12967.342584"/>
  </r>
  <r>
    <x v="70"/>
    <x v="6"/>
    <x v="2"/>
    <x v="0"/>
    <s v="KEPL/00873/82-83"/>
    <s v="BHAT BHATENI SUPERMARKET &amp; DEPARTMENTAL STORE PVT. LTD."/>
    <x v="0"/>
    <x v="32"/>
    <n v="0.25"/>
    <n v="30"/>
    <n v="58.85"/>
    <n v="1765.5000000000002"/>
    <n v="0"/>
    <n v="-88.275199000000001"/>
    <n v="218.03935100000001"/>
    <n v="1895.264152"/>
  </r>
  <r>
    <x v="70"/>
    <x v="6"/>
    <x v="2"/>
    <x v="0"/>
    <s v="KEPL/00873/82-83"/>
    <s v="BHAT BHATENI SUPERMARKET &amp; DEPARTMENTAL STORE PVT. LTD."/>
    <x v="0"/>
    <x v="36"/>
    <n v="0.38"/>
    <n v="30"/>
    <n v="142.47999999999999"/>
    <n v="4274.3999999999996"/>
    <n v="0"/>
    <n v="-213.72048100000001"/>
    <n v="527.888645"/>
    <n v="4588.5681640000003"/>
  </r>
  <r>
    <x v="70"/>
    <x v="6"/>
    <x v="2"/>
    <x v="0"/>
    <s v="KEPL/00873/82-83"/>
    <s v="BHAT BHATENI SUPERMARKET &amp; DEPARTMENTAL STORE PVT. LTD."/>
    <x v="0"/>
    <x v="45"/>
    <n v="0.38"/>
    <n v="30"/>
    <n v="130.09"/>
    <n v="3902.7000000000003"/>
    <n v="0"/>
    <n v="-195.13543899999999"/>
    <n v="481.98367400000001"/>
    <n v="4189.5482350000002"/>
  </r>
  <r>
    <x v="70"/>
    <x v="6"/>
    <x v="2"/>
    <x v="0"/>
    <s v="KEPL/00873/82-83"/>
    <s v="BHAT BHATENI SUPERMARKET &amp; DEPARTMENTAL STORE PVT. LTD."/>
    <x v="3"/>
    <x v="31"/>
    <n v="0.42"/>
    <n v="30"/>
    <n v="136.28"/>
    <n v="4088.4"/>
    <n v="0"/>
    <n v="-204.42046000000002"/>
    <n v="504.91763499999996"/>
    <n v="4388.8971750000001"/>
  </r>
  <r>
    <x v="70"/>
    <x v="6"/>
    <x v="2"/>
    <x v="0"/>
    <s v="KEPL/00875/82-83"/>
    <s v="BHAT BHATENI SUPERMARKET &amp; DEPARTMENTAL STORE PVT. LTD."/>
    <x v="3"/>
    <x v="31"/>
    <n v="2"/>
    <n v="144"/>
    <n v="136.28"/>
    <n v="19624.32"/>
    <n v="0"/>
    <n v="-981.21580400000005"/>
    <n v="2423.6032519999999"/>
    <n v="21066.707448000001"/>
  </r>
  <r>
    <x v="70"/>
    <x v="6"/>
    <x v="2"/>
    <x v="0"/>
    <s v="KEPL/00875/82-83"/>
    <s v="BHAT BHATENI SUPERMARKET &amp; DEPARTMENTAL STORE PVT. LTD."/>
    <x v="0"/>
    <x v="35"/>
    <n v="1"/>
    <n v="80"/>
    <n v="154.87"/>
    <n v="12389.6"/>
    <n v="0"/>
    <n v="-619.47987599999999"/>
    <n v="1530.1154309999999"/>
    <n v="13300.235554999999"/>
  </r>
  <r>
    <x v="70"/>
    <x v="6"/>
    <x v="2"/>
    <x v="0"/>
    <s v="KEPL/00875/82-83"/>
    <s v="BHAT BHATENI SUPERMARKET &amp; DEPARTMENTAL STORE PVT. LTD."/>
    <x v="0"/>
    <x v="36"/>
    <n v="1"/>
    <n v="80"/>
    <n v="142.47999999999999"/>
    <n v="11398.4"/>
    <n v="0"/>
    <n v="-569.91988600000002"/>
    <n v="1407.7022440000001"/>
    <n v="12236.182358"/>
  </r>
  <r>
    <x v="70"/>
    <x v="6"/>
    <x v="2"/>
    <x v="0"/>
    <s v="KEPL/00875/82-83"/>
    <s v="BHAT BHATENI SUPERMARKET &amp; DEPARTMENTAL STORE PVT. LTD."/>
    <x v="0"/>
    <x v="45"/>
    <n v="0.88"/>
    <n v="70"/>
    <n v="130.09"/>
    <n v="9106.2999999999993"/>
    <n v="0"/>
    <n v="-455.314909"/>
    <n v="1124.6279260000001"/>
    <n v="9775.6130169999997"/>
  </r>
  <r>
    <x v="70"/>
    <x v="6"/>
    <x v="2"/>
    <x v="0"/>
    <s v="KEPL/00875/82-83"/>
    <s v="BHAT BHATENI SUPERMARKET &amp; DEPARTMENTAL STORE PVT. LTD."/>
    <x v="0"/>
    <x v="21"/>
    <n v="1"/>
    <n v="80"/>
    <n v="170.35"/>
    <n v="13628.000000000002"/>
    <n v="0"/>
    <n v="-681.39986399999998"/>
    <n v="1683.057814"/>
    <n v="14629.657950000001"/>
  </r>
  <r>
    <x v="70"/>
    <x v="6"/>
    <x v="2"/>
    <x v="0"/>
    <s v="KEPL/00875/82-83"/>
    <s v="BHAT BHATENI SUPERMARKET &amp; DEPARTMENTAL STORE PVT. LTD."/>
    <x v="6"/>
    <x v="49"/>
    <n v="0.5"/>
    <n v="60"/>
    <n v="229.2"/>
    <n v="13752"/>
    <n v="0"/>
    <n v="-687.59986300000003"/>
    <n v="1698.3718120000001"/>
    <n v="14762.771949"/>
  </r>
  <r>
    <x v="70"/>
    <x v="6"/>
    <x v="2"/>
    <x v="0"/>
    <s v="KEPL/00875/82-83"/>
    <s v="BHAT BHATENI SUPERMARKET &amp; DEPARTMENTAL STORE PVT. LTD."/>
    <x v="6"/>
    <x v="50"/>
    <n v="0.5"/>
    <n v="100"/>
    <n v="117.7"/>
    <n v="11770"/>
    <n v="0"/>
    <n v="-588.49988300000007"/>
    <n v="1453.5948389999999"/>
    <n v="12635.094956000001"/>
  </r>
  <r>
    <x v="70"/>
    <x v="6"/>
    <x v="2"/>
    <x v="0"/>
    <s v="KEPL/00875/82-83"/>
    <s v="BHAT BHATENI SUPERMARKET &amp; DEPARTMENTAL STORE PVT. LTD."/>
    <x v="0"/>
    <x v="40"/>
    <n v="1"/>
    <n v="120"/>
    <n v="71.239999999999995"/>
    <n v="8548.7999999999993"/>
    <n v="0"/>
    <n v="-427.43991500000004"/>
    <n v="1055.776683"/>
    <n v="9177.1367680000003"/>
  </r>
  <r>
    <x v="70"/>
    <x v="6"/>
    <x v="2"/>
    <x v="0"/>
    <s v="KEPL/00876/82-83"/>
    <s v="BHAT BHATENI SUPERMARKET &amp; DEPARTMENTAL STORE PVT. LTD."/>
    <x v="2"/>
    <x v="28"/>
    <n v="1.1299999999999999"/>
    <n v="90"/>
    <n v="154.87"/>
    <n v="13938.3"/>
    <n v="0"/>
    <n v="-696.91473600000006"/>
    <n v="1721.3804150000001"/>
    <n v="14962.765679"/>
  </r>
  <r>
    <x v="70"/>
    <x v="6"/>
    <x v="2"/>
    <x v="0"/>
    <s v="KEPL/00876/82-83"/>
    <s v="BHAT BHATENI SUPERMARKET &amp; DEPARTMENTAL STORE PVT. LTD."/>
    <x v="3"/>
    <x v="25"/>
    <n v="1"/>
    <n v="48"/>
    <n v="284.95999999999998"/>
    <n v="13678.08"/>
    <n v="0"/>
    <n v="-683.90374099999997"/>
    <n v="1689.243238"/>
    <n v="14683.419497000001"/>
  </r>
  <r>
    <x v="70"/>
    <x v="6"/>
    <x v="2"/>
    <x v="0"/>
    <s v="KEPL/00876/82-83"/>
    <s v="BHAT BHATENI SUPERMARKET &amp; DEPARTMENTAL STORE PVT. LTD."/>
    <x v="0"/>
    <x v="39"/>
    <n v="1"/>
    <n v="180"/>
    <n v="76.81"/>
    <n v="13825.800000000001"/>
    <n v="0"/>
    <n v="-691.28973799999994"/>
    <n v="1707.486662"/>
    <n v="14841.996923999999"/>
  </r>
  <r>
    <x v="70"/>
    <x v="6"/>
    <x v="2"/>
    <x v="0"/>
    <s v="KEPL/00876/82-83"/>
    <s v="BHAT BHATENI SUPERMARKET &amp; DEPARTMENTAL STORE PVT. LTD."/>
    <x v="0"/>
    <x v="2"/>
    <n v="1"/>
    <n v="180"/>
    <n v="56.99"/>
    <n v="10258.200000000001"/>
    <n v="0"/>
    <n v="-512.909806"/>
    <n v="1266.8879679999998"/>
    <n v="11012.178162"/>
  </r>
  <r>
    <x v="70"/>
    <x v="6"/>
    <x v="2"/>
    <x v="0"/>
    <s v="KEPL/00876/82-83"/>
    <s v="BHAT BHATENI SUPERMARKET &amp; DEPARTMENTAL STORE PVT. LTD."/>
    <x v="3"/>
    <x v="47"/>
    <n v="2"/>
    <n v="200"/>
    <n v="65.040000000000006"/>
    <n v="13008"/>
    <n v="0"/>
    <n v="-650.39975300000003"/>
    <n v="1606.4883399999999"/>
    <n v="13964.088587"/>
  </r>
  <r>
    <x v="70"/>
    <x v="6"/>
    <x v="2"/>
    <x v="0"/>
    <s v="KEPL/00876/82-83"/>
    <s v="BHAT BHATENI SUPERMARKET &amp; DEPARTMENTAL STORE PVT. LTD."/>
    <x v="0"/>
    <x v="41"/>
    <n v="1"/>
    <n v="120"/>
    <n v="145.58000000000001"/>
    <n v="17469.599999999999"/>
    <n v="0"/>
    <n v="-873.47966899999994"/>
    <n v="2157.4960569999998"/>
    <n v="18753.616387999999"/>
  </r>
  <r>
    <x v="70"/>
    <x v="6"/>
    <x v="2"/>
    <x v="0"/>
    <s v="KEPL/00876/82-83"/>
    <s v="BHAT BHATENI SUPERMARKET &amp; DEPARTMENTAL STORE PVT. LTD."/>
    <x v="0"/>
    <x v="11"/>
    <n v="1"/>
    <n v="180"/>
    <n v="56.99"/>
    <n v="10258.200000000001"/>
    <n v="0"/>
    <n v="-512.909806"/>
    <n v="1266.8879679999998"/>
    <n v="11012.178162"/>
  </r>
  <r>
    <x v="70"/>
    <x v="6"/>
    <x v="2"/>
    <x v="0"/>
    <s v="KEPL/00876/82-83"/>
    <s v="BHAT BHATENI SUPERMARKET &amp; DEPARTMENTAL STORE PVT. LTD."/>
    <x v="0"/>
    <x v="17"/>
    <n v="1"/>
    <n v="180"/>
    <n v="108.41"/>
    <n v="19513.8"/>
    <n v="0"/>
    <n v="-975.68962999999997"/>
    <n v="2409.9548099999997"/>
    <n v="20948.065180000001"/>
  </r>
  <r>
    <x v="70"/>
    <x v="6"/>
    <x v="2"/>
    <x v="0"/>
    <s v="KEPL/00876/82-83"/>
    <s v="BHAT BHATENI SUPERMARKET &amp; DEPARTMENTAL STORE PVT. LTD."/>
    <x v="0"/>
    <x v="37"/>
    <n v="1"/>
    <n v="180"/>
    <n v="89.82"/>
    <n v="16167.6"/>
    <n v="0"/>
    <n v="-808.37969399999997"/>
    <n v="1996.6990229999999"/>
    <n v="17355.919329"/>
  </r>
  <r>
    <x v="70"/>
    <x v="6"/>
    <x v="2"/>
    <x v="0"/>
    <s v="KEPL/00876/82-83"/>
    <s v="BHAT BHATENI SUPERMARKET &amp; DEPARTMENTAL STORE PVT. LTD."/>
    <x v="2"/>
    <x v="5"/>
    <n v="1"/>
    <n v="180"/>
    <n v="74.34"/>
    <n v="13381.199999999999"/>
    <n v="0"/>
    <n v="-669.05974600000002"/>
    <n v="1652.57855"/>
    <n v="14364.718804"/>
  </r>
  <r>
    <x v="70"/>
    <x v="6"/>
    <x v="2"/>
    <x v="0"/>
    <s v="KEPL/00876/82-83"/>
    <s v="BHAT BHATENI SUPERMARKET &amp; DEPARTMENTAL STORE PVT. LTD."/>
    <x v="0"/>
    <x v="42"/>
    <n v="1"/>
    <n v="120"/>
    <n v="86.73"/>
    <n v="10407.6"/>
    <n v="0"/>
    <n v="-520.37980300000004"/>
    <n v="1285.338872"/>
    <n v="11172.559069000001"/>
  </r>
  <r>
    <x v="70"/>
    <x v="6"/>
    <x v="2"/>
    <x v="0"/>
    <s v="KEPL/00876/82-83"/>
    <s v="BHAT BHATENI SUPERMARKET &amp; DEPARTMENTAL STORE PVT. LTD."/>
    <x v="4"/>
    <x v="30"/>
    <n v="1"/>
    <n v="60"/>
    <n v="89.82"/>
    <n v="5389.2"/>
    <n v="0"/>
    <n v="-269.45989800000001"/>
    <n v="665.56634100000008"/>
    <n v="5785.3064430000004"/>
  </r>
  <r>
    <x v="70"/>
    <x v="6"/>
    <x v="2"/>
    <x v="0"/>
    <s v="KEPL/00876/82-83"/>
    <s v="BHAT BHATENI SUPERMARKET &amp; DEPARTMENTAL STORE PVT. LTD."/>
    <x v="2"/>
    <x v="23"/>
    <n v="1"/>
    <n v="180"/>
    <n v="145.58000000000001"/>
    <n v="26204.399999999998"/>
    <n v="0"/>
    <n v="-1310.2195029999998"/>
    <n v="3236.2440849999998"/>
    <n v="28130.424582"/>
  </r>
  <r>
    <x v="70"/>
    <x v="6"/>
    <x v="2"/>
    <x v="0"/>
    <s v="KEPL/00876/82-83"/>
    <s v="BHAT BHATENI SUPERMARKET &amp; DEPARTMENTAL STORE PVT. LTD."/>
    <x v="2"/>
    <x v="33"/>
    <n v="0.5"/>
    <n v="90"/>
    <n v="83.63"/>
    <n v="7526.7"/>
    <n v="0"/>
    <n v="-376.33485700000006"/>
    <n v="929.54764699999998"/>
    <n v="8079.9127900000003"/>
  </r>
  <r>
    <x v="70"/>
    <x v="6"/>
    <x v="2"/>
    <x v="0"/>
    <s v="KEPL/00876/82-83"/>
    <s v="BHAT BHATENI SUPERMARKET &amp; DEPARTMENTAL STORE PVT. LTD."/>
    <x v="0"/>
    <x v="18"/>
    <n v="0.17"/>
    <n v="20"/>
    <n v="130.09"/>
    <n v="2601.7999999999997"/>
    <n v="0"/>
    <n v="-130.08995100000001"/>
    <n v="321.32236799999998"/>
    <n v="2793.0324169999999"/>
  </r>
  <r>
    <x v="70"/>
    <x v="6"/>
    <x v="2"/>
    <x v="0"/>
    <s v="KEPL/00876/82-83"/>
    <s v="BHAT BHATENI SUPERMARKET &amp; DEPARTMENTAL STORE PVT. LTD."/>
    <x v="3"/>
    <x v="26"/>
    <n v="2"/>
    <n v="144"/>
    <n v="120.8"/>
    <n v="17395.2"/>
    <n v="0"/>
    <n v="-869.75967000000003"/>
    <n v="2148.3076550000001"/>
    <n v="18673.747985000002"/>
  </r>
  <r>
    <x v="71"/>
    <x v="6"/>
    <x v="2"/>
    <x v="0"/>
    <s v="KEPL/00900/82-83"/>
    <s v="BHAT BHATENI SUPERMARKET &amp; DEPARTMENTAL STORE PVT. LTD."/>
    <x v="3"/>
    <x v="25"/>
    <n v="0.25"/>
    <n v="12"/>
    <n v="284.95999999999998"/>
    <n v="3419.52"/>
    <n v="0"/>
    <n v="-170.975942"/>
    <n v="422.31072799999998"/>
    <n v="3670.8547859999999"/>
  </r>
  <r>
    <x v="71"/>
    <x v="6"/>
    <x v="2"/>
    <x v="0"/>
    <s v="KEPL/00900/82-83"/>
    <s v="BHAT BHATENI SUPERMARKET &amp; DEPARTMENTAL STORE PVT. LTD."/>
    <x v="3"/>
    <x v="26"/>
    <n v="0.17"/>
    <n v="12"/>
    <n v="120.8"/>
    <n v="1449.6"/>
    <n v="0"/>
    <n v="-72.479975999999994"/>
    <n v="179.02560299999999"/>
    <n v="1556.1456270000001"/>
  </r>
  <r>
    <x v="71"/>
    <x v="6"/>
    <x v="2"/>
    <x v="0"/>
    <s v="KEPL/00900/82-83"/>
    <s v="BHAT BHATENI SUPERMARKET &amp; DEPARTMENTAL STORE PVT. LTD."/>
    <x v="0"/>
    <x v="2"/>
    <n v="0.17"/>
    <n v="30"/>
    <n v="56.99"/>
    <n v="1709.6999999999998"/>
    <n v="0"/>
    <n v="-85.484971000000002"/>
    <n v="211.147954"/>
    <n v="1835.362983"/>
  </r>
  <r>
    <x v="71"/>
    <x v="6"/>
    <x v="2"/>
    <x v="0"/>
    <s v="KEPL/00900/82-83"/>
    <s v="BHAT BHATENI SUPERMARKET &amp; DEPARTMENTAL STORE PVT. LTD."/>
    <x v="0"/>
    <x v="18"/>
    <n v="0.25"/>
    <n v="30"/>
    <n v="130.09"/>
    <n v="3902.7000000000003"/>
    <n v="0"/>
    <n v="-195.13493400000002"/>
    <n v="481.98345899999998"/>
    <n v="4189.5485250000002"/>
  </r>
  <r>
    <x v="71"/>
    <x v="6"/>
    <x v="2"/>
    <x v="0"/>
    <s v="KEPL/00900/82-83"/>
    <s v="BHAT BHATENI SUPERMARKET &amp; DEPARTMENTAL STORE PVT. LTD."/>
    <x v="1"/>
    <x v="4"/>
    <n v="0.5"/>
    <n v="20"/>
    <n v="238.5"/>
    <n v="4769.9999999999991"/>
    <n v="0"/>
    <n v="-238.49991900000001"/>
    <n v="589.09501"/>
    <n v="5120.5950910000001"/>
  </r>
  <r>
    <x v="71"/>
    <x v="6"/>
    <x v="2"/>
    <x v="0"/>
    <s v="KEPL/00900/82-83"/>
    <s v="BHAT BHATENI SUPERMARKET &amp; DEPARTMENTAL STORE PVT. LTD."/>
    <x v="0"/>
    <x v="42"/>
    <n v="0.25"/>
    <n v="30"/>
    <n v="86.73"/>
    <n v="2601.9"/>
    <n v="0"/>
    <n v="-130.094956"/>
    <n v="321.334656"/>
    <n v="2793.1397000000002"/>
  </r>
  <r>
    <x v="71"/>
    <x v="6"/>
    <x v="2"/>
    <x v="0"/>
    <s v="KEPL/00900/82-83"/>
    <s v="BHAT BHATENI SUPERMARKET &amp; DEPARTMENTAL STORE PVT. LTD."/>
    <x v="0"/>
    <x v="41"/>
    <n v="0.17"/>
    <n v="20"/>
    <n v="145.58000000000001"/>
    <n v="2911.6"/>
    <n v="0"/>
    <n v="-145.57995099999999"/>
    <n v="359.582606"/>
    <n v="3125.6026550000001"/>
  </r>
  <r>
    <x v="71"/>
    <x v="6"/>
    <x v="2"/>
    <x v="0"/>
    <s v="KEPL/00900/82-83"/>
    <s v="BHAT BHATENI SUPERMARKET &amp; DEPARTMENTAL STORE PVT. LTD."/>
    <x v="0"/>
    <x v="11"/>
    <n v="0.11"/>
    <n v="20"/>
    <n v="56.99"/>
    <n v="1139.8"/>
    <n v="0"/>
    <n v="-56.989980999999993"/>
    <n v="140.76530300000002"/>
    <n v="1223.5753219999999"/>
  </r>
  <r>
    <x v="71"/>
    <x v="6"/>
    <x v="2"/>
    <x v="0"/>
    <s v="KEPL/00900/82-83"/>
    <s v="BHAT BHATENI SUPERMARKET &amp; DEPARTMENTAL STORE PVT. LTD."/>
    <x v="2"/>
    <x v="5"/>
    <n v="0.17"/>
    <n v="30"/>
    <n v="74.34"/>
    <n v="2230.1999999999998"/>
    <n v="0"/>
    <n v="-111.50996199999999"/>
    <n v="275.42970500000001"/>
    <n v="2394.1197430000002"/>
  </r>
  <r>
    <x v="71"/>
    <x v="6"/>
    <x v="2"/>
    <x v="0"/>
    <s v="KEPL/00900/82-83"/>
    <s v="BHAT BHATENI SUPERMARKET &amp; DEPARTMENTAL STORE PVT. LTD."/>
    <x v="0"/>
    <x v="19"/>
    <n v="0.17"/>
    <n v="30"/>
    <n v="142.47999999999999"/>
    <n v="4274.3999999999996"/>
    <n v="0"/>
    <n v="-213.71992800000001"/>
    <n v="527.88840900000002"/>
    <n v="4588.5684810000002"/>
  </r>
  <r>
    <x v="71"/>
    <x v="6"/>
    <x v="2"/>
    <x v="0"/>
    <s v="KEPL/00900/82-83"/>
    <s v="BHAT BHATENI SUPERMARKET &amp; DEPARTMENTAL STORE PVT. LTD."/>
    <x v="0"/>
    <x v="9"/>
    <n v="0.17"/>
    <n v="30"/>
    <n v="65.040000000000006"/>
    <n v="1951.2"/>
    <n v="0"/>
    <n v="-97.559967"/>
    <n v="240.97320399999998"/>
    <n v="2094.613237"/>
  </r>
  <r>
    <x v="71"/>
    <x v="6"/>
    <x v="2"/>
    <x v="0"/>
    <s v="KEPL/00900/82-83"/>
    <s v="BHAT BHATENI SUPERMARKET &amp; DEPARTMENTAL STORE PVT. LTD."/>
    <x v="4"/>
    <x v="30"/>
    <n v="0.5"/>
    <n v="30"/>
    <n v="89.82"/>
    <n v="2694.6"/>
    <n v="0"/>
    <n v="-134.72995500000002"/>
    <n v="332.78310599999998"/>
    <n v="2892.653151"/>
  </r>
  <r>
    <x v="71"/>
    <x v="6"/>
    <x v="2"/>
    <x v="0"/>
    <s v="KEPL/00900/82-83"/>
    <s v="BHAT BHATENI SUPERMARKET &amp; DEPARTMENTAL STORE PVT. LTD."/>
    <x v="2"/>
    <x v="22"/>
    <n v="0.75"/>
    <n v="30"/>
    <n v="260.18"/>
    <n v="7805.4000000000005"/>
    <n v="0"/>
    <n v="-390.26986800000003"/>
    <n v="963.96691700000008"/>
    <n v="8379.097049"/>
  </r>
  <r>
    <x v="71"/>
    <x v="6"/>
    <x v="2"/>
    <x v="0"/>
    <s v="KEPL/00900/82-83"/>
    <s v="BHAT BHATENI SUPERMARKET &amp; DEPARTMENTAL STORE PVT. LTD."/>
    <x v="0"/>
    <x v="16"/>
    <n v="0.25"/>
    <n v="30"/>
    <n v="108.41"/>
    <n v="3252.3"/>
    <n v="0"/>
    <n v="-162.61494500000001"/>
    <n v="401.65905700000002"/>
    <n v="3491.3441120000002"/>
  </r>
  <r>
    <x v="71"/>
    <x v="6"/>
    <x v="2"/>
    <x v="0"/>
    <s v="KEPL/00900/82-83"/>
    <s v="BHAT BHATENI SUPERMARKET &amp; DEPARTMENTAL STORE PVT. LTD."/>
    <x v="0"/>
    <x v="48"/>
    <n v="0.11"/>
    <n v="20"/>
    <n v="74.34"/>
    <n v="1486.8"/>
    <n v="0"/>
    <n v="-74.33997500000001"/>
    <n v="183.61980299999999"/>
    <n v="1596.0798279999999"/>
  </r>
  <r>
    <x v="71"/>
    <x v="6"/>
    <x v="2"/>
    <x v="0"/>
    <s v="KEPL/00900/82-83"/>
    <s v="BHAT BHATENI SUPERMARKET &amp; DEPARTMENTAL STORE PVT. LTD."/>
    <x v="1"/>
    <x v="1"/>
    <n v="0.2"/>
    <n v="20"/>
    <n v="99.12"/>
    <n v="1982.4"/>
    <n v="0"/>
    <n v="-99.119967000000003"/>
    <n v="244.826404"/>
    <n v="2128.1064369999999"/>
  </r>
  <r>
    <x v="71"/>
    <x v="6"/>
    <x v="2"/>
    <x v="0"/>
    <s v="KEPL/00900/82-83"/>
    <s v="BHAT BHATENI SUPERMARKET &amp; DEPARTMENTAL STORE PVT. LTD."/>
    <x v="2"/>
    <x v="8"/>
    <n v="0.17"/>
    <n v="20"/>
    <n v="46.46"/>
    <n v="929.2"/>
    <n v="0"/>
    <n v="-46.459983999999999"/>
    <n v="114.75620199999999"/>
    <n v="997.496218"/>
  </r>
  <r>
    <x v="71"/>
    <x v="6"/>
    <x v="2"/>
    <x v="0"/>
    <s v="KEPL/00900/82-83"/>
    <s v="BHAT BHATENI SUPERMARKET &amp; DEPARTMENTAL STORE PVT. LTD."/>
    <x v="2"/>
    <x v="28"/>
    <n v="0.25"/>
    <n v="20"/>
    <n v="154.87"/>
    <n v="3097.4"/>
    <n v="0"/>
    <n v="-154.86994800000002"/>
    <n v="382.528907"/>
    <n v="3325.058959"/>
  </r>
  <r>
    <x v="71"/>
    <x v="6"/>
    <x v="2"/>
    <x v="0"/>
    <s v="KEPL/00900/82-83"/>
    <s v="BHAT BHATENI SUPERMARKET &amp; DEPARTMENTAL STORE PVT. LTD."/>
    <x v="0"/>
    <x v="20"/>
    <n v="0.25"/>
    <n v="30"/>
    <n v="108.41"/>
    <n v="3252.3"/>
    <n v="0"/>
    <n v="-162.61494500000001"/>
    <n v="401.65905700000002"/>
    <n v="3491.3441120000002"/>
  </r>
  <r>
    <x v="71"/>
    <x v="6"/>
    <x v="2"/>
    <x v="0"/>
    <s v="KEPL/00900/82-83"/>
    <s v="BHAT BHATENI SUPERMARKET &amp; DEPARTMENTAL STORE PVT. LTD."/>
    <x v="2"/>
    <x v="23"/>
    <n v="0.17"/>
    <n v="30"/>
    <n v="145.58000000000001"/>
    <n v="4367.3999999999996"/>
    <n v="0"/>
    <n v="-218.36992600000002"/>
    <n v="539.37391000000002"/>
    <n v="4688.4039839999996"/>
  </r>
  <r>
    <x v="72"/>
    <x v="6"/>
    <x v="2"/>
    <x v="0"/>
    <s v="KEPL/00922/82-83"/>
    <s v="BHAT BHATENI SUPERMARKET &amp; DEPARTMENTAL STORE PVT. LTD."/>
    <x v="6"/>
    <x v="50"/>
    <n v="0.3"/>
    <n v="60"/>
    <n v="117.7"/>
    <n v="7062.0000000000009"/>
    <n v="0"/>
    <n v="-353.1"/>
    <n v="872.15548000000001"/>
    <n v="7581.05548"/>
  </r>
  <r>
    <x v="72"/>
    <x v="6"/>
    <x v="2"/>
    <x v="0"/>
    <s v="KEPL/00922/82-83"/>
    <s v="BHAT BHATENI SUPERMARKET &amp; DEPARTMENTAL STORE PVT. LTD."/>
    <x v="6"/>
    <x v="49"/>
    <n v="0.25"/>
    <n v="30"/>
    <n v="229.2"/>
    <n v="6876"/>
    <n v="0"/>
    <n v="-343.8"/>
    <n v="849.18452000000002"/>
    <n v="7381.3845199999996"/>
  </r>
  <r>
    <x v="72"/>
    <x v="6"/>
    <x v="2"/>
    <x v="0"/>
    <s v="KEPL/00923/82-83"/>
    <s v="BHAT BHATENI SUPERMARKET &amp; DEPARTMENTAL STORE PVT. LTD."/>
    <x v="6"/>
    <x v="49"/>
    <n v="0.25"/>
    <n v="30"/>
    <n v="229.2"/>
    <n v="6876"/>
    <n v="0"/>
    <n v="-343.8"/>
    <n v="849.18452000000002"/>
    <n v="7381.3845199999996"/>
  </r>
  <r>
    <x v="72"/>
    <x v="6"/>
    <x v="2"/>
    <x v="0"/>
    <s v="KEPL/00923/82-83"/>
    <s v="BHAT BHATENI SUPERMARKET &amp; DEPARTMENTAL STORE PVT. LTD."/>
    <x v="6"/>
    <x v="50"/>
    <n v="0.3"/>
    <n v="60"/>
    <n v="117.7"/>
    <n v="7062.0000000000009"/>
    <n v="0"/>
    <n v="-353.1"/>
    <n v="872.15548000000001"/>
    <n v="7581.05548"/>
  </r>
  <r>
    <x v="73"/>
    <x v="6"/>
    <x v="2"/>
    <x v="0"/>
    <s v="KEPL/00926/82-83"/>
    <s v="BHAT BHATENI SUPERMARKET &amp; DEPARTMENTAL STORE PVT. LTD."/>
    <x v="3"/>
    <x v="31"/>
    <n v="1"/>
    <n v="72"/>
    <n v="136.28"/>
    <n v="9812.16"/>
    <n v="0"/>
    <n v="-490.60776699999997"/>
    <n v="1211.80179"/>
    <n v="10533.354023"/>
  </r>
  <r>
    <x v="73"/>
    <x v="6"/>
    <x v="2"/>
    <x v="0"/>
    <s v="KEPL/00926/82-83"/>
    <s v="BHAT BHATENI SUPERMARKET &amp; DEPARTMENTAL STORE PVT. LTD."/>
    <x v="0"/>
    <x v="36"/>
    <n v="0.5"/>
    <n v="40"/>
    <n v="142.47999999999999"/>
    <n v="5699.2"/>
    <n v="0"/>
    <n v="-284.95986499999998"/>
    <n v="703.85121800000002"/>
    <n v="6118.0913529999998"/>
  </r>
  <r>
    <x v="73"/>
    <x v="6"/>
    <x v="2"/>
    <x v="0"/>
    <s v="KEPL/00926/82-83"/>
    <s v="BHAT BHATENI SUPERMARKET &amp; DEPARTMENTAL STORE PVT. LTD."/>
    <x v="0"/>
    <x v="21"/>
    <n v="0.5"/>
    <n v="40"/>
    <n v="170.35"/>
    <n v="6814.0000000000009"/>
    <n v="0"/>
    <n v="-340.699838"/>
    <n v="841.52902099999994"/>
    <n v="7314.8291829999998"/>
  </r>
  <r>
    <x v="73"/>
    <x v="6"/>
    <x v="2"/>
    <x v="0"/>
    <s v="KEPL/00926/82-83"/>
    <s v="BHAT BHATENI SUPERMARKET &amp; DEPARTMENTAL STORE PVT. LTD."/>
    <x v="2"/>
    <x v="24"/>
    <n v="1"/>
    <n v="40"/>
    <n v="402.65"/>
    <n v="16106"/>
    <n v="0"/>
    <n v="-805.29961800000001"/>
    <n v="1989.09105"/>
    <n v="17289.791432000002"/>
  </r>
  <r>
    <x v="73"/>
    <x v="6"/>
    <x v="2"/>
    <x v="0"/>
    <s v="KEPL/00926/82-83"/>
    <s v="BHAT BHATENI SUPERMARKET &amp; DEPARTMENTAL STORE PVT. LTD."/>
    <x v="1"/>
    <x v="3"/>
    <n v="1"/>
    <n v="40"/>
    <n v="360.53"/>
    <n v="14421.199999999999"/>
    <n v="0"/>
    <n v="-721.05965800000001"/>
    <n v="1781.0182440000001"/>
    <n v="15481.158586"/>
  </r>
  <r>
    <x v="73"/>
    <x v="6"/>
    <x v="2"/>
    <x v="0"/>
    <s v="KEPL/00926/82-83"/>
    <s v="BHAT BHATENI SUPERMARKET &amp; DEPARTMENTAL STORE PVT. LTD."/>
    <x v="0"/>
    <x v="40"/>
    <n v="0.5"/>
    <n v="60"/>
    <n v="71.239999999999995"/>
    <n v="4274.3999999999996"/>
    <n v="0"/>
    <n v="-213.719899"/>
    <n v="527.88841300000001"/>
    <n v="4588.5685139999996"/>
  </r>
  <r>
    <x v="73"/>
    <x v="6"/>
    <x v="2"/>
    <x v="0"/>
    <s v="KEPL/00926/82-83"/>
    <s v="BHAT BHATENI SUPERMARKET &amp; DEPARTMENTAL STORE PVT. LTD."/>
    <x v="6"/>
    <x v="49"/>
    <n v="0.5"/>
    <n v="60"/>
    <n v="229.2"/>
    <n v="13752"/>
    <n v="0"/>
    <n v="-687.59967400000005"/>
    <n v="1698.3720420000002"/>
    <n v="14762.772368"/>
  </r>
  <r>
    <x v="73"/>
    <x v="6"/>
    <x v="2"/>
    <x v="0"/>
    <s v="KEPL/00926/82-83"/>
    <s v="BHAT BHATENI SUPERMARKET &amp; DEPARTMENTAL STORE PVT. LTD."/>
    <x v="2"/>
    <x v="34"/>
    <n v="0.5"/>
    <n v="40"/>
    <n v="210.62"/>
    <n v="8424.7999999999993"/>
    <n v="0"/>
    <n v="-421.23980000000006"/>
    <n v="1040.4628259999999"/>
    <n v="9044.0230260000008"/>
  </r>
  <r>
    <x v="73"/>
    <x v="6"/>
    <x v="2"/>
    <x v="0"/>
    <s v="KEPL/00926/82-83"/>
    <s v="BHAT BHATENI SUPERMARKET &amp; DEPARTMENTAL STORE PVT. LTD."/>
    <x v="6"/>
    <x v="51"/>
    <n v="0.5"/>
    <n v="30"/>
    <n v="446.02"/>
    <n v="13380.599999999999"/>
    <n v="0"/>
    <n v="-669.02968299999998"/>
    <n v="1652.5041409999999"/>
    <n v="14364.074457999999"/>
  </r>
  <r>
    <x v="73"/>
    <x v="6"/>
    <x v="2"/>
    <x v="0"/>
    <s v="KEPL/00926/82-83"/>
    <s v="BHAT BHATENI SUPERMARKET &amp; DEPARTMENTAL STORE PVT. LTD."/>
    <x v="0"/>
    <x v="45"/>
    <n v="0.5"/>
    <n v="40"/>
    <n v="130.09"/>
    <n v="5203.5999999999995"/>
    <n v="0"/>
    <n v="-260.17987700000003"/>
    <n v="642.64461599999993"/>
    <n v="5586.0647390000004"/>
  </r>
  <r>
    <x v="73"/>
    <x v="6"/>
    <x v="2"/>
    <x v="0"/>
    <s v="KEPL/00926/82-83"/>
    <s v="BHAT BHATENI SUPERMARKET &amp; DEPARTMENTAL STORE PVT. LTD."/>
    <x v="6"/>
    <x v="50"/>
    <n v="0.5"/>
    <n v="100"/>
    <n v="117.7"/>
    <n v="11770"/>
    <n v="0"/>
    <n v="-588.49972100000002"/>
    <n v="1453.5950359999999"/>
    <n v="12635.095315"/>
  </r>
  <r>
    <x v="73"/>
    <x v="6"/>
    <x v="2"/>
    <x v="0"/>
    <s v="KEPL/00926/82-83"/>
    <s v="BHAT BHATENI SUPERMARKET &amp; DEPARTMENTAL STORE PVT. LTD."/>
    <x v="0"/>
    <x v="35"/>
    <n v="0.5"/>
    <n v="40"/>
    <n v="154.87"/>
    <n v="6194.8"/>
    <n v="0"/>
    <n v="-309.73985300000004"/>
    <n v="765.05781899999999"/>
    <n v="6650.1179659999998"/>
  </r>
  <r>
    <x v="73"/>
    <x v="6"/>
    <x v="2"/>
    <x v="0"/>
    <s v="KEPL/00926/82-83"/>
    <s v="BHAT BHATENI SUPERMARKET &amp; DEPARTMENTAL STORE PVT. LTD."/>
    <x v="1"/>
    <x v="6"/>
    <n v="0.5"/>
    <n v="50"/>
    <n v="148.66999999999999"/>
    <n v="7433.5"/>
    <n v="0"/>
    <n v="-371.67482399999994"/>
    <n v="918.03727299999991"/>
    <n v="7979.8624490000002"/>
  </r>
  <r>
    <x v="73"/>
    <x v="6"/>
    <x v="2"/>
    <x v="0"/>
    <s v="KEPL/00926/82-83"/>
    <s v="BHAT BHATENI SUPERMARKET &amp; DEPARTMENTAL STORE PVT. LTD."/>
    <x v="4"/>
    <x v="29"/>
    <n v="0.5"/>
    <n v="60"/>
    <n v="52.65"/>
    <n v="3159.0000000000005"/>
    <n v="0"/>
    <n v="-157.94992500000001"/>
    <n v="390.13650999999999"/>
    <n v="3391.1865849999999"/>
  </r>
  <r>
    <x v="73"/>
    <x v="6"/>
    <x v="2"/>
    <x v="0"/>
    <s v="KEPL/00927/82-83"/>
    <s v="BHAT BHATENI SUPERMARKET &amp; DEPARTMENTAL STORE PVT. LTD."/>
    <x v="3"/>
    <x v="25"/>
    <n v="1"/>
    <n v="48"/>
    <n v="284.95999999999998"/>
    <n v="13678.08"/>
    <n v="0"/>
    <n v="-683.90353399999992"/>
    <n v="1689.2428239999999"/>
    <n v="14683.41929"/>
  </r>
  <r>
    <x v="73"/>
    <x v="6"/>
    <x v="2"/>
    <x v="0"/>
    <s v="KEPL/00927/82-83"/>
    <s v="BHAT BHATENI SUPERMARKET &amp; DEPARTMENTAL STORE PVT. LTD."/>
    <x v="2"/>
    <x v="7"/>
    <n v="0.5"/>
    <n v="60"/>
    <n v="136.28"/>
    <n v="8176.8"/>
    <n v="0"/>
    <n v="-408.83972100000005"/>
    <n v="1009.8347670000001"/>
    <n v="8777.7950459999993"/>
  </r>
  <r>
    <x v="73"/>
    <x v="6"/>
    <x v="2"/>
    <x v="0"/>
    <s v="KEPL/00927/82-83"/>
    <s v="BHAT BHATENI SUPERMARKET &amp; DEPARTMENTAL STORE PVT. LTD."/>
    <x v="4"/>
    <x v="30"/>
    <n v="1"/>
    <n v="60"/>
    <n v="89.82"/>
    <n v="5389.2"/>
    <n v="0"/>
    <n v="-269.45981599999999"/>
    <n v="665.56617800000004"/>
    <n v="5785.3063620000003"/>
  </r>
  <r>
    <x v="73"/>
    <x v="6"/>
    <x v="2"/>
    <x v="0"/>
    <s v="KEPL/00927/82-83"/>
    <s v="BHAT BHATENI SUPERMARKET &amp; DEPARTMENTAL STORE PVT. LTD."/>
    <x v="2"/>
    <x v="8"/>
    <n v="0.5"/>
    <n v="60"/>
    <n v="46.46"/>
    <n v="2787.6"/>
    <n v="0"/>
    <n v="-139.37990500000001"/>
    <n v="344.26858900000002"/>
    <n v="2992.4886839999999"/>
  </r>
  <r>
    <x v="73"/>
    <x v="6"/>
    <x v="2"/>
    <x v="0"/>
    <s v="KEPL/00927/82-83"/>
    <s v="BHAT BHATENI SUPERMARKET &amp; DEPARTMENTAL STORE PVT. LTD."/>
    <x v="2"/>
    <x v="28"/>
    <n v="0.5"/>
    <n v="40"/>
    <n v="154.87"/>
    <n v="6194.8"/>
    <n v="0"/>
    <n v="-309.73978900000003"/>
    <n v="765.05777499999999"/>
    <n v="6650.1179860000002"/>
  </r>
  <r>
    <x v="73"/>
    <x v="6"/>
    <x v="2"/>
    <x v="0"/>
    <s v="KEPL/00927/82-83"/>
    <s v="BHAT BHATENI SUPERMARKET &amp; DEPARTMENTAL STORE PVT. LTD."/>
    <x v="0"/>
    <x v="41"/>
    <n v="0.5"/>
    <n v="60"/>
    <n v="145.58000000000001"/>
    <n v="8734.7999999999993"/>
    <n v="0"/>
    <n v="-436.73970199999997"/>
    <n v="1078.747764"/>
    <n v="9376.8080620000001"/>
  </r>
  <r>
    <x v="73"/>
    <x v="6"/>
    <x v="2"/>
    <x v="0"/>
    <s v="KEPL/00927/82-83"/>
    <s v="BHAT BHATENI SUPERMARKET &amp; DEPARTMENTAL STORE PVT. LTD."/>
    <x v="1"/>
    <x v="4"/>
    <n v="1"/>
    <n v="40"/>
    <n v="238.5"/>
    <n v="9539.9999999999982"/>
    <n v="0"/>
    <n v="-476.99967500000002"/>
    <n v="1178.189961"/>
    <n v="10241.190285999999"/>
  </r>
  <r>
    <x v="73"/>
    <x v="6"/>
    <x v="2"/>
    <x v="0"/>
    <s v="KEPL/00927/82-83"/>
    <s v="BHAT BHATENI SUPERMARKET &amp; DEPARTMENTAL STORE PVT. LTD."/>
    <x v="0"/>
    <x v="32"/>
    <n v="0.5"/>
    <n v="60"/>
    <n v="58.85"/>
    <n v="3531.0000000000005"/>
    <n v="0"/>
    <n v="-176.54988"/>
    <n v="436.078486"/>
    <n v="3790.5286059999999"/>
  </r>
  <r>
    <x v="73"/>
    <x v="6"/>
    <x v="2"/>
    <x v="0"/>
    <s v="KEPL/00927/82-83"/>
    <s v="BHAT BHATENI SUPERMARKET &amp; DEPARTMENTAL STORE PVT. LTD."/>
    <x v="0"/>
    <x v="42"/>
    <n v="0.33"/>
    <n v="40"/>
    <n v="86.73"/>
    <n v="3469.2"/>
    <n v="0"/>
    <n v="-173.45988199999999"/>
    <n v="428.44618600000001"/>
    <n v="3724.1863039999998"/>
  </r>
  <r>
    <x v="73"/>
    <x v="6"/>
    <x v="2"/>
    <x v="0"/>
    <s v="KEPL/00927/82-83"/>
    <s v="BHAT BHATENI SUPERMARKET &amp; DEPARTMENTAL STORE PVT. LTD."/>
    <x v="0"/>
    <x v="48"/>
    <n v="0.5"/>
    <n v="90"/>
    <n v="74.34"/>
    <n v="6690.5999999999995"/>
    <n v="0"/>
    <n v="-334.52977200000004"/>
    <n v="826.28907300000003"/>
    <n v="7182.3593010000004"/>
  </r>
  <r>
    <x v="73"/>
    <x v="6"/>
    <x v="2"/>
    <x v="0"/>
    <s v="KEPL/00927/82-83"/>
    <s v="BHAT BHATENI SUPERMARKET &amp; DEPARTMENTAL STORE PVT. LTD."/>
    <x v="2"/>
    <x v="22"/>
    <n v="1"/>
    <n v="40"/>
    <n v="260.18"/>
    <n v="10407.199999999999"/>
    <n v="0"/>
    <n v="-520.359646"/>
    <n v="1285.2891569999999"/>
    <n v="11172.129510999999"/>
  </r>
  <r>
    <x v="73"/>
    <x v="6"/>
    <x v="2"/>
    <x v="0"/>
    <s v="KEPL/00927/82-83"/>
    <s v="BHAT BHATENI SUPERMARKET &amp; DEPARTMENTAL STORE PVT. LTD."/>
    <x v="3"/>
    <x v="26"/>
    <n v="1"/>
    <n v="72"/>
    <n v="120.8"/>
    <n v="8697.6"/>
    <n v="0"/>
    <n v="-434.87970400000006"/>
    <n v="1074.153564"/>
    <n v="9336.8738599999997"/>
  </r>
  <r>
    <x v="73"/>
    <x v="6"/>
    <x v="2"/>
    <x v="0"/>
    <s v="KEPL/00927/82-83"/>
    <s v="BHAT BHATENI SUPERMARKET &amp; DEPARTMENTAL STORE PVT. LTD."/>
    <x v="2"/>
    <x v="33"/>
    <n v="0.5"/>
    <n v="90"/>
    <n v="83.63"/>
    <n v="7526.7"/>
    <n v="0"/>
    <n v="-376.33474400000006"/>
    <n v="929.54741899999999"/>
    <n v="8079.9126749999996"/>
  </r>
  <r>
    <x v="73"/>
    <x v="6"/>
    <x v="2"/>
    <x v="0"/>
    <s v="KEPL/00927/82-83"/>
    <s v="BHAT BHATENI SUPERMARKET &amp; DEPARTMENTAL STORE PVT. LTD."/>
    <x v="3"/>
    <x v="47"/>
    <n v="0.5"/>
    <n v="50"/>
    <n v="65.040000000000006"/>
    <n v="3252"/>
    <n v="0"/>
    <n v="-162.59988899999999"/>
    <n v="401.62198699999999"/>
    <n v="3491.0220979999999"/>
  </r>
  <r>
    <x v="73"/>
    <x v="6"/>
    <x v="2"/>
    <x v="0"/>
    <s v="KEPL/00927/82-83"/>
    <s v="BHAT BHATENI SUPERMARKET &amp; DEPARTMENTAL STORE PVT. LTD."/>
    <x v="0"/>
    <x v="18"/>
    <n v="0.5"/>
    <n v="60"/>
    <n v="130.09"/>
    <n v="7805.4000000000005"/>
    <n v="0"/>
    <n v="-390.26973399999997"/>
    <n v="963.96686800000009"/>
    <n v="8379.0971339999996"/>
  </r>
  <r>
    <x v="73"/>
    <x v="6"/>
    <x v="2"/>
    <x v="0"/>
    <s v="KEPL/00927/82-83"/>
    <s v="BHAT BHATENI SUPERMARKET &amp; DEPARTMENTAL STORE PVT. LTD."/>
    <x v="0"/>
    <x v="39"/>
    <n v="0.5"/>
    <n v="90"/>
    <n v="76.81"/>
    <n v="6912.9000000000005"/>
    <n v="0"/>
    <n v="-345.64476500000001"/>
    <n v="853.74312200000008"/>
    <n v="7420.9983570000004"/>
  </r>
  <r>
    <x v="73"/>
    <x v="6"/>
    <x v="2"/>
    <x v="0"/>
    <s v="KEPL/00927/82-83"/>
    <s v="BHAT BHATENI SUPERMARKET &amp; DEPARTMENTAL STORE PVT. LTD."/>
    <x v="0"/>
    <x v="38"/>
    <n v="0.5"/>
    <n v="60"/>
    <n v="77.430000000000007"/>
    <n v="4645.8"/>
    <n v="0"/>
    <n v="-232.28984199999999"/>
    <n v="573.75628100000006"/>
    <n v="4987.266439"/>
  </r>
  <r>
    <x v="73"/>
    <x v="6"/>
    <x v="2"/>
    <x v="0"/>
    <s v="KEPL/00928/82-83"/>
    <s v="BHAT BHATENI SUPERMARKET &amp; DEPARTMENTAL STORE PVT. LTD."/>
    <x v="0"/>
    <x v="15"/>
    <n v="0.17"/>
    <n v="30"/>
    <n v="105.31"/>
    <n v="3159.2999999999997"/>
    <n v="0"/>
    <n v="-157.964913"/>
    <n v="390.17361"/>
    <n v="3391.5086970000002"/>
  </r>
  <r>
    <x v="73"/>
    <x v="6"/>
    <x v="2"/>
    <x v="0"/>
    <s v="KEPL/00928/82-83"/>
    <s v="BHAT BHATENI SUPERMARKET &amp; DEPARTMENTAL STORE PVT. LTD."/>
    <x v="0"/>
    <x v="45"/>
    <n v="0.38"/>
    <n v="30"/>
    <n v="130.09"/>
    <n v="3902.7000000000003"/>
    <n v="0"/>
    <n v="-195.13489200000001"/>
    <n v="481.98352399999999"/>
    <n v="4189.548632"/>
  </r>
  <r>
    <x v="73"/>
    <x v="6"/>
    <x v="2"/>
    <x v="0"/>
    <s v="KEPL/00928/82-83"/>
    <s v="BHAT BHATENI SUPERMARKET &amp; DEPARTMENTAL STORE PVT. LTD."/>
    <x v="2"/>
    <x v="8"/>
    <n v="0.25"/>
    <n v="30"/>
    <n v="46.46"/>
    <n v="1393.8"/>
    <n v="0"/>
    <n v="-69.689960999999997"/>
    <n v="172.13432700000001"/>
    <n v="1496.2443659999999"/>
  </r>
  <r>
    <x v="73"/>
    <x v="6"/>
    <x v="2"/>
    <x v="0"/>
    <s v="KEPL/00928/82-83"/>
    <s v="BHAT BHATENI SUPERMARKET &amp; DEPARTMENTAL STORE PVT. LTD."/>
    <x v="0"/>
    <x v="40"/>
    <n v="0.25"/>
    <n v="30"/>
    <n v="71.239999999999995"/>
    <n v="2137.1999999999998"/>
    <n v="0"/>
    <n v="-106.85994099999999"/>
    <n v="263.94424099999998"/>
    <n v="2294.2842999999998"/>
  </r>
  <r>
    <x v="73"/>
    <x v="6"/>
    <x v="2"/>
    <x v="0"/>
    <s v="KEPL/00928/82-83"/>
    <s v="BHAT BHATENI SUPERMARKET &amp; DEPARTMENTAL STORE PVT. LTD."/>
    <x v="0"/>
    <x v="35"/>
    <n v="0.38"/>
    <n v="30"/>
    <n v="154.87"/>
    <n v="4646.0999999999995"/>
    <n v="0"/>
    <n v="-232.30487199999999"/>
    <n v="573.79343900000003"/>
    <n v="4987.5885669999998"/>
  </r>
  <r>
    <x v="73"/>
    <x v="6"/>
    <x v="2"/>
    <x v="0"/>
    <s v="KEPL/00928/82-83"/>
    <s v="BHAT BHATENI SUPERMARKET &amp; DEPARTMENTAL STORE PVT. LTD."/>
    <x v="1"/>
    <x v="6"/>
    <n v="0.6"/>
    <n v="60"/>
    <n v="148.66999999999999"/>
    <n v="8920.1999999999989"/>
    <n v="0"/>
    <n v="-446.00975400000004"/>
    <n v="1101.6448700000001"/>
    <n v="9575.8351160000002"/>
  </r>
  <r>
    <x v="73"/>
    <x v="6"/>
    <x v="2"/>
    <x v="0"/>
    <s v="KEPL/00928/82-83"/>
    <s v="BHAT BHATENI SUPERMARKET &amp; DEPARTMENTAL STORE PVT. LTD."/>
    <x v="2"/>
    <x v="24"/>
    <n v="0.75"/>
    <n v="30"/>
    <n v="402.65"/>
    <n v="12079.499999999998"/>
    <n v="0"/>
    <n v="-603.97466599999996"/>
    <n v="1491.8184800000001"/>
    <n v="12967.343814"/>
  </r>
  <r>
    <x v="73"/>
    <x v="6"/>
    <x v="2"/>
    <x v="0"/>
    <s v="KEPL/00928/82-83"/>
    <s v="BHAT BHATENI SUPERMARKET &amp; DEPARTMENTAL STORE PVT. LTD."/>
    <x v="4"/>
    <x v="29"/>
    <n v="0.31"/>
    <n v="37"/>
    <n v="52.65"/>
    <n v="1948.05"/>
    <n v="0"/>
    <n v="-97.402446000000012"/>
    <n v="240.58421199999998"/>
    <n v="2091.2317659999999"/>
  </r>
  <r>
    <x v="73"/>
    <x v="6"/>
    <x v="2"/>
    <x v="0"/>
    <s v="KEPL/00928/82-83"/>
    <s v="BHAT BHATENI SUPERMARKET &amp; DEPARTMENTAL STORE PVT. LTD."/>
    <x v="0"/>
    <x v="17"/>
    <n v="0.22"/>
    <n v="40"/>
    <n v="108.41"/>
    <n v="4336.3999999999996"/>
    <n v="0"/>
    <n v="-216.81988000000001"/>
    <n v="535.54548299999999"/>
    <n v="4655.1256030000004"/>
  </r>
  <r>
    <x v="73"/>
    <x v="6"/>
    <x v="2"/>
    <x v="0"/>
    <s v="KEPL/00928/82-83"/>
    <s v="BHAT BHATENI SUPERMARKET &amp; DEPARTMENTAL STORE PVT. LTD."/>
    <x v="0"/>
    <x v="37"/>
    <n v="0.17"/>
    <n v="30"/>
    <n v="89.82"/>
    <n v="2694.6"/>
    <n v="0"/>
    <n v="-134.72992600000001"/>
    <n v="332.78315100000003"/>
    <n v="2892.653225"/>
  </r>
  <r>
    <x v="73"/>
    <x v="6"/>
    <x v="2"/>
    <x v="0"/>
    <s v="KEPL/00928/82-83"/>
    <s v="BHAT BHATENI SUPERMARKET &amp; DEPARTMENTAL STORE PVT. LTD."/>
    <x v="0"/>
    <x v="19"/>
    <n v="0.22"/>
    <n v="40"/>
    <n v="142.47999999999999"/>
    <n v="5699.2"/>
    <n v="0"/>
    <n v="-284.95984299999998"/>
    <n v="703.85130900000001"/>
    <n v="6118.0914659999999"/>
  </r>
  <r>
    <x v="73"/>
    <x v="6"/>
    <x v="2"/>
    <x v="0"/>
    <s v="KEPL/00928/82-83"/>
    <s v="BHAT BHATENI SUPERMARKET &amp; DEPARTMENTAL STORE PVT. LTD."/>
    <x v="0"/>
    <x v="36"/>
    <n v="0.5"/>
    <n v="40"/>
    <n v="142.47999999999999"/>
    <n v="5699.2"/>
    <n v="0"/>
    <n v="-284.95984299999998"/>
    <n v="703.85130900000001"/>
    <n v="6118.0914659999999"/>
  </r>
  <r>
    <x v="73"/>
    <x v="6"/>
    <x v="2"/>
    <x v="0"/>
    <s v="KEPL/00928/82-83"/>
    <s v="BHAT BHATENI SUPERMARKET &amp; DEPARTMENTAL STORE PVT. LTD."/>
    <x v="0"/>
    <x v="48"/>
    <n v="0.17"/>
    <n v="30"/>
    <n v="74.34"/>
    <n v="2230.1999999999998"/>
    <n v="0"/>
    <n v="-111.50993799999999"/>
    <n v="275.42974300000003"/>
    <n v="2394.1198049999998"/>
  </r>
  <r>
    <x v="73"/>
    <x v="6"/>
    <x v="2"/>
    <x v="0"/>
    <s v="KEPL/00928/82-83"/>
    <s v="BHAT BHATENI SUPERMARKET &amp; DEPARTMENTAL STORE PVT. LTD."/>
    <x v="0"/>
    <x v="32"/>
    <n v="0.25"/>
    <n v="30"/>
    <n v="58.85"/>
    <n v="1765.5000000000002"/>
    <n v="0"/>
    <n v="-88.274951000000001"/>
    <n v="218.03928399999998"/>
    <n v="1895.2643330000001"/>
  </r>
  <r>
    <x v="73"/>
    <x v="6"/>
    <x v="2"/>
    <x v="0"/>
    <s v="KEPL/00928/82-83"/>
    <s v="BHAT BHATENI SUPERMARKET &amp; DEPARTMENTAL STORE PVT. LTD."/>
    <x v="0"/>
    <x v="21"/>
    <n v="0.5"/>
    <n v="40"/>
    <n v="170.35"/>
    <n v="6814.0000000000009"/>
    <n v="0"/>
    <n v="-340.69981200000001"/>
    <n v="841.52913000000001"/>
    <n v="7314.8293180000001"/>
  </r>
  <r>
    <x v="73"/>
    <x v="6"/>
    <x v="2"/>
    <x v="0"/>
    <s v="KEPL/00928/82-83"/>
    <s v="BHAT BHATENI SUPERMARKET &amp; DEPARTMENTAL STORE PVT. LTD."/>
    <x v="0"/>
    <x v="38"/>
    <n v="0.25"/>
    <n v="30"/>
    <n v="77.430000000000007"/>
    <n v="2322.9"/>
    <n v="0"/>
    <n v="-116.144936"/>
    <n v="286.87819400000001"/>
    <n v="2493.6332579999998"/>
  </r>
  <r>
    <x v="73"/>
    <x v="6"/>
    <x v="2"/>
    <x v="0"/>
    <s v="KEPL/00928/82-83"/>
    <s v="BHAT BHATENI SUPERMARKET &amp; DEPARTMENTAL STORE PVT. LTD."/>
    <x v="1"/>
    <x v="3"/>
    <n v="1"/>
    <n v="40"/>
    <n v="360.53"/>
    <n v="14421.199999999999"/>
    <n v="0"/>
    <n v="-721.05960200000004"/>
    <n v="1781.0184749999999"/>
    <n v="15481.158873"/>
  </r>
  <r>
    <x v="73"/>
    <x v="6"/>
    <x v="2"/>
    <x v="0"/>
    <s v="KEPL/00928/82-83"/>
    <s v="BHAT BHATENI SUPERMARKET &amp; DEPARTMENTAL STORE PVT. LTD."/>
    <x v="2"/>
    <x v="34"/>
    <n v="0.38"/>
    <n v="30"/>
    <n v="210.62"/>
    <n v="6318.5999999999995"/>
    <n v="0"/>
    <n v="-315.92982499999999"/>
    <n v="780.34721999999999"/>
    <n v="6783.0173949999999"/>
  </r>
  <r>
    <x v="73"/>
    <x v="6"/>
    <x v="2"/>
    <x v="0"/>
    <s v="KEPL/00929/82-83"/>
    <s v="BHAT BHATENI SUPERMARKET &amp; DEPARTMENTAL STORE PVT. LTD."/>
    <x v="0"/>
    <x v="18"/>
    <n v="0.33"/>
    <n v="40"/>
    <n v="130.09"/>
    <n v="5203.5999999999995"/>
    <n v="0"/>
    <n v="-260.18012199999998"/>
    <n v="642.6448650000001"/>
    <n v="5586.0647429999999"/>
  </r>
  <r>
    <x v="73"/>
    <x v="6"/>
    <x v="2"/>
    <x v="0"/>
    <s v="KEPL/00929/82-83"/>
    <s v="BHAT BHATENI SUPERMARKET &amp; DEPARTMENTAL STORE PVT. LTD."/>
    <x v="2"/>
    <x v="22"/>
    <n v="1"/>
    <n v="40"/>
    <n v="260.18"/>
    <n v="10407.199999999999"/>
    <n v="0"/>
    <n v="-520.36024399999997"/>
    <n v="1285.2897300000002"/>
    <n v="11172.129486"/>
  </r>
  <r>
    <x v="73"/>
    <x v="6"/>
    <x v="2"/>
    <x v="0"/>
    <s v="KEPL/00929/82-83"/>
    <s v="BHAT BHATENI SUPERMARKET &amp; DEPARTMENTAL STORE PVT. LTD."/>
    <x v="0"/>
    <x v="20"/>
    <n v="0.33"/>
    <n v="40"/>
    <n v="108.41"/>
    <n v="4336.3999999999996"/>
    <n v="0"/>
    <n v="-216.82010200000002"/>
    <n v="535.54562099999998"/>
    <n v="4655.1255190000002"/>
  </r>
  <r>
    <x v="73"/>
    <x v="6"/>
    <x v="2"/>
    <x v="0"/>
    <s v="KEPL/00929/82-83"/>
    <s v="BHAT BHATENI SUPERMARKET &amp; DEPARTMENTAL STORE PVT. LTD."/>
    <x v="1"/>
    <x v="1"/>
    <n v="0.3"/>
    <n v="30"/>
    <n v="99.12"/>
    <n v="2973.6"/>
    <n v="0"/>
    <n v="-148.68007"/>
    <n v="367.23975199999995"/>
    <n v="3192.159682"/>
  </r>
  <r>
    <x v="73"/>
    <x v="6"/>
    <x v="2"/>
    <x v="0"/>
    <s v="KEPL/00929/82-83"/>
    <s v="BHAT BHATENI SUPERMARKET &amp; DEPARTMENTAL STORE PVT. LTD."/>
    <x v="2"/>
    <x v="33"/>
    <n v="0.22"/>
    <n v="40"/>
    <n v="83.63"/>
    <n v="3345.2"/>
    <n v="0"/>
    <n v="-167.26007899999999"/>
    <n v="413.13236999999998"/>
    <n v="3591.072291"/>
  </r>
  <r>
    <x v="73"/>
    <x v="6"/>
    <x v="2"/>
    <x v="0"/>
    <s v="KEPL/00929/82-83"/>
    <s v="BHAT BHATENI SUPERMARKET &amp; DEPARTMENTAL STORE PVT. LTD."/>
    <x v="2"/>
    <x v="7"/>
    <n v="0.42"/>
    <n v="50"/>
    <n v="136.28"/>
    <n v="6814.0000000000009"/>
    <n v="0"/>
    <n v="-340.70015999999998"/>
    <n v="841.52934700000003"/>
    <n v="7314.8291870000003"/>
  </r>
  <r>
    <x v="73"/>
    <x v="6"/>
    <x v="2"/>
    <x v="0"/>
    <s v="KEPL/00929/82-83"/>
    <s v="BHAT BHATENI SUPERMARKET &amp; DEPARTMENTAL STORE PVT. LTD."/>
    <x v="0"/>
    <x v="41"/>
    <n v="0.33"/>
    <n v="40"/>
    <n v="145.58000000000001"/>
    <n v="5823.2"/>
    <n v="0"/>
    <n v="-291.16013700000002"/>
    <n v="719.16549699999996"/>
    <n v="6251.2053599999999"/>
  </r>
  <r>
    <x v="73"/>
    <x v="6"/>
    <x v="2"/>
    <x v="0"/>
    <s v="KEPL/00929/82-83"/>
    <s v="BHAT BHATENI SUPERMARKET &amp; DEPARTMENTAL STORE PVT. LTD."/>
    <x v="2"/>
    <x v="23"/>
    <n v="0.33"/>
    <n v="60"/>
    <n v="145.58000000000001"/>
    <n v="8734.7999999999993"/>
    <n v="0"/>
    <n v="-436.740205"/>
    <n v="1078.748245"/>
    <n v="9376.8080399999999"/>
  </r>
  <r>
    <x v="73"/>
    <x v="6"/>
    <x v="2"/>
    <x v="0"/>
    <s v="KEPL/00929/82-83"/>
    <s v="BHAT BHATENI SUPERMARKET &amp; DEPARTMENTAL STORE PVT. LTD."/>
    <x v="1"/>
    <x v="4"/>
    <n v="0.5"/>
    <n v="20"/>
    <n v="238.5"/>
    <n v="4769.9999999999991"/>
    <n v="0"/>
    <n v="-238.500112"/>
    <n v="589.09524299999998"/>
    <n v="5120.595131"/>
  </r>
  <r>
    <x v="73"/>
    <x v="6"/>
    <x v="2"/>
    <x v="0"/>
    <s v="KEPL/00929/82-83"/>
    <s v="BHAT BHATENI SUPERMARKET &amp; DEPARTMENTAL STORE PVT. LTD."/>
    <x v="0"/>
    <x v="42"/>
    <n v="0.33"/>
    <n v="40"/>
    <n v="86.73"/>
    <n v="3469.2"/>
    <n v="0"/>
    <n v="-173.460081"/>
    <n v="428.44637700000004"/>
    <n v="3724.1862959999999"/>
  </r>
  <r>
    <x v="73"/>
    <x v="6"/>
    <x v="2"/>
    <x v="0"/>
    <s v="KEPL/00929/82-83"/>
    <s v="BHAT BHATENI SUPERMARKET &amp; DEPARTMENTAL STORE PVT. LTD."/>
    <x v="0"/>
    <x v="16"/>
    <n v="0.25"/>
    <n v="30"/>
    <n v="108.41"/>
    <n v="3252.3"/>
    <n v="0"/>
    <n v="-162.61507599999999"/>
    <n v="401.65921600000001"/>
    <n v="3491.3441400000002"/>
  </r>
  <r>
    <x v="73"/>
    <x v="6"/>
    <x v="2"/>
    <x v="0"/>
    <s v="KEPL/00929/82-83"/>
    <s v="BHAT BHATENI SUPERMARKET &amp; DEPARTMENTAL STORE PVT. LTD."/>
    <x v="0"/>
    <x v="14"/>
    <n v="0.22"/>
    <n v="40"/>
    <n v="123.89"/>
    <n v="4955.5999999999995"/>
    <n v="0"/>
    <n v="-247.78011599999999"/>
    <n v="612.01685299999997"/>
    <n v="5319.8367369999996"/>
  </r>
  <r>
    <x v="73"/>
    <x v="6"/>
    <x v="2"/>
    <x v="0"/>
    <s v="KEPL/00929/82-83"/>
    <s v="BHAT BHATENI SUPERMARKET &amp; DEPARTMENTAL STORE PVT. LTD."/>
    <x v="0"/>
    <x v="39"/>
    <n v="0.22"/>
    <n v="40"/>
    <n v="76.81"/>
    <n v="3072.4"/>
    <n v="0"/>
    <n v="-153.62007199999999"/>
    <n v="379.44155699999999"/>
    <n v="3298.221485"/>
  </r>
  <r>
    <x v="73"/>
    <x v="6"/>
    <x v="2"/>
    <x v="0"/>
    <s v="KEPL/00929/82-83"/>
    <s v="BHAT BHATENI SUPERMARKET &amp; DEPARTMENTAL STORE PVT. LTD."/>
    <x v="2"/>
    <x v="28"/>
    <n v="0.63"/>
    <n v="50"/>
    <n v="154.87"/>
    <n v="7743.5"/>
    <n v="0"/>
    <n v="-387.17518200000001"/>
    <n v="956.32264499999997"/>
    <n v="8312.6474629999993"/>
  </r>
  <r>
    <x v="73"/>
    <x v="6"/>
    <x v="2"/>
    <x v="0"/>
    <s v="KEPL/00929/82-83"/>
    <s v="BHAT BHATENI SUPERMARKET &amp; DEPARTMENTAL STORE PVT. LTD."/>
    <x v="3"/>
    <x v="25"/>
    <n v="0.75"/>
    <n v="36"/>
    <n v="284.95999999999998"/>
    <n v="10258.56"/>
    <n v="0"/>
    <n v="-512.92824099999996"/>
    <n v="1266.932683"/>
    <n v="11012.564442000001"/>
  </r>
  <r>
    <x v="73"/>
    <x v="6"/>
    <x v="2"/>
    <x v="0"/>
    <s v="KEPL/00954/82-83"/>
    <s v="BEERA BARJEE INTERNATIONAL PVT.LTD"/>
    <x v="0"/>
    <x v="41"/>
    <n v="1"/>
    <n v="120"/>
    <n v="158.86000000000001"/>
    <n v="19063.2"/>
    <n v="-1732.84"/>
    <n v="0"/>
    <n v="2252.9470710000001"/>
    <n v="19583.307070999999"/>
  </r>
  <r>
    <x v="73"/>
    <x v="6"/>
    <x v="2"/>
    <x v="0"/>
    <s v="KEPL/00954/82-83"/>
    <s v="BEERA BARJEE INTERNATIONAL PVT.LTD"/>
    <x v="2"/>
    <x v="5"/>
    <n v="2"/>
    <n v="360"/>
    <n v="94.65"/>
    <n v="34074"/>
    <n v="-3097.3300000000004"/>
    <n v="0"/>
    <n v="4026.967584"/>
    <n v="35003.637583999996"/>
  </r>
  <r>
    <x v="73"/>
    <x v="6"/>
    <x v="2"/>
    <x v="0"/>
    <s v="KEPL/00954/82-83"/>
    <s v="BEERA BARJEE INTERNATIONAL PVT.LTD"/>
    <x v="2"/>
    <x v="22"/>
    <n v="1"/>
    <n v="40"/>
    <n v="283.94"/>
    <n v="11357.599999999999"/>
    <n v="-1032.4099999999999"/>
    <n v="0"/>
    <n v="1342.2748610000001"/>
    <n v="11667.464861"/>
  </r>
  <r>
    <x v="73"/>
    <x v="6"/>
    <x v="2"/>
    <x v="0"/>
    <s v="KEPL/00954/82-83"/>
    <s v="BEERA BARJEE INTERNATIONAL PVT.LTD"/>
    <x v="0"/>
    <x v="15"/>
    <n v="1"/>
    <n v="180"/>
    <n v="114.93"/>
    <n v="20687.400000000001"/>
    <n v="-1880.48"/>
    <n v="0"/>
    <n v="2444.8998940000001"/>
    <n v="21251.819894"/>
  </r>
  <r>
    <x v="73"/>
    <x v="6"/>
    <x v="2"/>
    <x v="0"/>
    <s v="KEPL/00954/82-83"/>
    <s v="BEERA BARJEE INTERNATIONAL PVT.LTD"/>
    <x v="0"/>
    <x v="16"/>
    <n v="1"/>
    <n v="120"/>
    <n v="121.69"/>
    <n v="14602.800000000001"/>
    <n v="-1327.39"/>
    <n v="0"/>
    <n v="1725.8035070000001"/>
    <n v="15001.213507"/>
  </r>
  <r>
    <x v="73"/>
    <x v="6"/>
    <x v="2"/>
    <x v="0"/>
    <s v="KEPL/00954/82-83"/>
    <s v="BEERA BARJEE INTERNATIONAL PVT.LTD"/>
    <x v="1"/>
    <x v="1"/>
    <n v="1"/>
    <n v="100"/>
    <n v="108.17"/>
    <n v="10817"/>
    <n v="-983.2700000000001"/>
    <n v="0"/>
    <n v="1278.3850540000001"/>
    <n v="11112.115054"/>
  </r>
  <r>
    <x v="73"/>
    <x v="6"/>
    <x v="2"/>
    <x v="0"/>
    <s v="KEPL/00954/82-83"/>
    <s v="BEERA BARJEE INTERNATIONAL PVT.LTD"/>
    <x v="3"/>
    <x v="31"/>
    <n v="1"/>
    <n v="72"/>
    <n v="148.74"/>
    <n v="10709.279999999999"/>
    <n v="-973.47"/>
    <n v="0"/>
    <n v="1265.655452"/>
    <n v="11001.465452"/>
  </r>
  <r>
    <x v="73"/>
    <x v="6"/>
    <x v="2"/>
    <x v="0"/>
    <s v="KEPL/00954/82-83"/>
    <s v="BEERA BARJEE INTERNATIONAL PVT.LTD"/>
    <x v="3"/>
    <x v="25"/>
    <n v="1"/>
    <n v="48"/>
    <n v="310.99"/>
    <n v="14927.519999999999"/>
    <n v="-1356.91"/>
    <n v="0"/>
    <n v="1764.1795119999999"/>
    <n v="15334.789511999999"/>
  </r>
  <r>
    <x v="73"/>
    <x v="6"/>
    <x v="2"/>
    <x v="0"/>
    <s v="KEPL/00954/82-83"/>
    <s v="BEERA BARJEE INTERNATIONAL PVT.LTD"/>
    <x v="2"/>
    <x v="7"/>
    <n v="1"/>
    <n v="120"/>
    <n v="152.11000000000001"/>
    <n v="18253.2"/>
    <n v="-1659.2199999999998"/>
    <n v="0"/>
    <n v="2157.2176589999999"/>
    <n v="18751.197659000001"/>
  </r>
  <r>
    <x v="73"/>
    <x v="6"/>
    <x v="2"/>
    <x v="0"/>
    <s v="KEPL/00954/82-83"/>
    <s v="BEERA BARJEE INTERNATIONAL PVT.LTD"/>
    <x v="0"/>
    <x v="10"/>
    <n v="1"/>
    <n v="180"/>
    <n v="60.84"/>
    <n v="10951.199999999999"/>
    <n v="-995.46"/>
    <n v="0"/>
    <n v="1294.246355"/>
    <n v="11249.986354999999"/>
  </r>
  <r>
    <x v="73"/>
    <x v="6"/>
    <x v="2"/>
    <x v="0"/>
    <s v="KEPL/00954/82-83"/>
    <s v="BEERA BARJEE INTERNATIONAL PVT.LTD"/>
    <x v="1"/>
    <x v="4"/>
    <n v="1"/>
    <n v="40"/>
    <n v="260.27999999999997"/>
    <n v="10411.200000000001"/>
    <n v="-946.38"/>
    <n v="0"/>
    <n v="1230.4267480000001"/>
    <n v="10695.246748"/>
  </r>
  <r>
    <x v="73"/>
    <x v="6"/>
    <x v="2"/>
    <x v="0"/>
    <s v="KEPL/00954/82-83"/>
    <s v="BEERA BARJEE INTERNATIONAL PVT.LTD"/>
    <x v="0"/>
    <x v="0"/>
    <n v="1"/>
    <n v="180"/>
    <n v="64.23"/>
    <n v="11561.4"/>
    <n v="-1050.9299999999998"/>
    <n v="0"/>
    <n v="1366.3612640000001"/>
    <n v="11876.831264"/>
  </r>
  <r>
    <x v="73"/>
    <x v="6"/>
    <x v="2"/>
    <x v="0"/>
    <s v="KEPL/00954/82-83"/>
    <s v="BEERA BARJEE INTERNATIONAL PVT.LTD"/>
    <x v="0"/>
    <x v="11"/>
    <n v="1"/>
    <n v="180"/>
    <n v="64.23"/>
    <n v="11561.4"/>
    <n v="-1050.9299999999998"/>
    <n v="0"/>
    <n v="1366.3612640000001"/>
    <n v="11876.831264"/>
  </r>
  <r>
    <x v="73"/>
    <x v="6"/>
    <x v="2"/>
    <x v="0"/>
    <s v="KEPL/00954/82-83"/>
    <s v="BEERA BARJEE INTERNATIONAL PVT.LTD"/>
    <x v="0"/>
    <x v="2"/>
    <n v="1"/>
    <n v="180"/>
    <n v="64.23"/>
    <n v="11561.4"/>
    <n v="-1050.9299999999998"/>
    <n v="0"/>
    <n v="1366.3612640000001"/>
    <n v="11876.831264"/>
  </r>
  <r>
    <x v="73"/>
    <x v="6"/>
    <x v="2"/>
    <x v="0"/>
    <s v="KEPL/00954/82-83"/>
    <s v="BEERA BARJEE INTERNATIONAL PVT.LTD"/>
    <x v="1"/>
    <x v="6"/>
    <n v="1"/>
    <n v="100"/>
    <n v="162.26"/>
    <n v="16226"/>
    <n v="-1474.94"/>
    <n v="0"/>
    <n v="1917.6380300000001"/>
    <n v="16668.69803"/>
  </r>
  <r>
    <x v="73"/>
    <x v="6"/>
    <x v="2"/>
    <x v="0"/>
    <s v="KEPL/00954/82-83"/>
    <s v="BEERA BARJEE INTERNATIONAL PVT.LTD"/>
    <x v="0"/>
    <x v="9"/>
    <n v="1"/>
    <n v="180"/>
    <n v="70.989999999999995"/>
    <n v="12778.2"/>
    <n v="-1161.54"/>
    <n v="0"/>
    <n v="1510.1659810000001"/>
    <n v="13126.825981"/>
  </r>
  <r>
    <x v="73"/>
    <x v="6"/>
    <x v="2"/>
    <x v="0"/>
    <s v="KEPL/00954/82-83"/>
    <s v="BEERA BARJEE INTERNATIONAL PVT.LTD"/>
    <x v="4"/>
    <x v="30"/>
    <n v="2"/>
    <n v="120"/>
    <n v="98.03"/>
    <n v="11763.6"/>
    <n v="-1069.3100000000002"/>
    <n v="0"/>
    <n v="1390.257867"/>
    <n v="12084.547866999999"/>
  </r>
  <r>
    <x v="73"/>
    <x v="6"/>
    <x v="2"/>
    <x v="0"/>
    <s v="KEPL/00954/82-83"/>
    <s v="BEERA BARJEE INTERNATIONAL PVT.LTD"/>
    <x v="2"/>
    <x v="23"/>
    <n v="2"/>
    <n v="360"/>
    <n v="182.53"/>
    <n v="65710.8"/>
    <n v="-5973.11"/>
    <n v="0"/>
    <n v="7765.9006330000002"/>
    <n v="67503.590633"/>
  </r>
  <r>
    <x v="74"/>
    <x v="6"/>
    <x v="2"/>
    <x v="0"/>
    <s v="KEPL/00991/82-83"/>
    <s v="MEGA MART PVT.LTD"/>
    <x v="3"/>
    <x v="26"/>
    <n v="10.67"/>
    <n v="768"/>
    <n v="124.25"/>
    <n v="95424"/>
    <n v="0"/>
    <n v="0"/>
    <n v="12405.12"/>
    <n v="107829.12"/>
  </r>
  <r>
    <x v="75"/>
    <x v="6"/>
    <x v="2"/>
    <x v="0"/>
    <s v="KEPL/00996/82-83"/>
    <s v="KATYANI DARSHAN PVT. LTD."/>
    <x v="3"/>
    <x v="26"/>
    <n v="0.69"/>
    <n v="50"/>
    <n v="104"/>
    <n v="5200"/>
    <n v="0"/>
    <n v="0"/>
    <n v="676"/>
    <n v="5876"/>
  </r>
  <r>
    <x v="75"/>
    <x v="6"/>
    <x v="2"/>
    <x v="0"/>
    <s v="KEPL/00999/82-83"/>
    <s v="DS SPICECO L &amp; D"/>
    <x v="3"/>
    <x v="26"/>
    <n v="4.17"/>
    <n v="300"/>
    <n v="104"/>
    <n v="31200"/>
    <n v="0"/>
    <n v="0"/>
    <n v="4056"/>
    <n v="35256"/>
  </r>
  <r>
    <x v="76"/>
    <x v="6"/>
    <x v="2"/>
    <x v="0"/>
    <s v="KEPL/01007/82-83"/>
    <s v="MEGA MART PVT.LTD"/>
    <x v="3"/>
    <x v="26"/>
    <n v="0.67"/>
    <n v="48"/>
    <n v="124.25"/>
    <n v="5964"/>
    <n v="0"/>
    <n v="0"/>
    <n v="775.32"/>
    <n v="6739.32"/>
  </r>
  <r>
    <x v="77"/>
    <x v="6"/>
    <x v="2"/>
    <x v="0"/>
    <s v="KEPL/01027/82-83"/>
    <s v="BEERA BARJEE INTERNATIONAL PVT.LTD"/>
    <x v="2"/>
    <x v="33"/>
    <n v="1"/>
    <n v="180"/>
    <n v="91.27"/>
    <n v="16428.599999999999"/>
    <n v="-1493.36"/>
    <n v="0"/>
    <n v="1941.581553"/>
    <n v="16876.821553000002"/>
  </r>
  <r>
    <x v="77"/>
    <x v="6"/>
    <x v="2"/>
    <x v="0"/>
    <s v="KEPL/01027/82-83"/>
    <s v="BEERA BARJEE INTERNATIONAL PVT.LTD"/>
    <x v="2"/>
    <x v="24"/>
    <n v="1"/>
    <n v="40"/>
    <n v="439.44"/>
    <n v="17577.599999999999"/>
    <n v="-1597.8"/>
    <n v="0"/>
    <n v="2077.374378"/>
    <n v="18057.174378"/>
  </r>
  <r>
    <x v="77"/>
    <x v="6"/>
    <x v="2"/>
    <x v="0"/>
    <s v="KEPL/01027/82-83"/>
    <s v="BEERA BARJEE INTERNATIONAL PVT.LTD"/>
    <x v="3"/>
    <x v="26"/>
    <n v="1"/>
    <n v="72"/>
    <n v="131.83000000000001"/>
    <n v="9491.76"/>
    <n v="-862.8"/>
    <n v="0"/>
    <n v="1121.7650039999999"/>
    <n v="9750.7250039999999"/>
  </r>
  <r>
    <x v="77"/>
    <x v="6"/>
    <x v="2"/>
    <x v="0"/>
    <s v="KEPL/01027/82-83"/>
    <s v="BEERA BARJEE INTERNATIONAL PVT.LTD"/>
    <x v="2"/>
    <x v="28"/>
    <n v="1"/>
    <n v="80"/>
    <n v="169.01"/>
    <n v="13520.8"/>
    <n v="-1229.04"/>
    <n v="0"/>
    <n v="1597.9290900000001"/>
    <n v="13889.68909"/>
  </r>
  <r>
    <x v="77"/>
    <x v="6"/>
    <x v="2"/>
    <x v="0"/>
    <s v="KEPL/01027/82-83"/>
    <s v="BEERA BARJEE INTERNATIONAL PVT.LTD"/>
    <x v="0"/>
    <x v="32"/>
    <n v="1"/>
    <n v="120"/>
    <n v="64.23"/>
    <n v="7707.5999999999995"/>
    <n v="-700.62"/>
    <n v="0"/>
    <n v="910.90756599999997"/>
    <n v="7917.8875660000003"/>
  </r>
  <r>
    <x v="77"/>
    <x v="6"/>
    <x v="2"/>
    <x v="0"/>
    <s v="KEPL/01027/82-83"/>
    <s v="BEERA BARJEE INTERNATIONAL PVT.LTD"/>
    <x v="1"/>
    <x v="3"/>
    <n v="1"/>
    <n v="40"/>
    <n v="393.46"/>
    <n v="15738.4"/>
    <n v="-1430.6200000000001"/>
    <n v="0"/>
    <n v="1860.0117379999999"/>
    <n v="16167.791738"/>
  </r>
  <r>
    <x v="77"/>
    <x v="6"/>
    <x v="2"/>
    <x v="0"/>
    <s v="KEPL/01027/82-83"/>
    <s v="BEERA BARJEE INTERNATIONAL PVT.LTD"/>
    <x v="2"/>
    <x v="34"/>
    <n v="1"/>
    <n v="80"/>
    <n v="229.86"/>
    <n v="18388.8"/>
    <n v="-1671.54"/>
    <n v="0"/>
    <n v="2173.2441949999998"/>
    <n v="18890.504195000001"/>
  </r>
  <r>
    <x v="77"/>
    <x v="6"/>
    <x v="2"/>
    <x v="0"/>
    <s v="KEPL/01027/82-83"/>
    <s v="BEERA BARJEE INTERNATIONAL PVT.LTD"/>
    <x v="0"/>
    <x v="39"/>
    <n v="1"/>
    <n v="180"/>
    <n v="83.82"/>
    <n v="15087.6"/>
    <n v="-1371.4599999999998"/>
    <n v="0"/>
    <n v="1783.098524"/>
    <n v="15499.238524"/>
  </r>
  <r>
    <x v="77"/>
    <x v="6"/>
    <x v="2"/>
    <x v="0"/>
    <s v="KEPL/01027/82-83"/>
    <s v="BEERA BARJEE INTERNATIONAL PVT.LTD"/>
    <x v="4"/>
    <x v="30"/>
    <n v="2"/>
    <n v="120"/>
    <n v="98.03"/>
    <n v="11763.6"/>
    <n v="-1069.3100000000002"/>
    <n v="0"/>
    <n v="1390.257953"/>
    <n v="12084.547952999999"/>
  </r>
  <r>
    <x v="77"/>
    <x v="6"/>
    <x v="2"/>
    <x v="0"/>
    <s v="KEPL/01031/82-83"/>
    <s v="MEGA MART PVT.LTD"/>
    <x v="3"/>
    <x v="25"/>
    <n v="2.88"/>
    <n v="138"/>
    <n v="293.10000000000002"/>
    <n v="40447.800000000003"/>
    <n v="0"/>
    <n v="0"/>
    <n v="5258.2127259999997"/>
    <n v="45706.012726000001"/>
  </r>
  <r>
    <x v="77"/>
    <x v="6"/>
    <x v="2"/>
    <x v="0"/>
    <s v="KEPL/01031/82-83"/>
    <s v="MEGA MART PVT.LTD"/>
    <x v="3"/>
    <x v="26"/>
    <n v="1"/>
    <n v="72"/>
    <n v="124.25"/>
    <n v="8946"/>
    <n v="0"/>
    <n v="0"/>
    <n v="1162.979718"/>
    <n v="10108.979718000001"/>
  </r>
  <r>
    <x v="77"/>
    <x v="6"/>
    <x v="2"/>
    <x v="0"/>
    <s v="KEPL/01031/82-83"/>
    <s v="MEGA MART PVT.LTD"/>
    <x v="3"/>
    <x v="31"/>
    <n v="3.92"/>
    <n v="282"/>
    <n v="140.18"/>
    <n v="39530.759999999995"/>
    <n v="0"/>
    <n v="0"/>
    <n v="5138.9975549999999"/>
    <n v="44669.757554999997"/>
  </r>
  <r>
    <x v="77"/>
    <x v="6"/>
    <x v="2"/>
    <x v="0"/>
    <s v="KEPL/01055/82-83"/>
    <s v="WELSON TRADE &amp; RASAN MART"/>
    <x v="0"/>
    <x v="18"/>
    <n v="1"/>
    <n v="120"/>
    <n v="141.97"/>
    <n v="17036.400000000001"/>
    <n v="-1548.61"/>
    <n v="0"/>
    <n v="2013.4128539999999"/>
    <n v="17501.202853999999"/>
  </r>
  <r>
    <x v="77"/>
    <x v="6"/>
    <x v="2"/>
    <x v="0"/>
    <s v="KEPL/01055/82-83"/>
    <s v="WELSON TRADE &amp; RASAN MART"/>
    <x v="0"/>
    <x v="37"/>
    <n v="1"/>
    <n v="180"/>
    <n v="98.03"/>
    <n v="17645.400000000001"/>
    <n v="-1603.97"/>
    <n v="0"/>
    <n v="2085.3860599999998"/>
    <n v="18126.816060000001"/>
  </r>
  <r>
    <x v="77"/>
    <x v="6"/>
    <x v="2"/>
    <x v="0"/>
    <s v="KEPL/01055/82-83"/>
    <s v="WELSON TRADE &amp; RASAN MART"/>
    <x v="0"/>
    <x v="44"/>
    <n v="0.5"/>
    <n v="90"/>
    <n v="128.44999999999999"/>
    <n v="11560.500000000002"/>
    <n v="-1050.8499999999999"/>
    <n v="0"/>
    <n v="1366.2546049999999"/>
    <n v="11875.904605"/>
  </r>
  <r>
    <x v="77"/>
    <x v="6"/>
    <x v="2"/>
    <x v="0"/>
    <s v="KEPL/01055/82-83"/>
    <s v="WELSON TRADE &amp; RASAN MART"/>
    <x v="2"/>
    <x v="33"/>
    <n v="0.5"/>
    <n v="90"/>
    <n v="91.27"/>
    <n v="8214.2999999999993"/>
    <n v="-746.68"/>
    <n v="0"/>
    <n v="970.79067400000008"/>
    <n v="8438.4106740000007"/>
  </r>
  <r>
    <x v="77"/>
    <x v="6"/>
    <x v="2"/>
    <x v="0"/>
    <s v="KEPL/01055/82-83"/>
    <s v="WELSON TRADE &amp; RASAN MART"/>
    <x v="0"/>
    <x v="32"/>
    <n v="1"/>
    <n v="120"/>
    <n v="64.23"/>
    <n v="7707.5999999999995"/>
    <n v="-700.62"/>
    <n v="0"/>
    <n v="910.90746999999999"/>
    <n v="7917.8874699999997"/>
  </r>
  <r>
    <x v="77"/>
    <x v="6"/>
    <x v="2"/>
    <x v="0"/>
    <s v="KEPL/01055/82-83"/>
    <s v="WELSON TRADE &amp; RASAN MART"/>
    <x v="0"/>
    <x v="39"/>
    <n v="1"/>
    <n v="180"/>
    <n v="83.82"/>
    <n v="15087.6"/>
    <n v="-1371.4599999999998"/>
    <n v="0"/>
    <n v="1783.0983370000001"/>
    <n v="15499.238337000001"/>
  </r>
  <r>
    <x v="78"/>
    <x v="7"/>
    <x v="2"/>
    <x v="0"/>
    <s v="KEPL/01134/82-83"/>
    <s v="SIMPEX SOLUTION PVT. LTD"/>
    <x v="1"/>
    <x v="6"/>
    <n v="7.0000000000000007E-2"/>
    <n v="7"/>
    <n v="169.91"/>
    <n v="1189.3699999999999"/>
    <n v="0"/>
    <n v="0"/>
    <n v="154.61827299999999"/>
    <n v="1343.9882729999999"/>
  </r>
  <r>
    <x v="78"/>
    <x v="7"/>
    <x v="2"/>
    <x v="0"/>
    <s v="KEPL/01134/82-83"/>
    <s v="SIMPEX SOLUTION PVT. LTD"/>
    <x v="2"/>
    <x v="28"/>
    <n v="0.1"/>
    <n v="8"/>
    <n v="176.99"/>
    <n v="1415.92"/>
    <n v="0"/>
    <n v="0"/>
    <n v="184.069806"/>
    <n v="1599.989806"/>
  </r>
  <r>
    <x v="78"/>
    <x v="7"/>
    <x v="2"/>
    <x v="0"/>
    <s v="KEPL/01134/82-83"/>
    <s v="SIMPEX SOLUTION PVT. LTD"/>
    <x v="3"/>
    <x v="26"/>
    <n v="0.19"/>
    <n v="14"/>
    <n v="138.05000000000001"/>
    <n v="1932.7"/>
    <n v="0"/>
    <n v="0"/>
    <n v="251.25128100000001"/>
    <n v="2183.9512810000001"/>
  </r>
  <r>
    <x v="78"/>
    <x v="7"/>
    <x v="2"/>
    <x v="0"/>
    <s v="KEPL/01134/82-83"/>
    <s v="SIMPEX SOLUTION PVT. LTD"/>
    <x v="4"/>
    <x v="30"/>
    <n v="0.08"/>
    <n v="5"/>
    <n v="102.65"/>
    <n v="513.25"/>
    <n v="0"/>
    <n v="0"/>
    <n v="66.722573999999994"/>
    <n v="579.97257400000001"/>
  </r>
  <r>
    <x v="78"/>
    <x v="7"/>
    <x v="2"/>
    <x v="0"/>
    <s v="KEPL/01134/82-83"/>
    <s v="SIMPEX SOLUTION PVT. LTD"/>
    <x v="0"/>
    <x v="27"/>
    <n v="0.04"/>
    <n v="5"/>
    <n v="120.35"/>
    <n v="601.75000000000011"/>
    <n v="0"/>
    <n v="0"/>
    <n v="78.227587"/>
    <n v="679.97758699999997"/>
  </r>
  <r>
    <x v="78"/>
    <x v="7"/>
    <x v="2"/>
    <x v="0"/>
    <s v="KEPL/01134/82-83"/>
    <s v="SIMPEX SOLUTION PVT. LTD"/>
    <x v="0"/>
    <x v="0"/>
    <n v="0.03"/>
    <n v="6"/>
    <n v="65.13"/>
    <n v="390.78"/>
    <n v="0"/>
    <n v="0"/>
    <n v="50.801456999999999"/>
    <n v="441.581457"/>
  </r>
  <r>
    <x v="78"/>
    <x v="7"/>
    <x v="2"/>
    <x v="0"/>
    <s v="KEPL/01134/82-83"/>
    <s v="SIMPEX SOLUTION PVT. LTD"/>
    <x v="0"/>
    <x v="2"/>
    <n v="0.04"/>
    <n v="8"/>
    <n v="65.13"/>
    <n v="521.04"/>
    <n v="0"/>
    <n v="0"/>
    <n v="67.735275999999999"/>
    <n v="588.77527599999996"/>
  </r>
  <r>
    <x v="78"/>
    <x v="7"/>
    <x v="2"/>
    <x v="0"/>
    <s v="KEPL/01134/82-83"/>
    <s v="SIMPEX SOLUTION PVT. LTD"/>
    <x v="2"/>
    <x v="7"/>
    <n v="0.05"/>
    <n v="6"/>
    <n v="155.75"/>
    <n v="934.5"/>
    <n v="0"/>
    <n v="0"/>
    <n v="121.485136"/>
    <n v="1055.985136"/>
  </r>
  <r>
    <x v="78"/>
    <x v="7"/>
    <x v="2"/>
    <x v="0"/>
    <s v="KEPL/01134/82-83"/>
    <s v="SIMPEX SOLUTION PVT. LTD"/>
    <x v="4"/>
    <x v="29"/>
    <n v="0.57999999999999996"/>
    <n v="70"/>
    <n v="60.18"/>
    <n v="4212.6000000000004"/>
    <n v="0"/>
    <n v="0"/>
    <n v="547.63861099999997"/>
    <n v="4760.2386109999998"/>
  </r>
  <r>
    <x v="79"/>
    <x v="7"/>
    <x v="2"/>
    <x v="0"/>
    <s v="KEPL/01135/82-83"/>
    <s v="SIMPEX SOLUTION PVT. LTD"/>
    <x v="0"/>
    <x v="0"/>
    <n v="0.06"/>
    <n v="10"/>
    <n v="65.13"/>
    <n v="651.29999999999995"/>
    <n v="0"/>
    <n v="0"/>
    <n v="84.668864999999997"/>
    <n v="735.96886500000005"/>
  </r>
  <r>
    <x v="79"/>
    <x v="7"/>
    <x v="2"/>
    <x v="0"/>
    <s v="KEPL/01135/82-83"/>
    <s v="SIMPEX SOLUTION PVT. LTD"/>
    <x v="4"/>
    <x v="30"/>
    <n v="0.33"/>
    <n v="20"/>
    <n v="102.65"/>
    <n v="2053"/>
    <n v="0"/>
    <n v="0"/>
    <n v="266.88957499999998"/>
    <n v="2319.8895750000001"/>
  </r>
  <r>
    <x v="79"/>
    <x v="7"/>
    <x v="2"/>
    <x v="0"/>
    <s v="KEPL/01135/82-83"/>
    <s v="SIMPEX SOLUTION PVT. LTD"/>
    <x v="0"/>
    <x v="18"/>
    <n v="0.08"/>
    <n v="10"/>
    <n v="148.66999999999999"/>
    <n v="1486.7"/>
    <n v="0"/>
    <n v="0"/>
    <n v="193.270692"/>
    <n v="1679.9706920000001"/>
  </r>
  <r>
    <x v="79"/>
    <x v="7"/>
    <x v="2"/>
    <x v="0"/>
    <s v="KEPL/01135/82-83"/>
    <s v="SIMPEX SOLUTION PVT. LTD"/>
    <x v="0"/>
    <x v="2"/>
    <n v="0.11"/>
    <n v="20"/>
    <n v="65.13"/>
    <n v="1302.5999999999999"/>
    <n v="0"/>
    <n v="0"/>
    <n v="169.33772999999999"/>
    <n v="1471.9377300000001"/>
  </r>
  <r>
    <x v="79"/>
    <x v="7"/>
    <x v="2"/>
    <x v="0"/>
    <s v="KEPL/01135/82-83"/>
    <s v="SIMPEX SOLUTION PVT. LTD"/>
    <x v="0"/>
    <x v="39"/>
    <n v="0.06"/>
    <n v="10"/>
    <n v="87.79"/>
    <n v="877.9"/>
    <n v="0"/>
    <n v="0"/>
    <n v="114.12681799999999"/>
    <n v="992.02681800000005"/>
  </r>
  <r>
    <x v="79"/>
    <x v="7"/>
    <x v="2"/>
    <x v="0"/>
    <s v="KEPL/01135/82-83"/>
    <s v="SIMPEX SOLUTION PVT. LTD"/>
    <x v="0"/>
    <x v="20"/>
    <n v="0.08"/>
    <n v="10"/>
    <n v="123.89"/>
    <n v="1238.8999999999999"/>
    <n v="0"/>
    <n v="0"/>
    <n v="161.05674300000001"/>
    <n v="1399.956743"/>
  </r>
  <r>
    <x v="79"/>
    <x v="7"/>
    <x v="2"/>
    <x v="0"/>
    <s v="KEPL/01135/82-83"/>
    <s v="SIMPEX SOLUTION PVT. LTD"/>
    <x v="0"/>
    <x v="11"/>
    <n v="0.11"/>
    <n v="20"/>
    <n v="65.13"/>
    <n v="1302.5999999999999"/>
    <n v="0"/>
    <n v="0"/>
    <n v="169.33772999999999"/>
    <n v="1471.9377300000001"/>
  </r>
  <r>
    <x v="79"/>
    <x v="7"/>
    <x v="2"/>
    <x v="0"/>
    <s v="KEPL/01135/82-83"/>
    <s v="SIMPEX SOLUTION PVT. LTD"/>
    <x v="0"/>
    <x v="9"/>
    <n v="0.06"/>
    <n v="10"/>
    <n v="74.34"/>
    <n v="743.4"/>
    <n v="0"/>
    <n v="0"/>
    <n v="96.641846000000015"/>
    <n v="840.04184599999996"/>
  </r>
  <r>
    <x v="80"/>
    <x v="7"/>
    <x v="2"/>
    <x v="0"/>
    <s v="KEPL/01160/82-83"/>
    <s v="MEGA MART PVT.LTD"/>
    <x v="3"/>
    <x v="26"/>
    <n v="2"/>
    <n v="144"/>
    <n v="124.25"/>
    <n v="17892"/>
    <n v="0"/>
    <n v="0"/>
    <n v="2325.96"/>
    <n v="20217.96"/>
  </r>
  <r>
    <x v="81"/>
    <x v="7"/>
    <x v="2"/>
    <x v="0"/>
    <s v="KEPL/01194/82-83"/>
    <s v="DS SPICECO L &amp; D"/>
    <x v="1"/>
    <x v="12"/>
    <n v="0.05"/>
    <n v="2"/>
    <n v="336.13"/>
    <n v="672.26"/>
    <n v="-61.11"/>
    <n v="0"/>
    <n v="0"/>
    <n v="611.15"/>
  </r>
  <r>
    <x v="81"/>
    <x v="7"/>
    <x v="2"/>
    <x v="0"/>
    <s v="KEPL/01195/82-83"/>
    <s v="DS SPICECO L &amp; D"/>
    <x v="1"/>
    <x v="3"/>
    <n v="0.05"/>
    <n v="2"/>
    <n v="393.46"/>
    <n v="786.92"/>
    <n v="-71.53"/>
    <n v="0"/>
    <n v="93"/>
    <n v="808.39"/>
  </r>
  <r>
    <x v="81"/>
    <x v="7"/>
    <x v="2"/>
    <x v="0"/>
    <s v="KEPL/01196/82-83"/>
    <s v="DS SPICECO L &amp; D"/>
    <x v="4"/>
    <x v="30"/>
    <n v="0.03"/>
    <n v="2"/>
    <n v="98.03"/>
    <n v="196.06"/>
    <n v="-17.82"/>
    <n v="0"/>
    <n v="23.17"/>
    <n v="201.41"/>
  </r>
  <r>
    <x v="82"/>
    <x v="7"/>
    <x v="2"/>
    <x v="0"/>
    <s v="KEPL/01211/82-83"/>
    <s v="BHAT BHATENI SUPERMARKET &amp; DEPARTMENTAL STORE PVT. LTD."/>
    <x v="2"/>
    <x v="7"/>
    <n v="1"/>
    <n v="120"/>
    <n v="136.28"/>
    <n v="16353.6"/>
    <n v="0"/>
    <n v="0"/>
    <n v="2125.9693750000001"/>
    <n v="18479.569374999999"/>
  </r>
  <r>
    <x v="82"/>
    <x v="7"/>
    <x v="2"/>
    <x v="0"/>
    <s v="KEPL/01211/82-83"/>
    <s v="BHAT BHATENI SUPERMARKET &amp; DEPARTMENTAL STORE PVT. LTD."/>
    <x v="2"/>
    <x v="22"/>
    <n v="3"/>
    <n v="120"/>
    <n v="260.18"/>
    <n v="31221.600000000002"/>
    <n v="0"/>
    <n v="0"/>
    <n v="4058.8106250000001"/>
    <n v="35280.410624999997"/>
  </r>
  <r>
    <x v="82"/>
    <x v="7"/>
    <x v="2"/>
    <x v="0"/>
    <s v="KEPL/01216/82-83"/>
    <s v="SIMPEX SOLUTION PVT. LTD"/>
    <x v="0"/>
    <x v="15"/>
    <n v="0.06"/>
    <n v="10"/>
    <n v="120.35"/>
    <n v="1203.5000000000002"/>
    <n v="0"/>
    <n v="0"/>
    <n v="156.45458800000003"/>
    <n v="1359.9545880000001"/>
  </r>
  <r>
    <x v="82"/>
    <x v="7"/>
    <x v="2"/>
    <x v="0"/>
    <s v="KEPL/01216/82-83"/>
    <s v="SIMPEX SOLUTION PVT. LTD"/>
    <x v="4"/>
    <x v="29"/>
    <n v="0.42"/>
    <n v="50"/>
    <n v="60.18"/>
    <n v="3008.9999999999995"/>
    <n v="0"/>
    <n v="0"/>
    <n v="391.16897"/>
    <n v="3400.1689700000002"/>
  </r>
  <r>
    <x v="82"/>
    <x v="7"/>
    <x v="2"/>
    <x v="0"/>
    <s v="KEPL/01216/82-83"/>
    <s v="SIMPEX SOLUTION PVT. LTD"/>
    <x v="0"/>
    <x v="42"/>
    <n v="0.08"/>
    <n v="10"/>
    <n v="99.12"/>
    <n v="991.2"/>
    <n v="0"/>
    <n v="0"/>
    <n v="128.855661"/>
    <n v="1120.0556610000001"/>
  </r>
  <r>
    <x v="82"/>
    <x v="7"/>
    <x v="2"/>
    <x v="0"/>
    <s v="KEPL/01216/82-83"/>
    <s v="SIMPEX SOLUTION PVT. LTD"/>
    <x v="2"/>
    <x v="8"/>
    <n v="0.08"/>
    <n v="10"/>
    <n v="53.1"/>
    <n v="531"/>
    <n v="0"/>
    <n v="0"/>
    <n v="69.029818000000006"/>
    <n v="600.02981799999998"/>
  </r>
  <r>
    <x v="82"/>
    <x v="7"/>
    <x v="2"/>
    <x v="0"/>
    <s v="KEPL/01216/82-83"/>
    <s v="SIMPEX SOLUTION PVT. LTD"/>
    <x v="2"/>
    <x v="5"/>
    <n v="0.22"/>
    <n v="40"/>
    <n v="99.12"/>
    <n v="3964.8"/>
    <n v="0"/>
    <n v="0"/>
    <n v="515.422642"/>
    <n v="4480.2226419999997"/>
  </r>
  <r>
    <x v="82"/>
    <x v="7"/>
    <x v="2"/>
    <x v="0"/>
    <s v="KEPL/01216/82-83"/>
    <s v="SIMPEX SOLUTION PVT. LTD"/>
    <x v="0"/>
    <x v="17"/>
    <n v="0.06"/>
    <n v="10"/>
    <n v="123.89"/>
    <n v="1238.8999999999999"/>
    <n v="0"/>
    <n v="0"/>
    <n v="161.05657600000001"/>
    <n v="1399.956576"/>
  </r>
  <r>
    <x v="82"/>
    <x v="7"/>
    <x v="2"/>
    <x v="0"/>
    <s v="KEPL/01216/82-83"/>
    <s v="SIMPEX SOLUTION PVT. LTD"/>
    <x v="0"/>
    <x v="9"/>
    <n v="0.06"/>
    <n v="10"/>
    <n v="74.34"/>
    <n v="743.4"/>
    <n v="0"/>
    <n v="0"/>
    <n v="96.641745"/>
    <n v="840.04174499999999"/>
  </r>
  <r>
    <x v="83"/>
    <x v="7"/>
    <x v="2"/>
    <x v="0"/>
    <s v="KEPL/01248/82-83"/>
    <s v="BHAT BHATENI SUPERMARKET &amp; DEPARTMENTAL STORE PVT. LTD."/>
    <x v="3"/>
    <x v="26"/>
    <n v="0.42"/>
    <n v="30"/>
    <n v="120.8"/>
    <n v="3624"/>
    <n v="0"/>
    <n v="0"/>
    <n v="471.12004999999999"/>
    <n v="4095.12005"/>
  </r>
  <r>
    <x v="83"/>
    <x v="7"/>
    <x v="2"/>
    <x v="0"/>
    <s v="KEPL/01248/82-83"/>
    <s v="BHAT BHATENI SUPERMARKET &amp; DEPARTMENTAL STORE PVT. LTD."/>
    <x v="3"/>
    <x v="31"/>
    <n v="0.41"/>
    <n v="30"/>
    <n v="136.28"/>
    <n v="4088.4"/>
    <n v="0"/>
    <n v="0"/>
    <n v="531.49205700000005"/>
    <n v="4619.892057"/>
  </r>
  <r>
    <x v="83"/>
    <x v="7"/>
    <x v="2"/>
    <x v="0"/>
    <s v="KEPL/01248/82-83"/>
    <s v="BHAT BHATENI SUPERMARKET &amp; DEPARTMENTAL STORE PVT. LTD."/>
    <x v="4"/>
    <x v="30"/>
    <n v="0.5"/>
    <n v="30"/>
    <n v="89.82"/>
    <n v="2694.6"/>
    <n v="0"/>
    <n v="0"/>
    <n v="350.29803799999996"/>
    <n v="3044.8980379999998"/>
  </r>
  <r>
    <x v="83"/>
    <x v="7"/>
    <x v="2"/>
    <x v="0"/>
    <s v="KEPL/01248/82-83"/>
    <s v="BHAT BHATENI SUPERMARKET &amp; DEPARTMENTAL STORE PVT. LTD."/>
    <x v="3"/>
    <x v="46"/>
    <n v="0.3"/>
    <n v="30"/>
    <n v="89.82"/>
    <n v="2694.6"/>
    <n v="0"/>
    <n v="0"/>
    <n v="350.29803799999996"/>
    <n v="3044.8980379999998"/>
  </r>
  <r>
    <x v="83"/>
    <x v="7"/>
    <x v="2"/>
    <x v="0"/>
    <s v="KEPL/01248/82-83"/>
    <s v="BHAT BHATENI SUPERMARKET &amp; DEPARTMENTAL STORE PVT. LTD."/>
    <x v="2"/>
    <x v="22"/>
    <n v="2"/>
    <n v="80"/>
    <n v="260.18"/>
    <n v="20814.399999999998"/>
    <n v="0"/>
    <n v="0"/>
    <n v="2705.8722900000002"/>
    <n v="23520.272290000001"/>
  </r>
  <r>
    <x v="83"/>
    <x v="7"/>
    <x v="2"/>
    <x v="0"/>
    <s v="KEPL/01248/82-83"/>
    <s v="BHAT BHATENI SUPERMARKET &amp; DEPARTMENTAL STORE PVT. LTD."/>
    <x v="3"/>
    <x v="25"/>
    <n v="0.63"/>
    <n v="30"/>
    <n v="272.57"/>
    <n v="8177.1"/>
    <n v="0"/>
    <n v="0"/>
    <n v="1063.0231139999999"/>
    <n v="9240.123114"/>
  </r>
  <r>
    <x v="83"/>
    <x v="7"/>
    <x v="2"/>
    <x v="0"/>
    <s v="KEPL/01248/82-83"/>
    <s v="BHAT BHATENI SUPERMARKET &amp; DEPARTMENTAL STORE PVT. LTD."/>
    <x v="2"/>
    <x v="7"/>
    <n v="1"/>
    <n v="120"/>
    <n v="136.28"/>
    <n v="16353.6"/>
    <n v="0"/>
    <n v="0"/>
    <n v="2125.9682280000002"/>
    <n v="18479.568228"/>
  </r>
  <r>
    <x v="83"/>
    <x v="7"/>
    <x v="2"/>
    <x v="0"/>
    <s v="KEPL/01248/82-83"/>
    <s v="BHAT BHATENI SUPERMARKET &amp; DEPARTMENTAL STORE PVT. LTD."/>
    <x v="6"/>
    <x v="51"/>
    <n v="0.5"/>
    <n v="30"/>
    <n v="446.02"/>
    <n v="13380.599999999999"/>
    <n v="0"/>
    <n v="0"/>
    <n v="1739.4781860000001"/>
    <n v="15120.078186000001"/>
  </r>
  <r>
    <x v="83"/>
    <x v="7"/>
    <x v="2"/>
    <x v="0"/>
    <s v="KEPL/01249/82-83"/>
    <s v="BHAT BHATENI SUPERMARKET &amp; DEPARTMENTAL STORE PVT. LTD."/>
    <x v="3"/>
    <x v="26"/>
    <n v="1"/>
    <n v="72"/>
    <n v="120.8"/>
    <n v="8697.6"/>
    <n v="0"/>
    <n v="0"/>
    <n v="1130.6877770000001"/>
    <n v="9828.2877769999996"/>
  </r>
  <r>
    <x v="83"/>
    <x v="7"/>
    <x v="2"/>
    <x v="0"/>
    <s v="KEPL/01249/82-83"/>
    <s v="BHAT BHATENI SUPERMARKET &amp; DEPARTMENTAL STORE PVT. LTD."/>
    <x v="2"/>
    <x v="22"/>
    <n v="2"/>
    <n v="80"/>
    <n v="260.18"/>
    <n v="20814.399999999998"/>
    <n v="0"/>
    <n v="0"/>
    <n v="2705.8714660000001"/>
    <n v="23520.271465999998"/>
  </r>
  <r>
    <x v="83"/>
    <x v="7"/>
    <x v="2"/>
    <x v="0"/>
    <s v="KEPL/01249/82-83"/>
    <s v="BHAT BHATENI SUPERMARKET &amp; DEPARTMENTAL STORE PVT. LTD."/>
    <x v="4"/>
    <x v="30"/>
    <n v="1"/>
    <n v="60"/>
    <n v="89.82"/>
    <n v="5389.2"/>
    <n v="0"/>
    <n v="0"/>
    <n v="700.59586200000001"/>
    <n v="6089.7958619999999"/>
  </r>
  <r>
    <x v="83"/>
    <x v="7"/>
    <x v="2"/>
    <x v="0"/>
    <s v="KEPL/01249/82-83"/>
    <s v="BHAT BHATENI SUPERMARKET &amp; DEPARTMENTAL STORE PVT. LTD."/>
    <x v="3"/>
    <x v="47"/>
    <n v="1"/>
    <n v="100"/>
    <n v="65.040000000000006"/>
    <n v="6504"/>
    <n v="0"/>
    <n v="0"/>
    <n v="845.51983299999995"/>
    <n v="7349.5198330000003"/>
  </r>
  <r>
    <x v="83"/>
    <x v="7"/>
    <x v="2"/>
    <x v="0"/>
    <s v="KEPL/01249/82-83"/>
    <s v="BHAT BHATENI SUPERMARKET &amp; DEPARTMENTAL STORE PVT. LTD."/>
    <x v="3"/>
    <x v="31"/>
    <n v="1"/>
    <n v="72"/>
    <n v="136.28"/>
    <n v="9812.16"/>
    <n v="0"/>
    <n v="0"/>
    <n v="1275.5805479999999"/>
    <n v="11087.740548"/>
  </r>
  <r>
    <x v="83"/>
    <x v="7"/>
    <x v="2"/>
    <x v="0"/>
    <s v="KEPL/01249/82-83"/>
    <s v="BHAT BHATENI SUPERMARKET &amp; DEPARTMENTAL STORE PVT. LTD."/>
    <x v="3"/>
    <x v="25"/>
    <n v="1"/>
    <n v="48"/>
    <n v="272.57"/>
    <n v="13083.36"/>
    <n v="0"/>
    <n v="0"/>
    <n v="1700.836464"/>
    <n v="14784.196464000001"/>
  </r>
  <r>
    <x v="83"/>
    <x v="7"/>
    <x v="2"/>
    <x v="0"/>
    <s v="KEPL/01249/82-83"/>
    <s v="BHAT BHATENI SUPERMARKET &amp; DEPARTMENTAL STORE PVT. LTD."/>
    <x v="0"/>
    <x v="42"/>
    <n v="1"/>
    <n v="120"/>
    <n v="86.73"/>
    <n v="10407.6"/>
    <n v="0"/>
    <n v="0"/>
    <n v="1352.9877330000002"/>
    <n v="11760.587733"/>
  </r>
  <r>
    <x v="83"/>
    <x v="7"/>
    <x v="2"/>
    <x v="0"/>
    <s v="KEPL/01249/82-83"/>
    <s v="BHAT BHATENI SUPERMARKET &amp; DEPARTMENTAL STORE PVT. LTD."/>
    <x v="0"/>
    <x v="45"/>
    <n v="1.01"/>
    <n v="80"/>
    <n v="130.09"/>
    <n v="10407.199999999999"/>
    <n v="0"/>
    <n v="0"/>
    <n v="1352.935733"/>
    <n v="11760.135732999999"/>
  </r>
  <r>
    <x v="83"/>
    <x v="7"/>
    <x v="2"/>
    <x v="0"/>
    <s v="KEPL/01249/82-83"/>
    <s v="BHAT BHATENI SUPERMARKET &amp; DEPARTMENTAL STORE PVT. LTD."/>
    <x v="1"/>
    <x v="1"/>
    <n v="1"/>
    <n v="100"/>
    <n v="99.12"/>
    <n v="9912"/>
    <n v="0"/>
    <n v="0"/>
    <n v="1288.5597460000001"/>
    <n v="11200.559746000001"/>
  </r>
  <r>
    <x v="83"/>
    <x v="7"/>
    <x v="2"/>
    <x v="0"/>
    <s v="KEPL/01249/82-83"/>
    <s v="BHAT BHATENI SUPERMARKET &amp; DEPARTMENTAL STORE PVT. LTD."/>
    <x v="1"/>
    <x v="4"/>
    <n v="2"/>
    <n v="80"/>
    <n v="238.5"/>
    <n v="19079.999999999996"/>
    <n v="0"/>
    <n v="0"/>
    <n v="2480.3995100000002"/>
    <n v="21560.399509999999"/>
  </r>
  <r>
    <x v="83"/>
    <x v="7"/>
    <x v="2"/>
    <x v="0"/>
    <s v="KEPL/01249/82-83"/>
    <s v="BHAT BHATENI SUPERMARKET &amp; DEPARTMENTAL STORE PVT. LTD."/>
    <x v="2"/>
    <x v="7"/>
    <n v="1"/>
    <n v="120"/>
    <n v="136.28"/>
    <n v="16353.6"/>
    <n v="0"/>
    <n v="0"/>
    <n v="2125.96758"/>
    <n v="18479.567579999999"/>
  </r>
  <r>
    <x v="83"/>
    <x v="7"/>
    <x v="2"/>
    <x v="0"/>
    <s v="KEPL/01249/82-83"/>
    <s v="BHAT BHATENI SUPERMARKET &amp; DEPARTMENTAL STORE PVT. LTD."/>
    <x v="2"/>
    <x v="8"/>
    <n v="1"/>
    <n v="120"/>
    <n v="46.46"/>
    <n v="5575.2"/>
    <n v="0"/>
    <n v="0"/>
    <n v="724.77585699999997"/>
    <n v="6299.9758570000004"/>
  </r>
  <r>
    <x v="83"/>
    <x v="7"/>
    <x v="2"/>
    <x v="0"/>
    <s v="KEPL/01249/82-83"/>
    <s v="BHAT BHATENI SUPERMARKET &amp; DEPARTMENTAL STORE PVT. LTD."/>
    <x v="0"/>
    <x v="40"/>
    <n v="0.5"/>
    <n v="60"/>
    <n v="71.239999999999995"/>
    <n v="4274.3999999999996"/>
    <n v="0"/>
    <n v="0"/>
    <n v="555.67188999999996"/>
    <n v="4830.0718900000002"/>
  </r>
  <r>
    <x v="83"/>
    <x v="7"/>
    <x v="2"/>
    <x v="0"/>
    <s v="KEPL/01250/82-83"/>
    <s v="BHAT BHATENI SUPERMARKET &amp; DEPARTMENTAL STORE PVT. LTD."/>
    <x v="4"/>
    <x v="29"/>
    <n v="1"/>
    <n v="120"/>
    <n v="52.65"/>
    <n v="6318.0000000000009"/>
    <n v="0"/>
    <n v="0"/>
    <n v="821.34021200000007"/>
    <n v="7139.3402120000001"/>
  </r>
  <r>
    <x v="83"/>
    <x v="7"/>
    <x v="2"/>
    <x v="0"/>
    <s v="KEPL/01250/82-83"/>
    <s v="BHAT BHATENI SUPERMARKET &amp; DEPARTMENTAL STORE PVT. LTD."/>
    <x v="3"/>
    <x v="25"/>
    <n v="1"/>
    <n v="48"/>
    <n v="272.57"/>
    <n v="13083.36"/>
    <n v="0"/>
    <n v="0"/>
    <n v="1700.8372400000001"/>
    <n v="14784.19724"/>
  </r>
  <r>
    <x v="83"/>
    <x v="7"/>
    <x v="2"/>
    <x v="0"/>
    <s v="KEPL/01250/82-83"/>
    <s v="BHAT BHATENI SUPERMARKET &amp; DEPARTMENTAL STORE PVT. LTD."/>
    <x v="2"/>
    <x v="7"/>
    <n v="2"/>
    <n v="240"/>
    <n v="136.28"/>
    <n v="32707.200000000001"/>
    <n v="0"/>
    <n v="0"/>
    <n v="4251.9370989999998"/>
    <n v="36959.137099"/>
  </r>
  <r>
    <x v="83"/>
    <x v="7"/>
    <x v="2"/>
    <x v="0"/>
    <s v="KEPL/01250/82-83"/>
    <s v="BHAT BHATENI SUPERMARKET &amp; DEPARTMENTAL STORE PVT. LTD."/>
    <x v="2"/>
    <x v="22"/>
    <n v="3"/>
    <n v="120"/>
    <n v="260.18"/>
    <n v="31221.600000000002"/>
    <n v="0"/>
    <n v="0"/>
    <n v="4058.809049"/>
    <n v="35280.409049000002"/>
  </r>
  <r>
    <x v="83"/>
    <x v="7"/>
    <x v="2"/>
    <x v="0"/>
    <s v="KEPL/01250/82-83"/>
    <s v="BHAT BHATENI SUPERMARKET &amp; DEPARTMENTAL STORE PVT. LTD."/>
    <x v="3"/>
    <x v="47"/>
    <n v="1"/>
    <n v="100"/>
    <n v="65.040000000000006"/>
    <n v="6504"/>
    <n v="0"/>
    <n v="0"/>
    <n v="845.520219"/>
    <n v="7349.520219"/>
  </r>
  <r>
    <x v="83"/>
    <x v="7"/>
    <x v="2"/>
    <x v="0"/>
    <s v="KEPL/01250/82-83"/>
    <s v="BHAT BHATENI SUPERMARKET &amp; DEPARTMENTAL STORE PVT. LTD."/>
    <x v="4"/>
    <x v="30"/>
    <n v="1"/>
    <n v="60"/>
    <n v="89.82"/>
    <n v="5389.2"/>
    <n v="0"/>
    <n v="0"/>
    <n v="700.596181"/>
    <n v="6089.7961809999997"/>
  </r>
  <r>
    <x v="83"/>
    <x v="7"/>
    <x v="2"/>
    <x v="0"/>
    <s v="KEPL/01251/82-83"/>
    <s v="BHAT BHATENI SUPERMARKET &amp; DEPARTMENTAL STORE PVT. LTD."/>
    <x v="0"/>
    <x v="18"/>
    <n v="1"/>
    <n v="120"/>
    <n v="136.28"/>
    <n v="16353.6"/>
    <n v="0"/>
    <n v="0"/>
    <n v="2125.968597"/>
    <n v="18479.568597000001"/>
  </r>
  <r>
    <x v="83"/>
    <x v="7"/>
    <x v="2"/>
    <x v="0"/>
    <s v="KEPL/01251/82-83"/>
    <s v="BHAT BHATENI SUPERMARKET &amp; DEPARTMENTAL STORE PVT. LTD."/>
    <x v="2"/>
    <x v="7"/>
    <n v="1"/>
    <n v="120"/>
    <n v="136.28"/>
    <n v="16353.6"/>
    <n v="0"/>
    <n v="0"/>
    <n v="2125.968597"/>
    <n v="18479.568597000001"/>
  </r>
  <r>
    <x v="83"/>
    <x v="7"/>
    <x v="2"/>
    <x v="0"/>
    <s v="KEPL/01251/82-83"/>
    <s v="BHAT BHATENI SUPERMARKET &amp; DEPARTMENTAL STORE PVT. LTD."/>
    <x v="4"/>
    <x v="30"/>
    <n v="1"/>
    <n v="60"/>
    <n v="89.82"/>
    <n v="5389.2"/>
    <n v="0"/>
    <n v="0"/>
    <n v="700.59619700000007"/>
    <n v="6089.7961969999997"/>
  </r>
  <r>
    <x v="83"/>
    <x v="7"/>
    <x v="2"/>
    <x v="0"/>
    <s v="KEPL/01251/82-83"/>
    <s v="BHAT BHATENI SUPERMARKET &amp; DEPARTMENTAL STORE PVT. LTD."/>
    <x v="2"/>
    <x v="22"/>
    <n v="1"/>
    <n v="40"/>
    <n v="260.18"/>
    <n v="10407.199999999999"/>
    <n v="0"/>
    <n v="0"/>
    <n v="1352.9363800000001"/>
    <n v="11760.13638"/>
  </r>
  <r>
    <x v="83"/>
    <x v="7"/>
    <x v="2"/>
    <x v="0"/>
    <s v="KEPL/01251/82-83"/>
    <s v="BHAT BHATENI SUPERMARKET &amp; DEPARTMENTAL STORE PVT. LTD."/>
    <x v="4"/>
    <x v="29"/>
    <n v="1"/>
    <n v="120"/>
    <n v="52.65"/>
    <n v="6318.0000000000009"/>
    <n v="0"/>
    <n v="0"/>
    <n v="821.34023000000002"/>
    <n v="7139.3402299999998"/>
  </r>
  <r>
    <x v="83"/>
    <x v="7"/>
    <x v="2"/>
    <x v="0"/>
    <s v="KEPL/01252/82-83"/>
    <s v="BHAT BHATENI SUPERMARKET &amp; DEPARTMENTAL STORE PVT. LTD."/>
    <x v="4"/>
    <x v="29"/>
    <n v="0.5"/>
    <n v="60"/>
    <n v="52.65"/>
    <n v="3159.0000000000005"/>
    <n v="0"/>
    <n v="0"/>
    <n v="410.66988300000003"/>
    <n v="3569.669883"/>
  </r>
  <r>
    <x v="83"/>
    <x v="7"/>
    <x v="2"/>
    <x v="0"/>
    <s v="KEPL/01252/82-83"/>
    <s v="BHAT BHATENI SUPERMARKET &amp; DEPARTMENTAL STORE PVT. LTD."/>
    <x v="2"/>
    <x v="5"/>
    <n v="0.5"/>
    <n v="90"/>
    <n v="74.34"/>
    <n v="6690.5999999999995"/>
    <n v="0"/>
    <n v="0"/>
    <n v="869.77775299999996"/>
    <n v="7560.3777529999998"/>
  </r>
  <r>
    <x v="83"/>
    <x v="7"/>
    <x v="2"/>
    <x v="0"/>
    <s v="KEPL/01252/82-83"/>
    <s v="BHAT BHATENI SUPERMARKET &amp; DEPARTMENTAL STORE PVT. LTD."/>
    <x v="6"/>
    <x v="49"/>
    <n v="0.5"/>
    <n v="60"/>
    <n v="229.2"/>
    <n v="13752"/>
    <n v="0"/>
    <n v="0"/>
    <n v="1787.7594919999999"/>
    <n v="15539.759491999999"/>
  </r>
  <r>
    <x v="83"/>
    <x v="7"/>
    <x v="2"/>
    <x v="0"/>
    <s v="KEPL/01252/82-83"/>
    <s v="BHAT BHATENI SUPERMARKET &amp; DEPARTMENTAL STORE PVT. LTD."/>
    <x v="6"/>
    <x v="51"/>
    <n v="0.5"/>
    <n v="30"/>
    <n v="446.02"/>
    <n v="13380.599999999999"/>
    <n v="0"/>
    <n v="0"/>
    <n v="1739.4775060000002"/>
    <n v="15120.077506"/>
  </r>
  <r>
    <x v="83"/>
    <x v="7"/>
    <x v="2"/>
    <x v="0"/>
    <s v="KEPL/01252/82-83"/>
    <s v="BHAT BHATENI SUPERMARKET &amp; DEPARTMENTAL STORE PVT. LTD."/>
    <x v="4"/>
    <x v="30"/>
    <n v="1"/>
    <n v="60"/>
    <n v="89.82"/>
    <n v="5389.2"/>
    <n v="0"/>
    <n v="0"/>
    <n v="700.59580099999994"/>
    <n v="6089.7958010000002"/>
  </r>
  <r>
    <x v="83"/>
    <x v="7"/>
    <x v="2"/>
    <x v="0"/>
    <s v="KEPL/01252/82-83"/>
    <s v="BHAT BHATENI SUPERMARKET &amp; DEPARTMENTAL STORE PVT. LTD."/>
    <x v="6"/>
    <x v="50"/>
    <n v="0.5"/>
    <n v="100"/>
    <n v="117.7"/>
    <n v="11770"/>
    <n v="0"/>
    <n v="0"/>
    <n v="1530.099565"/>
    <n v="13300.099565"/>
  </r>
  <r>
    <x v="83"/>
    <x v="7"/>
    <x v="2"/>
    <x v="0"/>
    <s v="KEPL/01253/82-83"/>
    <s v="BHAT BHATENI SUPERMARKET &amp; DEPARTMENTAL STORE PVT. LTD."/>
    <x v="3"/>
    <x v="25"/>
    <n v="1"/>
    <n v="48"/>
    <n v="272.57"/>
    <n v="13083.36"/>
    <n v="0"/>
    <n v="0"/>
    <n v="1700.837356"/>
    <n v="14784.197356000001"/>
  </r>
  <r>
    <x v="83"/>
    <x v="7"/>
    <x v="2"/>
    <x v="0"/>
    <s v="KEPL/01253/82-83"/>
    <s v="BHAT BHATENI SUPERMARKET &amp; DEPARTMENTAL STORE PVT. LTD."/>
    <x v="3"/>
    <x v="26"/>
    <n v="1"/>
    <n v="72"/>
    <n v="120.8"/>
    <n v="8697.6"/>
    <n v="0"/>
    <n v="0"/>
    <n v="1130.6883700000001"/>
    <n v="9828.2883700000002"/>
  </r>
  <r>
    <x v="83"/>
    <x v="7"/>
    <x v="2"/>
    <x v="0"/>
    <s v="KEPL/01253/82-83"/>
    <s v="BHAT BHATENI SUPERMARKET &amp; DEPARTMENTAL STORE PVT. LTD."/>
    <x v="4"/>
    <x v="29"/>
    <n v="1"/>
    <n v="120"/>
    <n v="52.65"/>
    <n v="6318.0000000000009"/>
    <n v="0"/>
    <n v="0"/>
    <n v="821.34026900000003"/>
    <n v="7139.3402690000003"/>
  </r>
  <r>
    <x v="83"/>
    <x v="7"/>
    <x v="2"/>
    <x v="0"/>
    <s v="KEPL/01253/82-83"/>
    <s v="BHAT BHATENI SUPERMARKET &amp; DEPARTMENTAL STORE PVT. LTD."/>
    <x v="6"/>
    <x v="51"/>
    <n v="1"/>
    <n v="60"/>
    <n v="446.02"/>
    <n v="26761.199999999997"/>
    <n v="0"/>
    <n v="0"/>
    <n v="3478.9571380000002"/>
    <n v="30240.157137999999"/>
  </r>
  <r>
    <x v="83"/>
    <x v="7"/>
    <x v="2"/>
    <x v="0"/>
    <s v="KEPL/01253/82-83"/>
    <s v="BHAT BHATENI SUPERMARKET &amp; DEPARTMENTAL STORE PVT. LTD."/>
    <x v="2"/>
    <x v="22"/>
    <n v="1"/>
    <n v="40"/>
    <n v="260.18"/>
    <n v="10407.199999999999"/>
    <n v="0"/>
    <n v="0"/>
    <n v="1352.9364430000001"/>
    <n v="11760.136442999999"/>
  </r>
  <r>
    <x v="83"/>
    <x v="7"/>
    <x v="2"/>
    <x v="0"/>
    <s v="KEPL/01253/82-83"/>
    <s v="BHAT BHATENI SUPERMARKET &amp; DEPARTMENTAL STORE PVT. LTD."/>
    <x v="2"/>
    <x v="23"/>
    <n v="0.5"/>
    <n v="90"/>
    <n v="145.58000000000001"/>
    <n v="13102.199999999999"/>
    <n v="0"/>
    <n v="0"/>
    <n v="1703.2865570000001"/>
    <n v="14805.486557"/>
  </r>
  <r>
    <x v="83"/>
    <x v="7"/>
    <x v="2"/>
    <x v="0"/>
    <s v="KEPL/01253/82-83"/>
    <s v="BHAT BHATENI SUPERMARKET &amp; DEPARTMENTAL STORE PVT. LTD."/>
    <x v="3"/>
    <x v="46"/>
    <n v="0.5"/>
    <n v="50"/>
    <n v="89.82"/>
    <n v="4491"/>
    <n v="0"/>
    <n v="0"/>
    <n v="583.83019100000001"/>
    <n v="5074.830191"/>
  </r>
  <r>
    <x v="83"/>
    <x v="7"/>
    <x v="2"/>
    <x v="0"/>
    <s v="KEPL/01253/82-83"/>
    <s v="BHAT BHATENI SUPERMARKET &amp; DEPARTMENTAL STORE PVT. LTD."/>
    <x v="4"/>
    <x v="30"/>
    <n v="2"/>
    <n v="120"/>
    <n v="89.82"/>
    <n v="10778.4"/>
    <n v="0"/>
    <n v="0"/>
    <n v="1401.192458"/>
    <n v="12179.592457999999"/>
  </r>
  <r>
    <x v="83"/>
    <x v="7"/>
    <x v="2"/>
    <x v="0"/>
    <s v="KEPL/01253/82-83"/>
    <s v="BHAT BHATENI SUPERMARKET &amp; DEPARTMENTAL STORE PVT. LTD."/>
    <x v="3"/>
    <x v="31"/>
    <n v="1"/>
    <n v="72"/>
    <n v="136.28"/>
    <n v="9812.16"/>
    <n v="0"/>
    <n v="0"/>
    <n v="1275.5812170000002"/>
    <n v="11087.741217000001"/>
  </r>
  <r>
    <x v="83"/>
    <x v="7"/>
    <x v="2"/>
    <x v="0"/>
    <s v="KEPL/01254/82-83"/>
    <s v="BHAT BHATENI SUPERMARKET &amp; DEPARTMENTAL STORE PVT. LTD."/>
    <x v="3"/>
    <x v="25"/>
    <n v="1"/>
    <n v="48"/>
    <n v="272.57"/>
    <n v="13083.36"/>
    <n v="0"/>
    <n v="0"/>
    <n v="1700.838121"/>
    <n v="14784.198120999999"/>
  </r>
  <r>
    <x v="83"/>
    <x v="7"/>
    <x v="2"/>
    <x v="0"/>
    <s v="KEPL/01254/82-83"/>
    <s v="BHAT BHATENI SUPERMARKET &amp; DEPARTMENTAL STORE PVT. LTD."/>
    <x v="3"/>
    <x v="26"/>
    <n v="0.5"/>
    <n v="36"/>
    <n v="120.8"/>
    <n v="4348.8"/>
    <n v="0"/>
    <n v="0"/>
    <n v="565.34443899999997"/>
    <n v="4914.1444389999997"/>
  </r>
  <r>
    <x v="83"/>
    <x v="7"/>
    <x v="2"/>
    <x v="0"/>
    <s v="KEPL/01254/82-83"/>
    <s v="BHAT BHATENI SUPERMARKET &amp; DEPARTMENTAL STORE PVT. LTD."/>
    <x v="3"/>
    <x v="31"/>
    <n v="0.5"/>
    <n v="36"/>
    <n v="136.28"/>
    <n v="4906.08"/>
    <n v="0"/>
    <n v="0"/>
    <n v="637.79089499999998"/>
    <n v="5543.870895"/>
  </r>
  <r>
    <x v="83"/>
    <x v="7"/>
    <x v="2"/>
    <x v="0"/>
    <s v="KEPL/01254/82-83"/>
    <s v="BHAT BHATENI SUPERMARKET &amp; DEPARTMENTAL STORE PVT. LTD."/>
    <x v="4"/>
    <x v="30"/>
    <n v="1"/>
    <n v="60"/>
    <n v="89.82"/>
    <n v="5389.2"/>
    <n v="0"/>
    <n v="0"/>
    <n v="700.59654399999999"/>
    <n v="6089.7965439999998"/>
  </r>
  <r>
    <x v="83"/>
    <x v="7"/>
    <x v="2"/>
    <x v="0"/>
    <s v="KEPL/01255/82-83"/>
    <s v="BHAT BHATENI SUPERMARKET &amp; DEPARTMENTAL STORE PVT. LTD."/>
    <x v="1"/>
    <x v="12"/>
    <n v="2"/>
    <n v="80"/>
    <n v="308"/>
    <n v="24640"/>
    <s v=""/>
    <s v=""/>
    <s v=""/>
    <n v="24640"/>
  </r>
  <r>
    <x v="83"/>
    <x v="7"/>
    <x v="2"/>
    <x v="0"/>
    <s v="KEPL/01255/82-83"/>
    <s v="BHAT BHATENI SUPERMARKET &amp; DEPARTMENTAL STORE PVT. LTD."/>
    <x v="1"/>
    <x v="13"/>
    <n v="1"/>
    <n v="100"/>
    <n v="126"/>
    <n v="12600"/>
    <s v=""/>
    <s v=""/>
    <s v=""/>
    <n v="12600"/>
  </r>
  <r>
    <x v="83"/>
    <x v="7"/>
    <x v="2"/>
    <x v="0"/>
    <s v="KEPL/01256/82-83"/>
    <s v="BHAT BHATENI SUPERMARKET &amp; DEPARTMENTAL STORE PVT. LTD."/>
    <x v="1"/>
    <x v="12"/>
    <n v="1"/>
    <n v="40"/>
    <n v="308"/>
    <n v="12320"/>
    <s v=""/>
    <s v=""/>
    <s v=""/>
    <n v="12320"/>
  </r>
  <r>
    <x v="83"/>
    <x v="7"/>
    <x v="2"/>
    <x v="0"/>
    <s v="KEPL/01257/82-83"/>
    <s v="BHAT BHATENI SUPERMARKET &amp; DEPARTMENTAL STORE PVT. LTD."/>
    <x v="1"/>
    <x v="13"/>
    <n v="0.5"/>
    <n v="50"/>
    <n v="126"/>
    <n v="6300"/>
    <s v=""/>
    <s v=""/>
    <s v=""/>
    <n v="6300"/>
  </r>
  <r>
    <x v="83"/>
    <x v="7"/>
    <x v="2"/>
    <x v="0"/>
    <s v="KEPL/01257/82-83"/>
    <s v="BHAT BHATENI SUPERMARKET &amp; DEPARTMENTAL STORE PVT. LTD."/>
    <x v="1"/>
    <x v="12"/>
    <n v="0.5"/>
    <n v="20"/>
    <n v="308"/>
    <n v="6160"/>
    <s v=""/>
    <s v=""/>
    <s v=""/>
    <n v="6160"/>
  </r>
  <r>
    <x v="83"/>
    <x v="7"/>
    <x v="2"/>
    <x v="0"/>
    <s v="KEPL/01258/82-83"/>
    <s v="BHAT BHATENI SUPERMARKET &amp; DEPARTMENTAL STORE PVT. LTD."/>
    <x v="1"/>
    <x v="12"/>
    <n v="1"/>
    <n v="40"/>
    <n v="308"/>
    <n v="12320"/>
    <s v=""/>
    <s v=""/>
    <s v=""/>
    <n v="12320"/>
  </r>
  <r>
    <x v="83"/>
    <x v="7"/>
    <x v="2"/>
    <x v="0"/>
    <s v="KEPL/01258/82-83"/>
    <s v="BHAT BHATENI SUPERMARKET &amp; DEPARTMENTAL STORE PVT. LTD."/>
    <x v="1"/>
    <x v="13"/>
    <n v="1"/>
    <n v="100"/>
    <n v="126"/>
    <n v="12600"/>
    <s v=""/>
    <s v=""/>
    <s v=""/>
    <n v="12600"/>
  </r>
  <r>
    <x v="84"/>
    <x v="7"/>
    <x v="2"/>
    <x v="0"/>
    <s v="KEPL/01259/82-83"/>
    <s v="BEERA BARJEE INTERNATIONAL PVT.LTD"/>
    <x v="0"/>
    <x v="27"/>
    <n v="1"/>
    <n v="120"/>
    <n v="114.93"/>
    <n v="13791.6"/>
    <n v="-1253.6600000000001"/>
    <n v="0"/>
    <n v="1629.9324139999999"/>
    <n v="14167.872413999999"/>
  </r>
  <r>
    <x v="84"/>
    <x v="7"/>
    <x v="2"/>
    <x v="0"/>
    <s v="KEPL/01259/82-83"/>
    <s v="BEERA BARJEE INTERNATIONAL PVT.LTD"/>
    <x v="3"/>
    <x v="31"/>
    <n v="2"/>
    <n v="144"/>
    <n v="148.72999999999999"/>
    <n v="21417.119999999999"/>
    <n v="-1946.82"/>
    <n v="0"/>
    <n v="2531.1393330000001"/>
    <n v="22001.439332999998"/>
  </r>
  <r>
    <x v="84"/>
    <x v="7"/>
    <x v="2"/>
    <x v="0"/>
    <s v="KEPL/01259/82-83"/>
    <s v="BEERA BARJEE INTERNATIONAL PVT.LTD"/>
    <x v="0"/>
    <x v="11"/>
    <n v="1"/>
    <n v="180"/>
    <n v="64.23"/>
    <n v="11561.4"/>
    <n v="-1050.9299999999998"/>
    <n v="0"/>
    <n v="1366.3612800000001"/>
    <n v="11876.83128"/>
  </r>
  <r>
    <x v="84"/>
    <x v="7"/>
    <x v="2"/>
    <x v="0"/>
    <s v="KEPL/01259/82-83"/>
    <s v="BEERA BARJEE INTERNATIONAL PVT.LTD"/>
    <x v="0"/>
    <x v="18"/>
    <n v="1"/>
    <n v="120"/>
    <n v="148.72999999999999"/>
    <n v="17847.600000000002"/>
    <n v="-1622.3500000000001"/>
    <n v="0"/>
    <n v="2109.2827769999999"/>
    <n v="18334.532777"/>
  </r>
  <r>
    <x v="84"/>
    <x v="7"/>
    <x v="2"/>
    <x v="0"/>
    <s v="KEPL/01259/82-83"/>
    <s v="BEERA BARJEE INTERNATIONAL PVT.LTD"/>
    <x v="3"/>
    <x v="25"/>
    <n v="1"/>
    <n v="48"/>
    <n v="297.45999999999998"/>
    <n v="14278.08"/>
    <n v="-1297.8800000000001"/>
    <n v="0"/>
    <n v="1687.4262220000001"/>
    <n v="14667.626222000001"/>
  </r>
  <r>
    <x v="84"/>
    <x v="7"/>
    <x v="2"/>
    <x v="0"/>
    <s v="KEPL/01259/82-83"/>
    <s v="BEERA BARJEE INTERNATIONAL PVT.LTD"/>
    <x v="2"/>
    <x v="8"/>
    <n v="1"/>
    <n v="120"/>
    <n v="50.7"/>
    <n v="6084"/>
    <n v="-553.04"/>
    <n v="0"/>
    <n v="719.0248949999999"/>
    <n v="6249.9848949999996"/>
  </r>
  <r>
    <x v="84"/>
    <x v="7"/>
    <x v="2"/>
    <x v="0"/>
    <s v="KEPL/01259/82-83"/>
    <s v="BEERA BARJEE INTERNATIONAL PVT.LTD"/>
    <x v="0"/>
    <x v="2"/>
    <n v="1"/>
    <n v="180"/>
    <n v="64.23"/>
    <n v="11561.4"/>
    <n v="-1050.9299999999998"/>
    <n v="0"/>
    <n v="1366.3612800000001"/>
    <n v="11876.83128"/>
  </r>
  <r>
    <x v="84"/>
    <x v="7"/>
    <x v="2"/>
    <x v="0"/>
    <s v="KEPL/01259/82-83"/>
    <s v="BEERA BARJEE INTERNATIONAL PVT.LTD"/>
    <x v="6"/>
    <x v="50"/>
    <n v="1"/>
    <n v="200"/>
    <n v="128.44999999999999"/>
    <n v="25690"/>
    <n v="-2335.2199999999998"/>
    <n v="0"/>
    <n v="3036.121799"/>
    <n v="26390.901798999999"/>
  </r>
  <r>
    <x v="84"/>
    <x v="7"/>
    <x v="2"/>
    <x v="0"/>
    <s v="KEPL/01260/82-83"/>
    <s v="SUBHARAMBHA TRADING"/>
    <x v="3"/>
    <x v="31"/>
    <n v="1"/>
    <n v="72"/>
    <n v="148.72999999999999"/>
    <n v="10708.56"/>
    <n v="-973.41"/>
    <n v="0"/>
    <n v="1265.5702489999999"/>
    <n v="11000.720249"/>
  </r>
  <r>
    <x v="84"/>
    <x v="7"/>
    <x v="2"/>
    <x v="0"/>
    <s v="KEPL/01260/82-83"/>
    <s v="SUBHARAMBHA TRADING"/>
    <x v="2"/>
    <x v="7"/>
    <n v="1"/>
    <n v="120"/>
    <n v="152.11000000000001"/>
    <n v="18253.2"/>
    <n v="-1659.2199999999998"/>
    <n v="0"/>
    <n v="2157.2186769999998"/>
    <n v="18751.198677"/>
  </r>
  <r>
    <x v="84"/>
    <x v="7"/>
    <x v="2"/>
    <x v="0"/>
    <s v="KEPL/01260/82-83"/>
    <s v="SUBHARAMBHA TRADING"/>
    <x v="4"/>
    <x v="30"/>
    <n v="1"/>
    <n v="60"/>
    <n v="98.03"/>
    <n v="5881.8"/>
    <n v="-534.66"/>
    <n v="0"/>
    <n v="695.12861100000009"/>
    <n v="6042.2686110000004"/>
  </r>
  <r>
    <x v="84"/>
    <x v="7"/>
    <x v="2"/>
    <x v="0"/>
    <s v="KEPL/01260/82-83"/>
    <s v="SUBHARAMBHA TRADING"/>
    <x v="3"/>
    <x v="26"/>
    <n v="1"/>
    <n v="72"/>
    <n v="131.83000000000001"/>
    <n v="9491.76"/>
    <n v="-862.8"/>
    <n v="0"/>
    <n v="1121.7654640000001"/>
    <n v="9750.7254639999992"/>
  </r>
  <r>
    <x v="84"/>
    <x v="7"/>
    <x v="2"/>
    <x v="0"/>
    <s v="KEPL/01260/82-83"/>
    <s v="SUBHARAMBHA TRADING"/>
    <x v="3"/>
    <x v="25"/>
    <n v="1"/>
    <n v="48"/>
    <n v="297.45999999999998"/>
    <n v="14278.08"/>
    <n v="-1297.8800000000001"/>
    <n v="0"/>
    <n v="1687.426999"/>
    <n v="14667.626999"/>
  </r>
  <r>
    <x v="84"/>
    <x v="7"/>
    <x v="2"/>
    <x v="0"/>
    <s v="KEPL/01263/82-83"/>
    <s v="NEPAL SENA SUPATH MULYA CANTEEN"/>
    <x v="1"/>
    <x v="13"/>
    <n v="0.5"/>
    <n v="50"/>
    <n v="138.46"/>
    <n v="6923"/>
    <s v=""/>
    <s v=""/>
    <s v=""/>
    <n v="6923"/>
  </r>
  <r>
    <x v="84"/>
    <x v="7"/>
    <x v="2"/>
    <x v="0"/>
    <s v="KEPL/01263/82-83"/>
    <s v="NEPAL SENA SUPATH MULYA CANTEEN"/>
    <x v="1"/>
    <x v="12"/>
    <n v="1"/>
    <n v="40"/>
    <n v="338.46"/>
    <n v="13538.400000000001"/>
    <s v=""/>
    <s v=""/>
    <s v=""/>
    <n v="13538.4"/>
  </r>
  <r>
    <x v="84"/>
    <x v="7"/>
    <x v="2"/>
    <x v="0"/>
    <s v="KEPL/01264/82-83"/>
    <s v="SHUBHASHREE MARKETING"/>
    <x v="3"/>
    <x v="31"/>
    <n v="1"/>
    <n v="72"/>
    <n v="148.72999999999999"/>
    <n v="10708.56"/>
    <n v="-973.41"/>
    <n v="0"/>
    <n v="1265.57"/>
    <n v="11000.72"/>
  </r>
  <r>
    <x v="84"/>
    <x v="7"/>
    <x v="2"/>
    <x v="0"/>
    <s v="KEPL/01272/82-83"/>
    <s v="MEGA MART PVT.LTD"/>
    <x v="3"/>
    <x v="31"/>
    <n v="7"/>
    <n v="504"/>
    <n v="140.18"/>
    <n v="70650.720000000001"/>
    <n v="0"/>
    <n v="0"/>
    <n v="9184.5918679999995"/>
    <n v="79835.311868000004"/>
  </r>
  <r>
    <x v="84"/>
    <x v="7"/>
    <x v="2"/>
    <x v="0"/>
    <s v="KEPL/01272/82-83"/>
    <s v="MEGA MART PVT.LTD"/>
    <x v="3"/>
    <x v="26"/>
    <n v="1"/>
    <n v="72"/>
    <n v="124.25"/>
    <n v="8946"/>
    <n v="0"/>
    <n v="0"/>
    <n v="1162.979781"/>
    <n v="10108.979781"/>
  </r>
  <r>
    <x v="84"/>
    <x v="7"/>
    <x v="2"/>
    <x v="0"/>
    <s v="KEPL/01272/82-83"/>
    <s v="MEGA MART PVT.LTD"/>
    <x v="3"/>
    <x v="25"/>
    <n v="5"/>
    <n v="240"/>
    <n v="280.35000000000002"/>
    <n v="67284"/>
    <n v="0"/>
    <n v="0"/>
    <n v="8746.9183510000003"/>
    <n v="76030.918351"/>
  </r>
  <r>
    <x v="85"/>
    <x v="7"/>
    <x v="2"/>
    <x v="0"/>
    <s v="KEPL/01307/82-83"/>
    <s v="DS SPICECO L &amp; D"/>
    <x v="1"/>
    <x v="12"/>
    <n v="0.05"/>
    <n v="2"/>
    <n v="297.45999999999998"/>
    <n v="594.91999999999996"/>
    <n v="-54.08"/>
    <n v="0"/>
    <n v="0"/>
    <n v="540.84"/>
  </r>
  <r>
    <x v="85"/>
    <x v="7"/>
    <x v="2"/>
    <x v="0"/>
    <s v="KEPL/01317/82-83"/>
    <s v="DINESH TRADING HOUSE"/>
    <x v="1"/>
    <x v="13"/>
    <n v="1"/>
    <n v="100"/>
    <n v="121.69"/>
    <n v="12169"/>
    <n v="-1106.1600000000001"/>
    <n v="0"/>
    <n v="0"/>
    <n v="11062.84"/>
  </r>
  <r>
    <x v="85"/>
    <x v="7"/>
    <x v="2"/>
    <x v="0"/>
    <s v="KEPL/01317/82-83"/>
    <s v="DINESH TRADING HOUSE"/>
    <x v="1"/>
    <x v="12"/>
    <n v="1"/>
    <n v="40"/>
    <n v="297.45999999999998"/>
    <n v="11898.4"/>
    <n v="-1081.56"/>
    <n v="0"/>
    <n v="0"/>
    <n v="10816.84"/>
  </r>
  <r>
    <x v="85"/>
    <x v="7"/>
    <x v="2"/>
    <x v="0"/>
    <s v="KEPL/01318/82-83"/>
    <s v="DINESH TRADING HOUSE"/>
    <x v="3"/>
    <x v="25"/>
    <n v="1"/>
    <n v="48"/>
    <n v="297.45999999999998"/>
    <n v="14278.08"/>
    <n v="-1297.8800000000001"/>
    <n v="0"/>
    <n v="1687.4264029999999"/>
    <n v="14667.626403"/>
  </r>
  <r>
    <x v="85"/>
    <x v="7"/>
    <x v="2"/>
    <x v="0"/>
    <s v="KEPL/01318/82-83"/>
    <s v="DINESH TRADING HOUSE"/>
    <x v="1"/>
    <x v="3"/>
    <n v="1"/>
    <n v="40"/>
    <n v="393.46"/>
    <n v="15738.4"/>
    <n v="-1430.6200000000001"/>
    <n v="0"/>
    <n v="1860.0118439999999"/>
    <n v="16167.791843999999"/>
  </r>
  <r>
    <x v="85"/>
    <x v="7"/>
    <x v="2"/>
    <x v="0"/>
    <s v="KEPL/01318/82-83"/>
    <s v="DINESH TRADING HOUSE"/>
    <x v="2"/>
    <x v="23"/>
    <n v="2"/>
    <n v="360"/>
    <n v="182.53"/>
    <n v="65710.8"/>
    <n v="-5973.11"/>
    <n v="0"/>
    <n v="7765.901554"/>
    <n v="67503.591553999999"/>
  </r>
  <r>
    <x v="85"/>
    <x v="7"/>
    <x v="2"/>
    <x v="0"/>
    <s v="KEPL/01318/82-83"/>
    <s v="DINESH TRADING HOUSE"/>
    <x v="2"/>
    <x v="8"/>
    <n v="1"/>
    <n v="120"/>
    <n v="50.7"/>
    <n v="6084"/>
    <n v="-553.04"/>
    <n v="0"/>
    <n v="719.02497199999993"/>
    <n v="6249.9849720000002"/>
  </r>
  <r>
    <x v="85"/>
    <x v="7"/>
    <x v="2"/>
    <x v="0"/>
    <s v="KEPL/01318/82-83"/>
    <s v="DINESH TRADING HOUSE"/>
    <x v="3"/>
    <x v="31"/>
    <n v="1"/>
    <n v="72"/>
    <n v="148.72999999999999"/>
    <n v="10708.56"/>
    <n v="-973.41"/>
    <n v="0"/>
    <n v="1265.569802"/>
    <n v="11000.719802"/>
  </r>
  <r>
    <x v="85"/>
    <x v="7"/>
    <x v="2"/>
    <x v="0"/>
    <s v="KEPL/01318/82-83"/>
    <s v="DINESH TRADING HOUSE"/>
    <x v="1"/>
    <x v="6"/>
    <n v="1"/>
    <n v="100"/>
    <n v="162.26"/>
    <n v="16226"/>
    <n v="-1474.94"/>
    <n v="0"/>
    <n v="1917.638258"/>
    <n v="16668.698258"/>
  </r>
  <r>
    <x v="85"/>
    <x v="7"/>
    <x v="2"/>
    <x v="0"/>
    <s v="KEPL/01318/82-83"/>
    <s v="DINESH TRADING HOUSE"/>
    <x v="3"/>
    <x v="26"/>
    <n v="1"/>
    <n v="72"/>
    <n v="131.83000000000001"/>
    <n v="9491.76"/>
    <n v="-862.8"/>
    <n v="0"/>
    <n v="1121.7650679999999"/>
    <n v="9750.7250679999997"/>
  </r>
  <r>
    <x v="85"/>
    <x v="7"/>
    <x v="2"/>
    <x v="0"/>
    <s v="KEPL/01318/82-83"/>
    <s v="DINESH TRADING HOUSE"/>
    <x v="1"/>
    <x v="1"/>
    <n v="1"/>
    <n v="100"/>
    <n v="108.17"/>
    <n v="10817"/>
    <n v="-983.2700000000001"/>
    <n v="0"/>
    <n v="1278.385205"/>
    <n v="11112.115205"/>
  </r>
  <r>
    <x v="85"/>
    <x v="7"/>
    <x v="2"/>
    <x v="0"/>
    <s v="KEPL/01318/82-83"/>
    <s v="DINESH TRADING HOUSE"/>
    <x v="1"/>
    <x v="4"/>
    <n v="1"/>
    <n v="40"/>
    <n v="260.27999999999997"/>
    <n v="10411.200000000001"/>
    <n v="-946.38"/>
    <n v="0"/>
    <n v="1230.4268940000002"/>
    <n v="10695.246894"/>
  </r>
  <r>
    <x v="86"/>
    <x v="7"/>
    <x v="2"/>
    <x v="0"/>
    <s v="KEPL/01326/82-83"/>
    <s v="BEERA BARJEE INTERNATIONAL PVT.LTD"/>
    <x v="0"/>
    <x v="17"/>
    <n v="1"/>
    <n v="180"/>
    <n v="118.3"/>
    <n v="21294"/>
    <n v="-1935.62"/>
    <n v="0"/>
    <n v="2516.589273"/>
    <n v="21874.969272999999"/>
  </r>
  <r>
    <x v="86"/>
    <x v="7"/>
    <x v="2"/>
    <x v="0"/>
    <s v="KEPL/01326/82-83"/>
    <s v="BEERA BARJEE INTERNATIONAL PVT.LTD"/>
    <x v="1"/>
    <x v="3"/>
    <n v="1"/>
    <n v="40"/>
    <n v="393.46"/>
    <n v="15738.4"/>
    <n v="-1430.6200000000001"/>
    <n v="0"/>
    <n v="1860.0113059999999"/>
    <n v="16167.791305999999"/>
  </r>
  <r>
    <x v="86"/>
    <x v="7"/>
    <x v="2"/>
    <x v="0"/>
    <s v="KEPL/01326/82-83"/>
    <s v="BEERA BARJEE INTERNATIONAL PVT.LTD"/>
    <x v="2"/>
    <x v="22"/>
    <n v="1"/>
    <n v="40"/>
    <n v="283.94"/>
    <n v="11357.599999999999"/>
    <n v="-1032.4099999999999"/>
    <n v="0"/>
    <n v="1342.2746319999999"/>
    <n v="11667.464631999999"/>
  </r>
  <r>
    <x v="86"/>
    <x v="7"/>
    <x v="2"/>
    <x v="0"/>
    <s v="KEPL/01326/82-83"/>
    <s v="BEERA BARJEE INTERNATIONAL PVT.LTD"/>
    <x v="2"/>
    <x v="24"/>
    <n v="1"/>
    <n v="40"/>
    <n v="439.44"/>
    <n v="17577.599999999999"/>
    <n v="-1597.8"/>
    <n v="0"/>
    <n v="2077.3738950000002"/>
    <n v="18057.173895"/>
  </r>
  <r>
    <x v="86"/>
    <x v="7"/>
    <x v="2"/>
    <x v="0"/>
    <s v="KEPL/01326/82-83"/>
    <s v="BEERA BARJEE INTERNATIONAL PVT.LTD"/>
    <x v="1"/>
    <x v="6"/>
    <n v="1"/>
    <n v="100"/>
    <n v="162.26"/>
    <n v="16226"/>
    <n v="-1474.94"/>
    <n v="0"/>
    <n v="1917.6377030000001"/>
    <n v="16668.697703000002"/>
  </r>
  <r>
    <x v="86"/>
    <x v="7"/>
    <x v="2"/>
    <x v="0"/>
    <s v="KEPL/01326/82-83"/>
    <s v="BEERA BARJEE INTERNATIONAL PVT.LTD"/>
    <x v="2"/>
    <x v="5"/>
    <n v="1"/>
    <n v="180"/>
    <n v="94.65"/>
    <n v="17037"/>
    <n v="-1548.6599999999999"/>
    <n v="0"/>
    <n v="2013.4840980000001"/>
    <n v="17501.824098000001"/>
  </r>
  <r>
    <x v="86"/>
    <x v="7"/>
    <x v="2"/>
    <x v="0"/>
    <s v="KEPL/01326/82-83"/>
    <s v="BEERA BARJEE INTERNATIONAL PVT.LTD"/>
    <x v="4"/>
    <x v="29"/>
    <n v="1"/>
    <n v="120"/>
    <n v="57.46"/>
    <n v="6895.2"/>
    <n v="-626.77"/>
    <n v="0"/>
    <n v="814.89585899999997"/>
    <n v="7083.3258589999996"/>
  </r>
  <r>
    <x v="86"/>
    <x v="7"/>
    <x v="2"/>
    <x v="0"/>
    <s v="KEPL/01326/82-83"/>
    <s v="BEERA BARJEE INTERNATIONAL PVT.LTD"/>
    <x v="2"/>
    <x v="7"/>
    <n v="1"/>
    <n v="120"/>
    <n v="152.11000000000001"/>
    <n v="18253.2"/>
    <n v="-1659.2199999999998"/>
    <n v="0"/>
    <n v="2157.2172909999999"/>
    <n v="18751.197291"/>
  </r>
  <r>
    <x v="86"/>
    <x v="7"/>
    <x v="2"/>
    <x v="0"/>
    <s v="KEPL/01326/82-83"/>
    <s v="BEERA BARJEE INTERNATIONAL PVT.LTD"/>
    <x v="0"/>
    <x v="20"/>
    <n v="1"/>
    <n v="120"/>
    <n v="118.3"/>
    <n v="14195.999999999998"/>
    <n v="-1290.4199999999998"/>
    <n v="0"/>
    <n v="1677.7253150000001"/>
    <n v="14583.305315"/>
  </r>
  <r>
    <x v="86"/>
    <x v="7"/>
    <x v="2"/>
    <x v="0"/>
    <s v="KEPL/01326/82-83"/>
    <s v="BEERA BARJEE INTERNATIONAL PVT.LTD"/>
    <x v="1"/>
    <x v="1"/>
    <n v="1"/>
    <n v="100"/>
    <n v="108.17"/>
    <n v="10817"/>
    <n v="-983.2700000000001"/>
    <n v="0"/>
    <n v="1278.3848350000001"/>
    <n v="11112.114835"/>
  </r>
  <r>
    <x v="86"/>
    <x v="7"/>
    <x v="2"/>
    <x v="0"/>
    <s v="KEPL/01326/82-83"/>
    <s v="BEERA BARJEE INTERNATIONAL PVT.LTD"/>
    <x v="4"/>
    <x v="30"/>
    <n v="3"/>
    <n v="180"/>
    <n v="98.03"/>
    <n v="17645.400000000001"/>
    <n v="-1603.97"/>
    <n v="0"/>
    <n v="2085.3857940000003"/>
    <n v="18126.815793999998"/>
  </r>
  <r>
    <x v="86"/>
    <x v="7"/>
    <x v="2"/>
    <x v="0"/>
    <s v="KEPL/01330/82-83"/>
    <s v="BEERA BARJEE INTERNATIONAL PVT.LTD"/>
    <x v="4"/>
    <x v="29"/>
    <n v="2"/>
    <n v="240"/>
    <n v="57.46"/>
    <n v="13790.4"/>
    <n v="-1253.55"/>
    <n v="0"/>
    <n v="1629.79"/>
    <n v="14166.64"/>
  </r>
  <r>
    <x v="86"/>
    <x v="7"/>
    <x v="2"/>
    <x v="0"/>
    <s v="KEPL/01331/82-83"/>
    <s v="NEPAL SENA SUPATH MULYA CANTEEN"/>
    <x v="3"/>
    <x v="31"/>
    <n v="1"/>
    <n v="72"/>
    <n v="149.76"/>
    <n v="10782.72"/>
    <n v="0"/>
    <n v="0"/>
    <n v="1401.7536"/>
    <n v="12184.473599999999"/>
  </r>
  <r>
    <x v="86"/>
    <x v="7"/>
    <x v="2"/>
    <x v="0"/>
    <s v="KEPL/01331/82-83"/>
    <s v="NEPAL SENA SUPATH MULYA CANTEEN"/>
    <x v="3"/>
    <x v="26"/>
    <n v="1"/>
    <n v="72"/>
    <n v="132.74"/>
    <n v="9557.2799999999988"/>
    <n v="0"/>
    <n v="0"/>
    <n v="1242.4464"/>
    <n v="10799.7264"/>
  </r>
  <r>
    <x v="86"/>
    <x v="7"/>
    <x v="2"/>
    <x v="0"/>
    <s v="KEPL/01333/82-83"/>
    <s v="SHIVA SHAKTI CONCERN"/>
    <x v="0"/>
    <x v="2"/>
    <n v="1"/>
    <n v="180"/>
    <n v="64.23"/>
    <n v="11561.4"/>
    <n v="-1050.9299999999998"/>
    <n v="0"/>
    <n v="1366.361046"/>
    <n v="11876.831045999999"/>
  </r>
  <r>
    <x v="86"/>
    <x v="7"/>
    <x v="2"/>
    <x v="0"/>
    <s v="KEPL/01333/82-83"/>
    <s v="SHIVA SHAKTI CONCERN"/>
    <x v="3"/>
    <x v="31"/>
    <n v="1"/>
    <n v="72"/>
    <n v="148.72999999999999"/>
    <n v="10708.56"/>
    <n v="-973.41"/>
    <n v="0"/>
    <n v="1265.56945"/>
    <n v="11000.719450000001"/>
  </r>
  <r>
    <x v="86"/>
    <x v="7"/>
    <x v="2"/>
    <x v="0"/>
    <s v="KEPL/01333/82-83"/>
    <s v="SHIVA SHAKTI CONCERN"/>
    <x v="0"/>
    <x v="11"/>
    <n v="1"/>
    <n v="180"/>
    <n v="64.23"/>
    <n v="11561.4"/>
    <n v="-1050.9299999999998"/>
    <n v="0"/>
    <n v="1366.361046"/>
    <n v="11876.831045999999"/>
  </r>
  <r>
    <x v="86"/>
    <x v="7"/>
    <x v="2"/>
    <x v="0"/>
    <s v="KEPL/01333/82-83"/>
    <s v="SHIVA SHAKTI CONCERN"/>
    <x v="2"/>
    <x v="8"/>
    <n v="1"/>
    <n v="120"/>
    <n v="50.7"/>
    <n v="6084"/>
    <n v="-553.04"/>
    <n v="0"/>
    <n v="719.02477199999998"/>
    <n v="6249.9847719999998"/>
  </r>
  <r>
    <x v="86"/>
    <x v="7"/>
    <x v="2"/>
    <x v="0"/>
    <s v="KEPL/01333/82-83"/>
    <s v="SHIVA SHAKTI CONCERN"/>
    <x v="2"/>
    <x v="34"/>
    <n v="1"/>
    <n v="80"/>
    <n v="229.86"/>
    <n v="18388.8"/>
    <n v="-1671.54"/>
    <n v="0"/>
    <n v="2173.2437150000001"/>
    <n v="18890.503714999999"/>
  </r>
  <r>
    <x v="86"/>
    <x v="7"/>
    <x v="2"/>
    <x v="0"/>
    <s v="KEPL/01333/82-83"/>
    <s v="SHIVA SHAKTI CONCERN"/>
    <x v="0"/>
    <x v="32"/>
    <n v="1"/>
    <n v="120"/>
    <n v="64.23"/>
    <n v="7707.5999999999995"/>
    <n v="-700.62"/>
    <n v="0"/>
    <n v="910.90736400000003"/>
    <n v="7917.8873640000002"/>
  </r>
  <r>
    <x v="86"/>
    <x v="7"/>
    <x v="2"/>
    <x v="0"/>
    <s v="KEPL/01333/82-83"/>
    <s v="SHIVA SHAKTI CONCERN"/>
    <x v="2"/>
    <x v="7"/>
    <n v="1"/>
    <n v="120"/>
    <n v="152.11000000000001"/>
    <n v="18253.2"/>
    <n v="-1659.2199999999998"/>
    <n v="0"/>
    <n v="2157.2173149999999"/>
    <n v="18751.197315000001"/>
  </r>
  <r>
    <x v="86"/>
    <x v="7"/>
    <x v="2"/>
    <x v="0"/>
    <s v="KEPL/01333/82-83"/>
    <s v="SHIVA SHAKTI CONCERN"/>
    <x v="4"/>
    <x v="30"/>
    <n v="4"/>
    <n v="240"/>
    <n v="98.03"/>
    <n v="23527.200000000001"/>
    <n v="-2138.6200000000003"/>
    <n v="0"/>
    <n v="2780.5152910000002"/>
    <n v="24169.095291000001"/>
  </r>
  <r>
    <x v="86"/>
    <x v="7"/>
    <x v="2"/>
    <x v="0"/>
    <s v="KEPL/01334/82-83"/>
    <s v="NEPAL SENA SUPATH MULYA CANTEEN"/>
    <x v="0"/>
    <x v="2"/>
    <n v="0.5"/>
    <n v="90"/>
    <n v="64.67"/>
    <n v="5820.3"/>
    <n v="0"/>
    <n v="0"/>
    <n v="756.63881900000001"/>
    <n v="6576.938819"/>
  </r>
  <r>
    <x v="86"/>
    <x v="7"/>
    <x v="2"/>
    <x v="0"/>
    <s v="KEPL/01334/82-83"/>
    <s v="NEPAL SENA SUPATH MULYA CANTEEN"/>
    <x v="0"/>
    <x v="11"/>
    <n v="0.5"/>
    <n v="90"/>
    <n v="64.67"/>
    <n v="5820.3"/>
    <n v="0"/>
    <n v="0"/>
    <n v="756.63881900000001"/>
    <n v="6576.938819"/>
  </r>
  <r>
    <x v="86"/>
    <x v="7"/>
    <x v="2"/>
    <x v="0"/>
    <s v="KEPL/01334/82-83"/>
    <s v="NEPAL SENA SUPATH MULYA CANTEEN"/>
    <x v="1"/>
    <x v="4"/>
    <n v="0.5"/>
    <n v="20"/>
    <n v="262.08"/>
    <n v="5241.6000000000004"/>
    <n v="0"/>
    <n v="0"/>
    <n v="681.40783699999997"/>
    <n v="5923.0078370000001"/>
  </r>
  <r>
    <x v="86"/>
    <x v="7"/>
    <x v="2"/>
    <x v="0"/>
    <s v="KEPL/01334/82-83"/>
    <s v="NEPAL SENA SUPATH MULYA CANTEEN"/>
    <x v="2"/>
    <x v="23"/>
    <n v="0.28000000000000003"/>
    <n v="50"/>
    <n v="183.8"/>
    <n v="9190"/>
    <n v="0"/>
    <n v="0"/>
    <n v="1194.699715"/>
    <n v="10384.699715000001"/>
  </r>
  <r>
    <x v="86"/>
    <x v="7"/>
    <x v="2"/>
    <x v="0"/>
    <s v="KEPL/01334/82-83"/>
    <s v="NEPAL SENA SUPATH MULYA CANTEEN"/>
    <x v="0"/>
    <x v="17"/>
    <n v="0.28000000000000003"/>
    <n v="50"/>
    <n v="122.53"/>
    <n v="6126.5"/>
    <n v="0"/>
    <n v="0"/>
    <n v="796.44480999999996"/>
    <n v="6922.94481"/>
  </r>
  <r>
    <x v="86"/>
    <x v="7"/>
    <x v="2"/>
    <x v="0"/>
    <s v="KEPL/01343/82-83"/>
    <s v="RAJU KIRANA PASAL"/>
    <x v="1"/>
    <x v="1"/>
    <n v="1"/>
    <n v="100"/>
    <n v="108.17"/>
    <n v="10817"/>
    <n v="-983.2700000000001"/>
    <n v="0"/>
    <n v="1278.384237"/>
    <n v="11112.114237"/>
  </r>
  <r>
    <x v="86"/>
    <x v="7"/>
    <x v="2"/>
    <x v="0"/>
    <s v="KEPL/01343/82-83"/>
    <s v="RAJU KIRANA PASAL"/>
    <x v="2"/>
    <x v="5"/>
    <n v="1"/>
    <n v="180"/>
    <n v="94.65"/>
    <n v="17037"/>
    <n v="-1548.6599999999999"/>
    <n v="0"/>
    <n v="2013.483156"/>
    <n v="17501.823155999999"/>
  </r>
  <r>
    <x v="86"/>
    <x v="7"/>
    <x v="2"/>
    <x v="0"/>
    <s v="KEPL/01343/82-83"/>
    <s v="RAJU KIRANA PASAL"/>
    <x v="0"/>
    <x v="2"/>
    <n v="1"/>
    <n v="180"/>
    <n v="64.23"/>
    <n v="11561.4"/>
    <n v="-1050.9299999999998"/>
    <n v="0"/>
    <n v="1366.360392"/>
    <n v="11876.830392"/>
  </r>
  <r>
    <x v="86"/>
    <x v="7"/>
    <x v="2"/>
    <x v="0"/>
    <s v="KEPL/01343/82-83"/>
    <s v="RAJU KIRANA PASAL"/>
    <x v="0"/>
    <x v="9"/>
    <n v="1"/>
    <n v="180"/>
    <n v="70.989999999999995"/>
    <n v="12778.2"/>
    <n v="-1161.54"/>
    <n v="0"/>
    <n v="1510.165017"/>
    <n v="13126.825016999999"/>
  </r>
  <r>
    <x v="86"/>
    <x v="7"/>
    <x v="2"/>
    <x v="0"/>
    <s v="KEPL/01343/82-83"/>
    <s v="RAJU KIRANA PASAL"/>
    <x v="1"/>
    <x v="6"/>
    <n v="1"/>
    <n v="100"/>
    <n v="162.26"/>
    <n v="16226"/>
    <n v="-1474.94"/>
    <n v="0"/>
    <n v="1917.6368060000002"/>
    <n v="16668.696806"/>
  </r>
  <r>
    <x v="86"/>
    <x v="7"/>
    <x v="2"/>
    <x v="0"/>
    <s v="KEPL/01343/82-83"/>
    <s v="RAJU KIRANA PASAL"/>
    <x v="0"/>
    <x v="11"/>
    <n v="1"/>
    <n v="180"/>
    <n v="64.23"/>
    <n v="11561.4"/>
    <n v="-1050.9299999999998"/>
    <n v="0"/>
    <n v="1366.360392"/>
    <n v="11876.830392"/>
  </r>
  <r>
    <x v="87"/>
    <x v="7"/>
    <x v="2"/>
    <x v="0"/>
    <s v="KEPL/01352/82-83"/>
    <s v="SIMPEX SOLUTION PVT. LTD"/>
    <x v="0"/>
    <x v="10"/>
    <n v="0.06"/>
    <n v="10"/>
    <n v="63.72"/>
    <n v="637.20000000000005"/>
    <n v="0"/>
    <n v="0"/>
    <n v="82.836347000000004"/>
    <n v="720.03634699999998"/>
  </r>
  <r>
    <x v="87"/>
    <x v="7"/>
    <x v="2"/>
    <x v="0"/>
    <s v="KEPL/01352/82-83"/>
    <s v="SIMPEX SOLUTION PVT. LTD"/>
    <x v="0"/>
    <x v="27"/>
    <n v="0.08"/>
    <n v="10"/>
    <n v="120.35"/>
    <n v="1203.5000000000002"/>
    <n v="0"/>
    <n v="0"/>
    <n v="156.45565500000001"/>
    <n v="1359.955655"/>
  </r>
  <r>
    <x v="87"/>
    <x v="7"/>
    <x v="2"/>
    <x v="0"/>
    <s v="KEPL/01352/82-83"/>
    <s v="SIMPEX SOLUTION PVT. LTD"/>
    <x v="4"/>
    <x v="29"/>
    <n v="0.5"/>
    <n v="60"/>
    <n v="60.18"/>
    <n v="3610.8"/>
    <n v="0"/>
    <n v="0"/>
    <n v="469.40596500000004"/>
    <n v="4080.2059650000001"/>
  </r>
  <r>
    <x v="87"/>
    <x v="7"/>
    <x v="2"/>
    <x v="0"/>
    <s v="KEPL/01352/82-83"/>
    <s v="SIMPEX SOLUTION PVT. LTD"/>
    <x v="3"/>
    <x v="31"/>
    <n v="0.33"/>
    <n v="24"/>
    <n v="155.75"/>
    <n v="3738"/>
    <n v="0"/>
    <n v="0"/>
    <n v="485.94203399999998"/>
    <n v="4223.9420339999997"/>
  </r>
  <r>
    <x v="87"/>
    <x v="7"/>
    <x v="2"/>
    <x v="0"/>
    <s v="KEPL/01354/82-83"/>
    <s v="BHAT BHATENI SUPERMARKET &amp; DEPARTMENTAL STORE PVT. LTD."/>
    <x v="4"/>
    <x v="30"/>
    <n v="1"/>
    <n v="60"/>
    <n v="89.82"/>
    <n v="5389.2"/>
    <n v="0"/>
    <n v="0"/>
    <n v="700.59604400000001"/>
    <n v="6089.7960439999997"/>
  </r>
  <r>
    <x v="87"/>
    <x v="7"/>
    <x v="2"/>
    <x v="0"/>
    <s v="KEPL/01354/82-83"/>
    <s v="BHAT BHATENI SUPERMARKET &amp; DEPARTMENTAL STORE PVT. LTD."/>
    <x v="1"/>
    <x v="3"/>
    <n v="1"/>
    <n v="40"/>
    <n v="360.53"/>
    <n v="14421.199999999999"/>
    <n v="0"/>
    <n v="0"/>
    <n v="1874.756118"/>
    <n v="16295.956118"/>
  </r>
  <r>
    <x v="87"/>
    <x v="7"/>
    <x v="2"/>
    <x v="0"/>
    <s v="KEPL/01354/82-83"/>
    <s v="BHAT BHATENI SUPERMARKET &amp; DEPARTMENTAL STORE PVT. LTD."/>
    <x v="3"/>
    <x v="25"/>
    <n v="1"/>
    <n v="48"/>
    <n v="272.57"/>
    <n v="13083.36"/>
    <n v="0"/>
    <n v="0"/>
    <n v="1700.8369069999999"/>
    <n v="14784.196907"/>
  </r>
  <r>
    <x v="87"/>
    <x v="7"/>
    <x v="2"/>
    <x v="0"/>
    <s v="KEPL/01354/82-83"/>
    <s v="BHAT BHATENI SUPERMARKET &amp; DEPARTMENTAL STORE PVT. LTD."/>
    <x v="4"/>
    <x v="29"/>
    <n v="1"/>
    <n v="120"/>
    <n v="52.65"/>
    <n v="6318.0000000000009"/>
    <n v="0"/>
    <n v="0"/>
    <n v="821.34005200000001"/>
    <n v="7139.3400519999996"/>
  </r>
  <r>
    <x v="87"/>
    <x v="7"/>
    <x v="2"/>
    <x v="0"/>
    <s v="KEPL/01354/82-83"/>
    <s v="BHAT BHATENI SUPERMARKET &amp; DEPARTMENTAL STORE PVT. LTD."/>
    <x v="3"/>
    <x v="31"/>
    <n v="1"/>
    <n v="72"/>
    <n v="136.28"/>
    <n v="9812.16"/>
    <n v="0"/>
    <n v="0"/>
    <n v="1275.58088"/>
    <n v="11087.740879999999"/>
  </r>
  <r>
    <x v="87"/>
    <x v="7"/>
    <x v="2"/>
    <x v="0"/>
    <s v="KEPL/01355/82-83"/>
    <s v="BHAT BHATENI SUPERMARKET &amp; DEPARTMENTAL STORE PVT. LTD."/>
    <x v="3"/>
    <x v="31"/>
    <n v="1"/>
    <n v="72"/>
    <n v="136.28"/>
    <n v="9812.16"/>
    <n v="0"/>
    <n v="0"/>
    <n v="1275.5806970000001"/>
    <n v="11087.740696999999"/>
  </r>
  <r>
    <x v="87"/>
    <x v="7"/>
    <x v="2"/>
    <x v="0"/>
    <s v="KEPL/01355/82-83"/>
    <s v="BHAT BHATENI SUPERMARKET &amp; DEPARTMENTAL STORE PVT. LTD."/>
    <x v="1"/>
    <x v="6"/>
    <n v="1"/>
    <n v="100"/>
    <n v="148.66999999999999"/>
    <n v="14867"/>
    <n v="0"/>
    <n v="0"/>
    <n v="1932.7098450000001"/>
    <n v="16799.709845000001"/>
  </r>
  <r>
    <x v="87"/>
    <x v="7"/>
    <x v="2"/>
    <x v="0"/>
    <s v="KEPL/01355/82-83"/>
    <s v="BHAT BHATENI SUPERMARKET &amp; DEPARTMENTAL STORE PVT. LTD."/>
    <x v="0"/>
    <x v="35"/>
    <n v="1"/>
    <n v="80"/>
    <n v="154.87"/>
    <n v="12389.6"/>
    <n v="0"/>
    <n v="0"/>
    <n v="1610.6478699999998"/>
    <n v="14000.247869999999"/>
  </r>
  <r>
    <x v="87"/>
    <x v="7"/>
    <x v="2"/>
    <x v="0"/>
    <s v="KEPL/01355/82-83"/>
    <s v="BHAT BHATENI SUPERMARKET &amp; DEPARTMENTAL STORE PVT. LTD."/>
    <x v="2"/>
    <x v="8"/>
    <n v="1"/>
    <n v="120"/>
    <n v="46.46"/>
    <n v="5575.2"/>
    <n v="0"/>
    <n v="0"/>
    <n v="724.77594199999999"/>
    <n v="6299.975942"/>
  </r>
  <r>
    <x v="87"/>
    <x v="7"/>
    <x v="2"/>
    <x v="0"/>
    <s v="KEPL/01355/82-83"/>
    <s v="BHAT BHATENI SUPERMARKET &amp; DEPARTMENTAL STORE PVT. LTD."/>
    <x v="1"/>
    <x v="1"/>
    <n v="1"/>
    <n v="100"/>
    <n v="99.12"/>
    <n v="9912"/>
    <n v="0"/>
    <n v="0"/>
    <n v="1288.559896"/>
    <n v="11200.559896000001"/>
  </r>
  <r>
    <x v="87"/>
    <x v="7"/>
    <x v="2"/>
    <x v="0"/>
    <s v="KEPL/01355/82-83"/>
    <s v="BHAT BHATENI SUPERMARKET &amp; DEPARTMENTAL STORE PVT. LTD."/>
    <x v="1"/>
    <x v="4"/>
    <n v="1"/>
    <n v="40"/>
    <n v="238.5"/>
    <n v="9539.9999999999982"/>
    <n v="0"/>
    <n v="0"/>
    <n v="1240.1998999999998"/>
    <n v="10780.1999"/>
  </r>
  <r>
    <x v="87"/>
    <x v="7"/>
    <x v="2"/>
    <x v="0"/>
    <s v="KEPL/01355/82-83"/>
    <s v="BHAT BHATENI SUPERMARKET &amp; DEPARTMENTAL STORE PVT. LTD."/>
    <x v="1"/>
    <x v="3"/>
    <n v="1"/>
    <n v="40"/>
    <n v="360.53"/>
    <n v="14421.199999999999"/>
    <n v="0"/>
    <n v="0"/>
    <n v="1874.7558489999999"/>
    <n v="16295.955849"/>
  </r>
  <r>
    <x v="87"/>
    <x v="7"/>
    <x v="2"/>
    <x v="0"/>
    <s v="KEPL/01356/82-83"/>
    <s v="BHAT BHATENI SUPERMARKET &amp; DEPARTMENTAL STORE PVT. LTD."/>
    <x v="1"/>
    <x v="13"/>
    <n v="1"/>
    <n v="100"/>
    <n v="126"/>
    <n v="12600"/>
    <s v=""/>
    <s v=""/>
    <s v=""/>
    <n v="12600"/>
  </r>
  <r>
    <x v="87"/>
    <x v="7"/>
    <x v="2"/>
    <x v="0"/>
    <s v="KEPL/01356/82-83"/>
    <s v="BHAT BHATENI SUPERMARKET &amp; DEPARTMENTAL STORE PVT. LTD."/>
    <x v="1"/>
    <x v="12"/>
    <n v="1"/>
    <n v="40"/>
    <n v="308"/>
    <n v="12320"/>
    <s v=""/>
    <s v=""/>
    <s v=""/>
    <n v="12320"/>
  </r>
  <r>
    <x v="87"/>
    <x v="7"/>
    <x v="2"/>
    <x v="0"/>
    <s v="KEPL/01357/82-83"/>
    <s v="BHAT BHATENI SUPERMARKET &amp; DEPARTMENTAL STORE PVT. LTD."/>
    <x v="1"/>
    <x v="13"/>
    <n v="1"/>
    <n v="100"/>
    <n v="126"/>
    <n v="12600"/>
    <s v=""/>
    <s v=""/>
    <s v=""/>
    <n v="12600"/>
  </r>
  <r>
    <x v="87"/>
    <x v="7"/>
    <x v="2"/>
    <x v="0"/>
    <s v="KEPL/01357/82-83"/>
    <s v="BHAT BHATENI SUPERMARKET &amp; DEPARTMENTAL STORE PVT. LTD."/>
    <x v="1"/>
    <x v="12"/>
    <n v="1"/>
    <n v="40"/>
    <n v="308"/>
    <n v="12320"/>
    <s v=""/>
    <s v=""/>
    <s v=""/>
    <n v="12320"/>
  </r>
  <r>
    <x v="88"/>
    <x v="8"/>
    <x v="2"/>
    <x v="0"/>
    <s v="KEPL/01457/82-83"/>
    <s v="BHAT BHATENI SUPERMARKET &amp; DEPARTMENTAL STORE PVT. LTD."/>
    <x v="3"/>
    <x v="52"/>
    <n v="1"/>
    <n v="72"/>
    <n v="164.16"/>
    <n v="11819.52"/>
    <n v="0"/>
    <n v="0"/>
    <n v="1536.5400000000002"/>
    <n v="13356.06"/>
  </r>
  <r>
    <x v="88"/>
    <x v="8"/>
    <x v="2"/>
    <x v="0"/>
    <s v="KEPL/01458/82-83"/>
    <s v="BHAT BHATENI SUPERMARKET &amp; DEPARTMENTAL STORE PVT. LTD."/>
    <x v="3"/>
    <x v="52"/>
    <n v="1"/>
    <n v="72"/>
    <n v="164.16"/>
    <n v="11819.52"/>
    <n v="0"/>
    <n v="0"/>
    <n v="1536.5400000000002"/>
    <n v="13356.06"/>
  </r>
  <r>
    <x v="88"/>
    <x v="8"/>
    <x v="2"/>
    <x v="0"/>
    <s v="KEPL/01459/82-83"/>
    <s v="BHAT BHATENI SUPERMARKET &amp; DEPARTMENTAL STORE PVT. LTD."/>
    <x v="3"/>
    <x v="52"/>
    <n v="1"/>
    <n v="72"/>
    <n v="164.16"/>
    <n v="11819.52"/>
    <n v="0"/>
    <n v="0"/>
    <n v="1536.5400000000002"/>
    <n v="13356.06"/>
  </r>
  <r>
    <x v="88"/>
    <x v="8"/>
    <x v="2"/>
    <x v="0"/>
    <s v="KEPL/01460/82-83"/>
    <s v="BHAT BHATENI SUPERMARKET &amp; DEPARTMENTAL STORE PVT. LTD."/>
    <x v="3"/>
    <x v="52"/>
    <n v="1"/>
    <n v="72"/>
    <n v="164.16"/>
    <n v="11819.52"/>
    <n v="0"/>
    <n v="0"/>
    <n v="1536.5400000000002"/>
    <n v="13356.06"/>
  </r>
  <r>
    <x v="88"/>
    <x v="8"/>
    <x v="2"/>
    <x v="0"/>
    <s v="KEPL/01461/82-83"/>
    <s v="BHAT BHATENI SUPERMARKET &amp; DEPARTMENTAL STORE PVT. LTD."/>
    <x v="3"/>
    <x v="52"/>
    <n v="0.57999999999999996"/>
    <n v="42"/>
    <n v="164.16"/>
    <n v="6894.72"/>
    <n v="0"/>
    <n v="0"/>
    <n v="896.31000000000006"/>
    <n v="7791.03"/>
  </r>
  <r>
    <x v="88"/>
    <x v="8"/>
    <x v="2"/>
    <x v="0"/>
    <s v="KEPL/01462/82-83"/>
    <s v="BHAT BHATENI SUPERMARKET &amp; DEPARTMENTAL STORE PVT. LTD."/>
    <x v="3"/>
    <x v="52"/>
    <n v="0.5"/>
    <n v="36"/>
    <n v="164.16"/>
    <n v="5909.76"/>
    <n v="0"/>
    <n v="0"/>
    <n v="768.2700000000001"/>
    <n v="6678.03"/>
  </r>
  <r>
    <x v="88"/>
    <x v="8"/>
    <x v="2"/>
    <x v="0"/>
    <s v="KEPL/01463/82-83"/>
    <s v="BHAT BHATENI SUPERMARKET &amp; DEPARTMENTAL STORE PVT. LTD."/>
    <x v="3"/>
    <x v="52"/>
    <n v="0.5"/>
    <n v="36"/>
    <n v="164.16"/>
    <n v="5909.76"/>
    <n v="0"/>
    <n v="0"/>
    <n v="768.2700000000001"/>
    <n v="6678.03"/>
  </r>
  <r>
    <x v="88"/>
    <x v="8"/>
    <x v="2"/>
    <x v="0"/>
    <s v="KEPL/01464/82-83"/>
    <s v="BHAT BHATENI SUPERMARKET &amp; DEPARTMENTAL STORE PVT. LTD."/>
    <x v="3"/>
    <x v="52"/>
    <n v="0.25"/>
    <n v="18"/>
    <n v="164.16"/>
    <n v="2954.88"/>
    <n v="0"/>
    <n v="0"/>
    <n v="384.13"/>
    <n v="3339.01"/>
  </r>
  <r>
    <x v="88"/>
    <x v="8"/>
    <x v="2"/>
    <x v="0"/>
    <s v="KEPL/01465/82-83"/>
    <s v="BHAT BHATENI SUPERMARKET &amp; DEPARTMENTAL STORE PVT. LTD."/>
    <x v="3"/>
    <x v="52"/>
    <n v="0.25"/>
    <n v="18"/>
    <n v="164.16"/>
    <n v="2954.88"/>
    <n v="0"/>
    <n v="0"/>
    <n v="384.13"/>
    <n v="3339.01"/>
  </r>
  <r>
    <x v="89"/>
    <x v="8"/>
    <x v="2"/>
    <x v="0"/>
    <s v="KEPL/01475/82-83"/>
    <s v="SAFAL MART PVT.LTD"/>
    <x v="2"/>
    <x v="8"/>
    <n v="1.0900000000000001"/>
    <n v="130"/>
    <n v="50.7"/>
    <n v="6591"/>
    <n v="-599.12"/>
    <n v="0"/>
    <n v="778.94427800000005"/>
    <n v="6770.824278"/>
  </r>
  <r>
    <x v="89"/>
    <x v="8"/>
    <x v="2"/>
    <x v="0"/>
    <s v="KEPL/01475/82-83"/>
    <s v="SAFAL MART PVT.LTD"/>
    <x v="2"/>
    <x v="23"/>
    <n v="1"/>
    <n v="180"/>
    <n v="182.53"/>
    <n v="32855.4"/>
    <n v="-2986.56"/>
    <n v="0"/>
    <n v="3882.9485900000004"/>
    <n v="33751.788589999996"/>
  </r>
  <r>
    <x v="89"/>
    <x v="8"/>
    <x v="2"/>
    <x v="0"/>
    <s v="KEPL/01475/82-83"/>
    <s v="SAFAL MART PVT.LTD"/>
    <x v="0"/>
    <x v="15"/>
    <n v="2"/>
    <n v="360"/>
    <n v="114.93"/>
    <n v="41374.800000000003"/>
    <n v="-3760.97"/>
    <n v="0"/>
    <n v="4889.7971320000006"/>
    <n v="42503.627132000001"/>
  </r>
  <r>
    <x v="90"/>
    <x v="8"/>
    <x v="2"/>
    <x v="0"/>
    <s v="KEPL/01479/82-83"/>
    <s v="DINESH TRADING HOUSE"/>
    <x v="6"/>
    <x v="49"/>
    <n v="1"/>
    <n v="120"/>
    <n v="250.14"/>
    <n v="30016.799999999999"/>
    <n v="-2728.53"/>
    <n v="0"/>
    <n v="3547.4800000000005"/>
    <n v="30835.75"/>
  </r>
  <r>
    <x v="90"/>
    <x v="8"/>
    <x v="2"/>
    <x v="0"/>
    <s v="KESR/0032/82-83"/>
    <s v="S GAUTAM STORE"/>
    <x v="2"/>
    <x v="5"/>
    <n v="-1"/>
    <n v="-180"/>
    <n v="94.65"/>
    <n v="-17037"/>
    <n v="1548.6599999999999"/>
    <n v="0"/>
    <n v="-2013.4845"/>
    <n v="-17501.824499999999"/>
  </r>
  <r>
    <x v="90"/>
    <x v="8"/>
    <x v="2"/>
    <x v="0"/>
    <s v="KESR/0032/82-83"/>
    <s v="S GAUTAM STORE"/>
    <x v="2"/>
    <x v="8"/>
    <n v="-1"/>
    <n v="-120"/>
    <n v="50.7"/>
    <n v="-6084"/>
    <n v="553.04"/>
    <n v="0"/>
    <n v="-719.02490699999998"/>
    <n v="-6249.984907"/>
  </r>
  <r>
    <x v="90"/>
    <x v="8"/>
    <x v="2"/>
    <x v="0"/>
    <s v="KESR/0032/82-83"/>
    <s v="S GAUTAM STORE"/>
    <x v="0"/>
    <x v="16"/>
    <n v="-0.6"/>
    <n v="-72"/>
    <n v="131.83000000000001"/>
    <n v="-9491.76"/>
    <n v="862.8"/>
    <n v="0"/>
    <n v="-1121.7649670000001"/>
    <n v="-9750.7249670000001"/>
  </r>
  <r>
    <x v="90"/>
    <x v="8"/>
    <x v="2"/>
    <x v="0"/>
    <s v="KESR/0032/82-83"/>
    <s v="S GAUTAM STORE"/>
    <x v="0"/>
    <x v="11"/>
    <n v="-1"/>
    <n v="-180"/>
    <n v="64.23"/>
    <n v="-11561.4"/>
    <n v="1050.9299999999998"/>
    <n v="0"/>
    <n v="-1366.3613029999999"/>
    <n v="-11876.831303000001"/>
  </r>
  <r>
    <x v="90"/>
    <x v="8"/>
    <x v="2"/>
    <x v="0"/>
    <s v="KESR/0032/82-83"/>
    <s v="S GAUTAM STORE"/>
    <x v="0"/>
    <x v="2"/>
    <n v="-1"/>
    <n v="-180"/>
    <n v="64.23"/>
    <n v="-11561.4"/>
    <n v="1050.9299999999998"/>
    <n v="0"/>
    <n v="-1366.3613029999999"/>
    <n v="-11876.831303000001"/>
  </r>
  <r>
    <x v="90"/>
    <x v="8"/>
    <x v="2"/>
    <x v="0"/>
    <s v="KESR/0032/82-83"/>
    <s v="S GAUTAM STORE"/>
    <x v="0"/>
    <x v="37"/>
    <n v="-1"/>
    <n v="-180"/>
    <n v="98.03"/>
    <n v="-17645.400000000001"/>
    <n v="1603.97"/>
    <n v="0"/>
    <n v="-2085.3862100000001"/>
    <n v="-18126.816210000001"/>
  </r>
  <r>
    <x v="90"/>
    <x v="8"/>
    <x v="2"/>
    <x v="0"/>
    <s v="KESR/0032/82-83"/>
    <s v="S GAUTAM STORE"/>
    <x v="0"/>
    <x v="18"/>
    <n v="-0.47"/>
    <n v="-56"/>
    <n v="141.97"/>
    <n v="-7950.3200000000006"/>
    <n v="722.68"/>
    <n v="0"/>
    <n v="-939.59334000000001"/>
    <n v="-8167.2333399999998"/>
  </r>
  <r>
    <x v="90"/>
    <x v="8"/>
    <x v="2"/>
    <x v="0"/>
    <s v="KESR/0032/82-83"/>
    <s v="S GAUTAM STORE"/>
    <x v="3"/>
    <x v="31"/>
    <n v="-0.75"/>
    <n v="-54"/>
    <n v="148.72999999999999"/>
    <n v="-8031.4199999999992"/>
    <n v="730.06"/>
    <n v="0"/>
    <n v="-949.17694100000006"/>
    <n v="-8250.5369410000003"/>
  </r>
  <r>
    <x v="90"/>
    <x v="8"/>
    <x v="2"/>
    <x v="0"/>
    <s v="KESR/0032/82-83"/>
    <s v="S GAUTAM STORE"/>
    <x v="0"/>
    <x v="10"/>
    <n v="-1"/>
    <n v="-180"/>
    <n v="60.84"/>
    <n v="-10951.199999999999"/>
    <n v="995.46"/>
    <n v="0"/>
    <n v="-1294.2463929999999"/>
    <n v="-11249.986392999999"/>
  </r>
  <r>
    <x v="90"/>
    <x v="8"/>
    <x v="2"/>
    <x v="0"/>
    <s v="KESR/0032/82-83"/>
    <s v="S GAUTAM STORE"/>
    <x v="0"/>
    <x v="0"/>
    <n v="-1"/>
    <n v="-180"/>
    <n v="64.23"/>
    <n v="-11561.4"/>
    <n v="1050.9299999999998"/>
    <n v="0"/>
    <n v="-1366.3613029999999"/>
    <n v="-11876.831303000001"/>
  </r>
  <r>
    <x v="90"/>
    <x v="8"/>
    <x v="2"/>
    <x v="0"/>
    <s v="KESR/0032/82-83"/>
    <s v="S GAUTAM STORE"/>
    <x v="0"/>
    <x v="48"/>
    <n v="-1"/>
    <n v="-180"/>
    <n v="81.14"/>
    <n v="-14605.199999999999"/>
    <n v="1327.61"/>
    <n v="0"/>
    <n v="-1726.086957"/>
    <n v="-15003.676957"/>
  </r>
  <r>
    <x v="90"/>
    <x v="8"/>
    <x v="2"/>
    <x v="0"/>
    <s v="KESR/0032/82-83"/>
    <s v="S GAUTAM STORE"/>
    <x v="0"/>
    <x v="9"/>
    <n v="-1"/>
    <n v="-180"/>
    <n v="70.989999999999995"/>
    <n v="-12778.2"/>
    <n v="1161.54"/>
    <n v="0"/>
    <n v="-1510.166025"/>
    <n v="-13126.826025"/>
  </r>
  <r>
    <x v="90"/>
    <x v="8"/>
    <x v="2"/>
    <x v="0"/>
    <s v="KESR/0032/82-83"/>
    <s v="S GAUTAM STORE"/>
    <x v="4"/>
    <x v="30"/>
    <n v="-1"/>
    <n v="-60"/>
    <n v="98.03"/>
    <n v="-5881.8"/>
    <n v="534.66"/>
    <n v="0"/>
    <n v="-695.12830299999996"/>
    <n v="-6042.2683029999998"/>
  </r>
  <r>
    <x v="90"/>
    <x v="8"/>
    <x v="2"/>
    <x v="0"/>
    <s v="KESR/0032/82-83"/>
    <s v="S GAUTAM STORE"/>
    <x v="0"/>
    <x v="18"/>
    <n v="-0.53"/>
    <n v="-64"/>
    <n v="141.97"/>
    <n v="-9086.08"/>
    <n v="825.92"/>
    <n v="0"/>
    <n v="-1073.82096"/>
    <n v="-9333.9809600000008"/>
  </r>
  <r>
    <x v="90"/>
    <x v="8"/>
    <x v="2"/>
    <x v="0"/>
    <s v="KESR/0032/82-83"/>
    <s v="S GAUTAM STORE"/>
    <x v="3"/>
    <x v="25"/>
    <n v="-1"/>
    <n v="-48"/>
    <n v="310.99"/>
    <n v="-14927.519999999999"/>
    <n v="1356.91"/>
    <n v="0"/>
    <n v="-1764.1795629999999"/>
    <n v="-15334.789563"/>
  </r>
  <r>
    <x v="90"/>
    <x v="8"/>
    <x v="2"/>
    <x v="0"/>
    <s v="KESR/0032/82-83"/>
    <s v="S GAUTAM STORE"/>
    <x v="3"/>
    <x v="31"/>
    <n v="-0.25"/>
    <n v="-18"/>
    <n v="148.72999999999999"/>
    <n v="-2677.14"/>
    <n v="243.35"/>
    <n v="0"/>
    <n v="-316.39274700000004"/>
    <n v="-2750.1827469999998"/>
  </r>
  <r>
    <x v="90"/>
    <x v="8"/>
    <x v="2"/>
    <x v="0"/>
    <s v="KESR/0032/82-83"/>
    <s v="S GAUTAM STORE"/>
    <x v="4"/>
    <x v="29"/>
    <n v="-1"/>
    <n v="-120"/>
    <n v="57.46"/>
    <n v="-6895.2"/>
    <n v="626.77"/>
    <n v="0"/>
    <n v="-814.89602100000002"/>
    <n v="-7083.3260209999999"/>
  </r>
  <r>
    <x v="90"/>
    <x v="8"/>
    <x v="2"/>
    <x v="0"/>
    <s v="KESR/0032/82-83"/>
    <s v="S GAUTAM STORE"/>
    <x v="2"/>
    <x v="7"/>
    <n v="-1"/>
    <n v="-120"/>
    <n v="152.11000000000001"/>
    <n v="-18253.2"/>
    <n v="1659.2199999999998"/>
    <n v="0"/>
    <n v="-2157.217721"/>
    <n v="-18751.197721"/>
  </r>
  <r>
    <x v="90"/>
    <x v="8"/>
    <x v="2"/>
    <x v="0"/>
    <s v="KESR/0032/82-83"/>
    <s v="S GAUTAM STORE"/>
    <x v="0"/>
    <x v="42"/>
    <n v="-1"/>
    <n v="-120"/>
    <n v="94.65"/>
    <n v="-11358"/>
    <n v="1032.44"/>
    <n v="0"/>
    <n v="-1342.3230000000001"/>
    <n v="-11667.883"/>
  </r>
  <r>
    <x v="90"/>
    <x v="8"/>
    <x v="2"/>
    <x v="0"/>
    <s v="KESR/0032/82-83"/>
    <s v="S GAUTAM STORE"/>
    <x v="0"/>
    <x v="32"/>
    <n v="-1"/>
    <n v="-120"/>
    <n v="64.23"/>
    <n v="-7707.5999999999995"/>
    <n v="700.62"/>
    <n v="0"/>
    <n v="-910.90753599999994"/>
    <n v="-7917.8875360000002"/>
  </r>
  <r>
    <x v="91"/>
    <x v="8"/>
    <x v="2"/>
    <x v="0"/>
    <s v="KEPL/01482/82-83"/>
    <s v="MEGA MART PVT.LTD"/>
    <x v="3"/>
    <x v="31"/>
    <n v="1"/>
    <n v="72"/>
    <n v="140.18"/>
    <n v="10092.959999999999"/>
    <n v="0"/>
    <n v="0"/>
    <n v="1312.08"/>
    <n v="11405.04"/>
  </r>
  <r>
    <x v="91"/>
    <x v="8"/>
    <x v="2"/>
    <x v="0"/>
    <s v="KEPL/01486/82-83"/>
    <s v="BEERA BARJEE INTERNATIONAL PVT.LTD"/>
    <x v="1"/>
    <x v="4"/>
    <n v="1"/>
    <n v="40"/>
    <n v="260.27999999999997"/>
    <n v="10411.200000000001"/>
    <n v="-946.38"/>
    <n v="0"/>
    <n v="1230.4271920000001"/>
    <n v="10695.247192000001"/>
  </r>
  <r>
    <x v="91"/>
    <x v="8"/>
    <x v="2"/>
    <x v="0"/>
    <s v="KEPL/01486/82-83"/>
    <s v="BEERA BARJEE INTERNATIONAL PVT.LTD"/>
    <x v="4"/>
    <x v="30"/>
    <n v="1"/>
    <n v="60"/>
    <n v="98.03"/>
    <n v="5881.8"/>
    <n v="-534.66"/>
    <n v="0"/>
    <n v="695.12853400000006"/>
    <n v="6042.2685339999998"/>
  </r>
  <r>
    <x v="91"/>
    <x v="8"/>
    <x v="2"/>
    <x v="0"/>
    <s v="KEPL/01486/82-83"/>
    <s v="BEERA BARJEE INTERNATIONAL PVT.LTD"/>
    <x v="5"/>
    <x v="43"/>
    <n v="1"/>
    <n v="60"/>
    <n v="148.72999999999999"/>
    <n v="8923.8000000000011"/>
    <n v="-811.17"/>
    <n v="0"/>
    <n v="1054.642407"/>
    <n v="9167.2724070000004"/>
  </r>
  <r>
    <x v="91"/>
    <x v="8"/>
    <x v="2"/>
    <x v="0"/>
    <s v="KEPL/01486/82-83"/>
    <s v="BEERA BARJEE INTERNATIONAL PVT.LTD"/>
    <x v="3"/>
    <x v="26"/>
    <n v="1"/>
    <n v="72"/>
    <n v="131.83000000000001"/>
    <n v="9491.76"/>
    <n v="-862.8"/>
    <n v="0"/>
    <n v="1121.7653399999999"/>
    <n v="9750.7253400000009"/>
  </r>
  <r>
    <x v="91"/>
    <x v="8"/>
    <x v="2"/>
    <x v="0"/>
    <s v="KEPL/01486/82-83"/>
    <s v="BEERA BARJEE INTERNATIONAL PVT.LTD"/>
    <x v="0"/>
    <x v="9"/>
    <n v="1"/>
    <n v="180"/>
    <n v="70.989999999999995"/>
    <n v="12778.2"/>
    <n v="-1161.54"/>
    <n v="0"/>
    <n v="1510.1665270000001"/>
    <n v="13126.826526999999"/>
  </r>
  <r>
    <x v="91"/>
    <x v="8"/>
    <x v="2"/>
    <x v="0"/>
    <s v="KEPL/01487/82-83"/>
    <s v="DINESH TRADING HOUSE"/>
    <x v="0"/>
    <x v="9"/>
    <n v="0.06"/>
    <n v="10"/>
    <n v="70.989999999999995"/>
    <n v="709.9"/>
    <n v="-64.53"/>
    <n v="0"/>
    <n v="83.897925000000001"/>
    <n v="729.26792499999999"/>
  </r>
  <r>
    <x v="91"/>
    <x v="8"/>
    <x v="2"/>
    <x v="0"/>
    <s v="KEPL/01487/82-83"/>
    <s v="DINESH TRADING HOUSE"/>
    <x v="0"/>
    <x v="11"/>
    <n v="0.11"/>
    <n v="20"/>
    <n v="64.23"/>
    <n v="1284.5999999999999"/>
    <n v="-116.77"/>
    <n v="0"/>
    <n v="151.81758300000001"/>
    <n v="1319.6475829999999"/>
  </r>
  <r>
    <x v="91"/>
    <x v="8"/>
    <x v="2"/>
    <x v="0"/>
    <s v="KEPL/01487/82-83"/>
    <s v="DINESH TRADING HOUSE"/>
    <x v="0"/>
    <x v="32"/>
    <n v="0.08"/>
    <n v="10"/>
    <n v="64.23"/>
    <n v="642.29999999999995"/>
    <n v="-58.39"/>
    <n v="0"/>
    <n v="75.908142000000012"/>
    <n v="659.81814199999997"/>
  </r>
  <r>
    <x v="91"/>
    <x v="8"/>
    <x v="2"/>
    <x v="0"/>
    <s v="KEPL/01487/82-83"/>
    <s v="DINESH TRADING HOUSE"/>
    <x v="2"/>
    <x v="33"/>
    <n v="0.06"/>
    <n v="10"/>
    <n v="91.27"/>
    <n v="912.7"/>
    <n v="-82.96"/>
    <n v="0"/>
    <n v="107.86597500000001"/>
    <n v="937.60597499999994"/>
  </r>
  <r>
    <x v="91"/>
    <x v="8"/>
    <x v="2"/>
    <x v="0"/>
    <s v="KEPL/01487/82-83"/>
    <s v="DINESH TRADING HOUSE"/>
    <x v="0"/>
    <x v="0"/>
    <n v="0.22"/>
    <n v="40"/>
    <n v="62.21"/>
    <n v="2488.4"/>
    <n v="-226.2"/>
    <n v="0"/>
    <n v="294.08538599999997"/>
    <n v="2556.285386"/>
  </r>
  <r>
    <x v="91"/>
    <x v="8"/>
    <x v="2"/>
    <x v="0"/>
    <s v="KEPL/01487/82-83"/>
    <s v="DINESH TRADING HOUSE"/>
    <x v="0"/>
    <x v="16"/>
    <n v="0.33"/>
    <n v="40"/>
    <n v="121.69"/>
    <n v="4867.5999999999995"/>
    <n v="-442.46"/>
    <n v="0"/>
    <n v="575.26699899999994"/>
    <n v="5000.4069989999998"/>
  </r>
  <r>
    <x v="91"/>
    <x v="8"/>
    <x v="2"/>
    <x v="0"/>
    <s v="KEPL/01487/82-83"/>
    <s v="DINESH TRADING HOUSE"/>
    <x v="0"/>
    <x v="45"/>
    <n v="0.13"/>
    <n v="10"/>
    <n v="141.97"/>
    <n v="1419.6999999999998"/>
    <n v="-129.05000000000001"/>
    <n v="0"/>
    <n v="167.78415000000001"/>
    <n v="1458.43415"/>
  </r>
  <r>
    <x v="91"/>
    <x v="8"/>
    <x v="2"/>
    <x v="0"/>
    <s v="KEPL/01487/82-83"/>
    <s v="DINESH TRADING HOUSE"/>
    <x v="2"/>
    <x v="34"/>
    <n v="0.13"/>
    <n v="10"/>
    <n v="229.86"/>
    <n v="2298.6"/>
    <n v="-208.94"/>
    <n v="0"/>
    <n v="271.65523300000001"/>
    <n v="2361.3152329999998"/>
  </r>
  <r>
    <x v="91"/>
    <x v="8"/>
    <x v="2"/>
    <x v="0"/>
    <s v="KEPL/01487/82-83"/>
    <s v="DINESH TRADING HOUSE"/>
    <x v="0"/>
    <x v="36"/>
    <n v="0.25"/>
    <n v="20"/>
    <n v="155.49"/>
    <n v="3109.7999999999997"/>
    <n v="-282.68"/>
    <n v="0"/>
    <n v="367.524833"/>
    <n v="3194.6448329999998"/>
  </r>
  <r>
    <x v="91"/>
    <x v="8"/>
    <x v="2"/>
    <x v="0"/>
    <s v="KEPL/01487/82-83"/>
    <s v="DINESH TRADING HOUSE"/>
    <x v="0"/>
    <x v="2"/>
    <n v="0.11"/>
    <n v="20"/>
    <n v="64.23"/>
    <n v="1284.5999999999999"/>
    <n v="-116.77"/>
    <n v="0"/>
    <n v="151.81758300000001"/>
    <n v="1319.6475829999999"/>
  </r>
  <r>
    <x v="91"/>
    <x v="8"/>
    <x v="2"/>
    <x v="0"/>
    <s v="KEPL/01487/82-83"/>
    <s v="DINESH TRADING HOUSE"/>
    <x v="0"/>
    <x v="38"/>
    <n v="0.08"/>
    <n v="10"/>
    <n v="84.51"/>
    <n v="845.1"/>
    <n v="-76.819999999999993"/>
    <n v="0"/>
    <n v="99.876192000000003"/>
    <n v="868.15619200000003"/>
  </r>
  <r>
    <x v="91"/>
    <x v="8"/>
    <x v="2"/>
    <x v="0"/>
    <s v="KEPL/01490/82-83"/>
    <s v="DS SPICECO L &amp; D"/>
    <x v="0"/>
    <x v="20"/>
    <n v="0.01"/>
    <n v="1"/>
    <n v="118.3"/>
    <n v="118.3"/>
    <n v="-10.75"/>
    <n v="0"/>
    <n v="13.981555"/>
    <n v="121.531555"/>
  </r>
  <r>
    <x v="91"/>
    <x v="8"/>
    <x v="2"/>
    <x v="0"/>
    <s v="KEPL/01490/82-83"/>
    <s v="DS SPICECO L &amp; D"/>
    <x v="0"/>
    <x v="42"/>
    <n v="0.01"/>
    <n v="1"/>
    <n v="94.65"/>
    <n v="94.65"/>
    <n v="-8.6"/>
    <n v="0"/>
    <n v="11.186544"/>
    <n v="97.236543999999995"/>
  </r>
  <r>
    <x v="91"/>
    <x v="8"/>
    <x v="2"/>
    <x v="0"/>
    <s v="KEPL/01490/82-83"/>
    <s v="DS SPICECO L &amp; D"/>
    <x v="2"/>
    <x v="23"/>
    <n v="0.01"/>
    <n v="1"/>
    <n v="158.87"/>
    <n v="158.87"/>
    <n v="-14.44"/>
    <n v="0"/>
    <n v="18.775973"/>
    <n v="163.205973"/>
  </r>
  <r>
    <x v="91"/>
    <x v="8"/>
    <x v="2"/>
    <x v="0"/>
    <s v="KEPL/01490/82-83"/>
    <s v="DS SPICECO L &amp; D"/>
    <x v="0"/>
    <x v="19"/>
    <n v="0.01"/>
    <n v="1"/>
    <n v="155.49"/>
    <n v="155.49"/>
    <n v="-14.13"/>
    <n v="0"/>
    <n v="18.376871999999999"/>
    <n v="159.73687200000001"/>
  </r>
  <r>
    <x v="91"/>
    <x v="8"/>
    <x v="2"/>
    <x v="0"/>
    <s v="KEPL/01490/82-83"/>
    <s v="DS SPICECO L &amp; D"/>
    <x v="0"/>
    <x v="27"/>
    <n v="0.01"/>
    <n v="1"/>
    <n v="114.93"/>
    <n v="114.93"/>
    <n v="-10.45"/>
    <n v="0"/>
    <n v="13.582452999999999"/>
    <n v="118.062453"/>
  </r>
  <r>
    <x v="91"/>
    <x v="8"/>
    <x v="2"/>
    <x v="0"/>
    <s v="KEPL/01490/82-83"/>
    <s v="DS SPICECO L &amp; D"/>
    <x v="1"/>
    <x v="1"/>
    <n v="0.01"/>
    <n v="1"/>
    <n v="108.17"/>
    <n v="108.17"/>
    <n v="-9.83"/>
    <n v="0"/>
    <n v="12.78425"/>
    <n v="111.12425"/>
  </r>
  <r>
    <x v="91"/>
    <x v="8"/>
    <x v="2"/>
    <x v="0"/>
    <s v="KEPL/01490/82-83"/>
    <s v="DS SPICECO L &amp; D"/>
    <x v="2"/>
    <x v="8"/>
    <n v="0.01"/>
    <n v="1"/>
    <n v="50.7"/>
    <n v="50.7"/>
    <n v="-4.6100000000000003"/>
    <n v="0"/>
    <n v="5.9917230000000004"/>
    <n v="52.081722999999997"/>
  </r>
  <r>
    <x v="91"/>
    <x v="8"/>
    <x v="2"/>
    <x v="0"/>
    <s v="KEPL/01490/82-83"/>
    <s v="DS SPICECO L &amp; D"/>
    <x v="0"/>
    <x v="41"/>
    <n v="0.01"/>
    <n v="1"/>
    <n v="158.86000000000001"/>
    <n v="158.86000000000001"/>
    <n v="-14.44"/>
    <n v="0"/>
    <n v="18.774673"/>
    <n v="163.19467299999999"/>
  </r>
  <r>
    <x v="91"/>
    <x v="8"/>
    <x v="2"/>
    <x v="0"/>
    <s v="KEPL/01490/82-83"/>
    <s v="DS SPICECO L &amp; D"/>
    <x v="0"/>
    <x v="17"/>
    <n v="0.01"/>
    <n v="1"/>
    <n v="118.3"/>
    <n v="118.3"/>
    <n v="-10.75"/>
    <n v="0"/>
    <n v="13.981555"/>
    <n v="121.531555"/>
  </r>
  <r>
    <x v="91"/>
    <x v="8"/>
    <x v="2"/>
    <x v="0"/>
    <s v="KEPL/01490/82-83"/>
    <s v="DS SPICECO L &amp; D"/>
    <x v="0"/>
    <x v="18"/>
    <n v="0.01"/>
    <n v="1"/>
    <n v="148.72999999999999"/>
    <n v="148.72999999999999"/>
    <n v="-13.52"/>
    <n v="0"/>
    <n v="17.577369000000001"/>
    <n v="152.78736900000001"/>
  </r>
  <r>
    <x v="91"/>
    <x v="8"/>
    <x v="2"/>
    <x v="0"/>
    <s v="KEPL/01490/82-83"/>
    <s v="DS SPICECO L &amp; D"/>
    <x v="0"/>
    <x v="16"/>
    <n v="0.01"/>
    <n v="1"/>
    <n v="118.3"/>
    <n v="118.3"/>
    <n v="-10.75"/>
    <n v="0"/>
    <n v="13.981555"/>
    <n v="121.531555"/>
  </r>
  <r>
    <x v="91"/>
    <x v="8"/>
    <x v="2"/>
    <x v="0"/>
    <s v="KEPL/01490/82-83"/>
    <s v="DS SPICECO L &amp; D"/>
    <x v="2"/>
    <x v="28"/>
    <n v="0.01"/>
    <n v="1"/>
    <n v="169.01"/>
    <n v="169.01"/>
    <n v="-15.36"/>
    <n v="0"/>
    <n v="19.974578000000001"/>
    <n v="173.62457800000001"/>
  </r>
  <r>
    <x v="91"/>
    <x v="8"/>
    <x v="2"/>
    <x v="0"/>
    <s v="KEPL/01490/82-83"/>
    <s v="DS SPICECO L &amp; D"/>
    <x v="2"/>
    <x v="22"/>
    <n v="0.03"/>
    <n v="1"/>
    <n v="283.94"/>
    <n v="283.94"/>
    <n v="-25.81"/>
    <n v="0"/>
    <n v="33.557031000000002"/>
    <n v="291.68703099999999"/>
  </r>
  <r>
    <x v="91"/>
    <x v="8"/>
    <x v="2"/>
    <x v="0"/>
    <s v="KEPL/01490/82-83"/>
    <s v="DS SPICECO L &amp; D"/>
    <x v="0"/>
    <x v="38"/>
    <n v="0.01"/>
    <n v="1"/>
    <n v="84.51"/>
    <n v="84.51"/>
    <n v="-7.68"/>
    <n v="0"/>
    <n v="9.9879390000000008"/>
    <n v="86.817938999999996"/>
  </r>
  <r>
    <x v="91"/>
    <x v="8"/>
    <x v="2"/>
    <x v="0"/>
    <s v="KEPL/01490/82-83"/>
    <s v="DS SPICECO L &amp; D"/>
    <x v="0"/>
    <x v="14"/>
    <n v="0.01"/>
    <n v="1"/>
    <n v="135.21"/>
    <n v="135.21"/>
    <n v="-12.29"/>
    <n v="0"/>
    <n v="15.979661999999999"/>
    <n v="138.89966200000001"/>
  </r>
  <r>
    <x v="91"/>
    <x v="8"/>
    <x v="2"/>
    <x v="0"/>
    <s v="KEPL/01490/82-83"/>
    <s v="DS SPICECO L &amp; D"/>
    <x v="0"/>
    <x v="44"/>
    <n v="0.01"/>
    <n v="1"/>
    <n v="121.7"/>
    <n v="121.7"/>
    <n v="-11.06"/>
    <n v="0"/>
    <n v="14.383255999999999"/>
    <n v="125.023256"/>
  </r>
  <r>
    <x v="91"/>
    <x v="8"/>
    <x v="2"/>
    <x v="0"/>
    <s v="KEPL/01490/82-83"/>
    <s v="DS SPICECO L &amp; D"/>
    <x v="4"/>
    <x v="30"/>
    <n v="0.02"/>
    <n v="1"/>
    <n v="98.03"/>
    <n v="98.03"/>
    <n v="-8.91"/>
    <n v="0"/>
    <n v="11.585645"/>
    <n v="100.705645"/>
  </r>
  <r>
    <x v="91"/>
    <x v="8"/>
    <x v="2"/>
    <x v="0"/>
    <s v="KEPL/01490/82-83"/>
    <s v="DS SPICECO L &amp; D"/>
    <x v="5"/>
    <x v="43"/>
    <n v="0.02"/>
    <n v="1"/>
    <n v="148.72999999999999"/>
    <n v="148.72999999999999"/>
    <n v="-13.52"/>
    <n v="0"/>
    <n v="17.577369000000001"/>
    <n v="152.78736900000001"/>
  </r>
  <r>
    <x v="91"/>
    <x v="8"/>
    <x v="2"/>
    <x v="0"/>
    <s v="KEPL/01491/82-83"/>
    <s v="DS SPICECO L &amp; D"/>
    <x v="2"/>
    <x v="24"/>
    <n v="0.03"/>
    <n v="1"/>
    <n v="439.44"/>
    <n v="439.44"/>
    <n v="-39.950000000000003"/>
    <n v="0"/>
    <n v="51.935147999999998"/>
    <n v="451.42514799999998"/>
  </r>
  <r>
    <x v="91"/>
    <x v="8"/>
    <x v="2"/>
    <x v="0"/>
    <s v="KEPL/01491/82-83"/>
    <s v="DS SPICECO L &amp; D"/>
    <x v="0"/>
    <x v="15"/>
    <n v="0.01"/>
    <n v="1"/>
    <n v="114.93"/>
    <n v="114.93"/>
    <n v="-10.45"/>
    <n v="0"/>
    <n v="13.582779"/>
    <n v="118.06277900000001"/>
  </r>
  <r>
    <x v="91"/>
    <x v="8"/>
    <x v="2"/>
    <x v="0"/>
    <s v="KEPL/01491/82-83"/>
    <s v="DS SPICECO L &amp; D"/>
    <x v="4"/>
    <x v="29"/>
    <n v="0.01"/>
    <n v="1"/>
    <n v="57.46"/>
    <n v="57.46"/>
    <n v="-5.22"/>
    <n v="0"/>
    <n v="6.7913889999999997"/>
    <n v="59.031388999999997"/>
  </r>
  <r>
    <x v="91"/>
    <x v="8"/>
    <x v="2"/>
    <x v="0"/>
    <s v="KEPL/01491/82-83"/>
    <s v="DS SPICECO L &amp; D"/>
    <x v="0"/>
    <x v="36"/>
    <n v="0.01"/>
    <n v="1"/>
    <n v="155.49"/>
    <n v="155.49"/>
    <n v="-14.13"/>
    <n v="0"/>
    <n v="18.377312"/>
    <n v="159.737312"/>
  </r>
  <r>
    <x v="91"/>
    <x v="8"/>
    <x v="2"/>
    <x v="0"/>
    <s v="KEPL/01491/82-83"/>
    <s v="DS SPICECO L &amp; D"/>
    <x v="0"/>
    <x v="35"/>
    <n v="0.01"/>
    <n v="1"/>
    <n v="169.01"/>
    <n v="169.01"/>
    <n v="-15.36"/>
    <n v="0"/>
    <n v="19.975057"/>
    <n v="173.625057"/>
  </r>
  <r>
    <x v="91"/>
    <x v="8"/>
    <x v="2"/>
    <x v="0"/>
    <s v="KEPL/01491/82-83"/>
    <s v="DS SPICECO L &amp; D"/>
    <x v="0"/>
    <x v="45"/>
    <n v="0.01"/>
    <n v="1"/>
    <n v="141.97"/>
    <n v="141.97"/>
    <n v="-12.91"/>
    <n v="0"/>
    <n v="16.778268000000001"/>
    <n v="145.838268"/>
  </r>
  <r>
    <x v="91"/>
    <x v="8"/>
    <x v="2"/>
    <x v="0"/>
    <s v="KEPL/01491/82-83"/>
    <s v="DS SPICECO L &amp; D"/>
    <x v="1"/>
    <x v="6"/>
    <n v="0.01"/>
    <n v="1"/>
    <n v="162.26"/>
    <n v="162.26"/>
    <n v="-14.75"/>
    <n v="0"/>
    <n v="19.176835000000001"/>
    <n v="166.686835"/>
  </r>
  <r>
    <x v="91"/>
    <x v="8"/>
    <x v="2"/>
    <x v="0"/>
    <s v="KEPL/01491/82-83"/>
    <s v="DS SPICECO L &amp; D"/>
    <x v="0"/>
    <x v="21"/>
    <n v="0.01"/>
    <n v="1"/>
    <n v="185.92"/>
    <n v="185.92"/>
    <n v="-16.899999999999999"/>
    <n v="0"/>
    <n v="21.973213000000001"/>
    <n v="190.993213"/>
  </r>
  <r>
    <x v="91"/>
    <x v="8"/>
    <x v="2"/>
    <x v="0"/>
    <s v="KEPL/01492/82-83"/>
    <s v="DS SPICECO L &amp; D"/>
    <x v="1"/>
    <x v="13"/>
    <n v="0.01"/>
    <n v="1"/>
    <n v="121.69"/>
    <n v="121.69"/>
    <n v="-11.06"/>
    <n v="0"/>
    <n v="0"/>
    <n v="110.63"/>
  </r>
  <r>
    <x v="91"/>
    <x v="8"/>
    <x v="2"/>
    <x v="0"/>
    <s v="KEPL/01493/82-83"/>
    <s v="BEERA BARJEE INTERNATIONAL PVT.LTD"/>
    <x v="1"/>
    <x v="13"/>
    <n v="1"/>
    <n v="100"/>
    <n v="121.69"/>
    <n v="12169"/>
    <n v="-1106.1600000000001"/>
    <n v="0"/>
    <n v="0"/>
    <n v="11062.84"/>
  </r>
  <r>
    <x v="92"/>
    <x v="8"/>
    <x v="2"/>
    <x v="0"/>
    <s v="KEPL/01509/82-83"/>
    <s v="MEGA MART PVT.LTD"/>
    <x v="3"/>
    <x v="26"/>
    <n v="1.33"/>
    <n v="96"/>
    <n v="124.25"/>
    <n v="11928"/>
    <n v="0"/>
    <n v="0"/>
    <n v="1550.64"/>
    <n v="13478.64"/>
  </r>
  <r>
    <x v="92"/>
    <x v="8"/>
    <x v="2"/>
    <x v="0"/>
    <s v="KEPL/01512/82-83"/>
    <s v="SUBHARAMBHA TRADING"/>
    <x v="2"/>
    <x v="22"/>
    <n v="1"/>
    <n v="40"/>
    <n v="283.94"/>
    <n v="11357.599999999999"/>
    <n v="-1032.4099999999999"/>
    <n v="0"/>
    <n v="1342.2746999999999"/>
    <n v="11667.4647"/>
  </r>
  <r>
    <x v="92"/>
    <x v="8"/>
    <x v="2"/>
    <x v="0"/>
    <s v="KEPL/01512/82-83"/>
    <s v="SUBHARAMBHA TRADING"/>
    <x v="2"/>
    <x v="7"/>
    <n v="2"/>
    <n v="240"/>
    <n v="152.11000000000001"/>
    <n v="36506.400000000001"/>
    <n v="-3318.43"/>
    <n v="0"/>
    <n v="4314.4360999999999"/>
    <n v="37502.4061"/>
  </r>
  <r>
    <x v="92"/>
    <x v="8"/>
    <x v="2"/>
    <x v="0"/>
    <s v="KEPL/01512/82-83"/>
    <s v="SUBHARAMBHA TRADING"/>
    <x v="1"/>
    <x v="6"/>
    <n v="1"/>
    <n v="100"/>
    <n v="162.26"/>
    <n v="16226"/>
    <n v="-1474.94"/>
    <n v="0"/>
    <n v="1917.6378000000002"/>
    <n v="16668.697800000002"/>
  </r>
  <r>
    <x v="92"/>
    <x v="8"/>
    <x v="2"/>
    <x v="0"/>
    <s v="KEPL/01512/82-83"/>
    <s v="SUBHARAMBHA TRADING"/>
    <x v="1"/>
    <x v="3"/>
    <n v="1"/>
    <n v="40"/>
    <n v="393.46"/>
    <n v="15738.4"/>
    <n v="-1430.6200000000001"/>
    <n v="0"/>
    <n v="1860.0113999999999"/>
    <n v="16167.7914"/>
  </r>
  <r>
    <x v="92"/>
    <x v="8"/>
    <x v="2"/>
    <x v="0"/>
    <s v="KEPL/01515/82-83"/>
    <s v="SUBHARAMBHA TRADING"/>
    <x v="1"/>
    <x v="12"/>
    <n v="1"/>
    <n v="40"/>
    <n v="336"/>
    <n v="13440"/>
    <n v="-1221.6999999999998"/>
    <n v="0"/>
    <n v="0"/>
    <n v="12218.3"/>
  </r>
  <r>
    <x v="92"/>
    <x v="8"/>
    <x v="2"/>
    <x v="0"/>
    <s v="KEPL/01515/82-83"/>
    <s v="SUBHARAMBHA TRADING"/>
    <x v="1"/>
    <x v="13"/>
    <n v="1"/>
    <n v="100"/>
    <n v="138"/>
    <n v="13800"/>
    <n v="-1254.4199999999998"/>
    <n v="0"/>
    <n v="0"/>
    <n v="12545.58"/>
  </r>
  <r>
    <x v="93"/>
    <x v="8"/>
    <x v="2"/>
    <x v="0"/>
    <s v="KEPL/01517/82-83"/>
    <s v="GORIN TRADING "/>
    <x v="0"/>
    <x v="11"/>
    <n v="0.5"/>
    <n v="90"/>
    <n v="64.23"/>
    <n v="5780.7"/>
    <n v="-525.47"/>
    <n v="0"/>
    <n v="683.17996000000005"/>
    <n v="5938.40996"/>
  </r>
  <r>
    <x v="93"/>
    <x v="8"/>
    <x v="2"/>
    <x v="0"/>
    <s v="KEPL/01517/82-83"/>
    <s v="GORIN TRADING "/>
    <x v="1"/>
    <x v="1"/>
    <n v="0.5"/>
    <n v="50"/>
    <n v="108.17"/>
    <n v="5408.5"/>
    <n v="-491.63"/>
    <n v="0"/>
    <n v="639.19315599999993"/>
    <n v="5556.0631560000002"/>
  </r>
  <r>
    <x v="93"/>
    <x v="8"/>
    <x v="2"/>
    <x v="0"/>
    <s v="KEPL/01517/82-83"/>
    <s v="GORIN TRADING "/>
    <x v="2"/>
    <x v="8"/>
    <n v="0.5"/>
    <n v="60"/>
    <n v="50.7"/>
    <n v="3042"/>
    <n v="-276.52"/>
    <n v="0"/>
    <n v="359.51243099999999"/>
    <n v="3124.9924310000001"/>
  </r>
  <r>
    <x v="93"/>
    <x v="8"/>
    <x v="2"/>
    <x v="0"/>
    <s v="KEPL/01517/82-83"/>
    <s v="GORIN TRADING "/>
    <x v="0"/>
    <x v="18"/>
    <n v="0.5"/>
    <n v="60"/>
    <n v="141.97"/>
    <n v="8518.2000000000007"/>
    <n v="-774.3"/>
    <n v="0"/>
    <n v="1006.7070879999999"/>
    <n v="8750.6070880000007"/>
  </r>
  <r>
    <x v="93"/>
    <x v="8"/>
    <x v="2"/>
    <x v="0"/>
    <s v="KEPL/01517/82-83"/>
    <s v="GORIN TRADING "/>
    <x v="2"/>
    <x v="7"/>
    <n v="0.5"/>
    <n v="60"/>
    <n v="152.11000000000001"/>
    <n v="9126.6"/>
    <n v="-829.6099999999999"/>
    <n v="0"/>
    <n v="1078.608794"/>
    <n v="9375.5987939999995"/>
  </r>
  <r>
    <x v="93"/>
    <x v="8"/>
    <x v="2"/>
    <x v="0"/>
    <s v="KEPL/01517/82-83"/>
    <s v="GORIN TRADING "/>
    <x v="0"/>
    <x v="9"/>
    <n v="0.5"/>
    <n v="90"/>
    <n v="70.989999999999995"/>
    <n v="6389.1"/>
    <n v="-580.77"/>
    <n v="0"/>
    <n v="755.08296600000006"/>
    <n v="6563.4129659999999"/>
  </r>
  <r>
    <x v="93"/>
    <x v="8"/>
    <x v="2"/>
    <x v="0"/>
    <s v="KEPL/01517/82-83"/>
    <s v="GORIN TRADING "/>
    <x v="1"/>
    <x v="6"/>
    <n v="0.5"/>
    <n v="50"/>
    <n v="162.26"/>
    <n v="8113"/>
    <n v="-737.47"/>
    <n v="0"/>
    <n v="958.818984"/>
    <n v="8334.3489840000002"/>
  </r>
  <r>
    <x v="93"/>
    <x v="8"/>
    <x v="2"/>
    <x v="0"/>
    <s v="KEPL/01517/82-83"/>
    <s v="GORIN TRADING "/>
    <x v="6"/>
    <x v="50"/>
    <n v="0.25"/>
    <n v="50"/>
    <n v="128.44999999999999"/>
    <n v="6422.5"/>
    <n v="-583.80999999999995"/>
    <n v="0"/>
    <n v="759.029766"/>
    <n v="6597.7197660000002"/>
  </r>
  <r>
    <x v="93"/>
    <x v="8"/>
    <x v="2"/>
    <x v="0"/>
    <s v="KEPL/01517/82-83"/>
    <s v="GORIN TRADING "/>
    <x v="0"/>
    <x v="32"/>
    <n v="0.5"/>
    <n v="60"/>
    <n v="64.23"/>
    <n v="3853.7999999999997"/>
    <n v="-350.31"/>
    <n v="0"/>
    <n v="455.45374000000004"/>
    <n v="3958.9437400000002"/>
  </r>
  <r>
    <x v="93"/>
    <x v="8"/>
    <x v="2"/>
    <x v="0"/>
    <s v="KEPL/01517/82-83"/>
    <s v="GORIN TRADING "/>
    <x v="0"/>
    <x v="10"/>
    <n v="0.5"/>
    <n v="90"/>
    <n v="60.84"/>
    <n v="5475.5999999999995"/>
    <n v="-497.73"/>
    <n v="0"/>
    <n v="647.12315599999999"/>
    <n v="5624.9931560000005"/>
  </r>
  <r>
    <x v="93"/>
    <x v="8"/>
    <x v="2"/>
    <x v="0"/>
    <s v="KEPL/01517/82-83"/>
    <s v="GORIN TRADING "/>
    <x v="0"/>
    <x v="2"/>
    <n v="0.5"/>
    <n v="90"/>
    <n v="64.23"/>
    <n v="5780.7"/>
    <n v="-525.47"/>
    <n v="0"/>
    <n v="683.17996000000005"/>
    <n v="5938.40996"/>
  </r>
  <r>
    <x v="93"/>
    <x v="8"/>
    <x v="2"/>
    <x v="0"/>
    <s v="KEPL/01518/82-83"/>
    <s v="MEGA MART PVT.LTD"/>
    <x v="3"/>
    <x v="31"/>
    <n v="1.33"/>
    <n v="96"/>
    <n v="140.18"/>
    <n v="13457.28"/>
    <n v="0"/>
    <n v="0"/>
    <n v="1749.45"/>
    <n v="15206.73"/>
  </r>
  <r>
    <x v="94"/>
    <x v="8"/>
    <x v="2"/>
    <x v="0"/>
    <s v="KEPL/01527/82-83"/>
    <s v="DS SPICECO L &amp; D"/>
    <x v="1"/>
    <x v="1"/>
    <n v="0.01"/>
    <n v="1"/>
    <n v="88.5"/>
    <n v="88.5"/>
    <n v="0"/>
    <n v="0"/>
    <n v="11.505029"/>
    <n v="100.00502899999999"/>
  </r>
  <r>
    <x v="94"/>
    <x v="8"/>
    <x v="2"/>
    <x v="0"/>
    <s v="KEPL/01527/82-83"/>
    <s v="DS SPICECO L &amp; D"/>
    <x v="2"/>
    <x v="5"/>
    <n v="0.01"/>
    <n v="2"/>
    <n v="78.540000000000006"/>
    <n v="157.08000000000001"/>
    <n v="0"/>
    <n v="0"/>
    <n v="20.420452000000001"/>
    <n v="177.500452"/>
  </r>
  <r>
    <x v="94"/>
    <x v="8"/>
    <x v="2"/>
    <x v="0"/>
    <s v="KEPL/01527/82-83"/>
    <s v="DS SPICECO L &amp; D"/>
    <x v="2"/>
    <x v="28"/>
    <n v="0.03"/>
    <n v="2"/>
    <n v="131.63"/>
    <n v="263.26"/>
    <n v="0"/>
    <n v="0"/>
    <n v="34.223888000000002"/>
    <n v="297.48388799999998"/>
  </r>
  <r>
    <x v="94"/>
    <x v="8"/>
    <x v="2"/>
    <x v="0"/>
    <s v="KEPL/01527/82-83"/>
    <s v="DS SPICECO L &amp; D"/>
    <x v="0"/>
    <x v="11"/>
    <n v="0.01"/>
    <n v="2"/>
    <n v="52.58"/>
    <n v="105.16"/>
    <n v="0"/>
    <n v="0"/>
    <n v="13.670835"/>
    <n v="118.83083499999999"/>
  </r>
  <r>
    <x v="94"/>
    <x v="8"/>
    <x v="2"/>
    <x v="0"/>
    <s v="KEPL/01527/82-83"/>
    <s v="DS SPICECO L &amp; D"/>
    <x v="0"/>
    <x v="2"/>
    <n v="0.01"/>
    <n v="2"/>
    <n v="52.39"/>
    <n v="104.78"/>
    <n v="0"/>
    <n v="0"/>
    <n v="13.621435"/>
    <n v="118.40143500000001"/>
  </r>
  <r>
    <x v="94"/>
    <x v="8"/>
    <x v="2"/>
    <x v="0"/>
    <s v="KEPL/01527/82-83"/>
    <s v="DS SPICECO L &amp; D"/>
    <x v="0"/>
    <x v="0"/>
    <n v="0.01"/>
    <n v="1"/>
    <n v="52.16"/>
    <n v="52.16"/>
    <n v="0"/>
    <n v="0"/>
    <n v="6.7808169999999999"/>
    <n v="58.940817000000003"/>
  </r>
  <r>
    <x v="94"/>
    <x v="8"/>
    <x v="2"/>
    <x v="0"/>
    <s v="KEPL/01527/82-83"/>
    <s v="DS SPICECO L &amp; D"/>
    <x v="1"/>
    <x v="6"/>
    <n v="0.02"/>
    <n v="2"/>
    <n v="156.75"/>
    <n v="313.5"/>
    <n v="0"/>
    <n v="0"/>
    <n v="40.755104000000003"/>
    <n v="354.25510400000002"/>
  </r>
  <r>
    <x v="94"/>
    <x v="8"/>
    <x v="2"/>
    <x v="0"/>
    <s v="KEPL/01527/82-83"/>
    <s v="DS SPICECO L &amp; D"/>
    <x v="1"/>
    <x v="4"/>
    <n v="0.05"/>
    <n v="2"/>
    <n v="212.96"/>
    <n v="425.92"/>
    <n v="0"/>
    <n v="0"/>
    <n v="55.369742000000002"/>
    <n v="481.28974199999999"/>
  </r>
  <r>
    <x v="94"/>
    <x v="8"/>
    <x v="2"/>
    <x v="0"/>
    <s v="KEPL/01527/82-83"/>
    <s v="DS SPICECO L &amp; D"/>
    <x v="0"/>
    <x v="19"/>
    <n v="0.01"/>
    <n v="2"/>
    <n v="126.08"/>
    <n v="252.16"/>
    <n v="0"/>
    <n v="0"/>
    <n v="32.780884"/>
    <n v="284.94088399999998"/>
  </r>
  <r>
    <x v="94"/>
    <x v="8"/>
    <x v="2"/>
    <x v="0"/>
    <s v="KEPL/01527/82-83"/>
    <s v="DS SPICECO L &amp; D"/>
    <x v="2"/>
    <x v="7"/>
    <n v="0.02"/>
    <n v="2"/>
    <n v="122.89"/>
    <n v="245.78"/>
    <n v="0"/>
    <n v="0"/>
    <n v="31.951481999999999"/>
    <n v="277.73148200000003"/>
  </r>
  <r>
    <x v="94"/>
    <x v="8"/>
    <x v="2"/>
    <x v="0"/>
    <s v="KEPL/01527/82-83"/>
    <s v="DS SPICECO L &amp; D"/>
    <x v="0"/>
    <x v="16"/>
    <n v="0.02"/>
    <n v="2"/>
    <n v="99.05"/>
    <n v="198.1"/>
    <n v="0"/>
    <n v="0"/>
    <n v="25.753066"/>
    <n v="223.85306600000001"/>
  </r>
  <r>
    <x v="94"/>
    <x v="8"/>
    <x v="2"/>
    <x v="0"/>
    <s v="KEPL/01527/82-83"/>
    <s v="DS SPICECO L &amp; D"/>
    <x v="1"/>
    <x v="3"/>
    <n v="0.05"/>
    <n v="2"/>
    <n v="380.66"/>
    <n v="761.32"/>
    <n v="0"/>
    <n v="0"/>
    <n v="98.971852999999996"/>
    <n v="860.29185299999995"/>
  </r>
  <r>
    <x v="94"/>
    <x v="8"/>
    <x v="2"/>
    <x v="0"/>
    <s v="KEPL/01527/82-83"/>
    <s v="DS SPICECO L &amp; D"/>
    <x v="0"/>
    <x v="15"/>
    <n v="0.01"/>
    <n v="2"/>
    <n v="93.7"/>
    <n v="187.4"/>
    <n v="0"/>
    <n v="0"/>
    <n v="24.362062000000002"/>
    <n v="211.76206199999999"/>
  </r>
  <r>
    <x v="94"/>
    <x v="8"/>
    <x v="2"/>
    <x v="0"/>
    <s v="KEPL/01527/82-83"/>
    <s v="DS SPICECO L &amp; D"/>
    <x v="0"/>
    <x v="0"/>
    <n v="0.01"/>
    <n v="1"/>
    <n v="52.16"/>
    <n v="52.16"/>
    <n v="0"/>
    <n v="0"/>
    <n v="6.7808169999999999"/>
    <n v="58.940817000000003"/>
  </r>
  <r>
    <x v="94"/>
    <x v="8"/>
    <x v="2"/>
    <x v="0"/>
    <s v="KEPL/01527/82-83"/>
    <s v="DS SPICECO L &amp; D"/>
    <x v="1"/>
    <x v="1"/>
    <n v="0.01"/>
    <n v="1"/>
    <n v="88.5"/>
    <n v="88.5"/>
    <n v="0"/>
    <n v="0"/>
    <n v="11.505029"/>
    <n v="100.00502899999999"/>
  </r>
  <r>
    <x v="94"/>
    <x v="8"/>
    <x v="2"/>
    <x v="0"/>
    <s v="KEPL/01527/82-83"/>
    <s v="DS SPICECO L &amp; D"/>
    <x v="0"/>
    <x v="18"/>
    <n v="0.02"/>
    <n v="2"/>
    <n v="114.26"/>
    <n v="228.52"/>
    <n v="0"/>
    <n v="0"/>
    <n v="29.707675999999999"/>
    <n v="258.22767599999997"/>
  </r>
  <r>
    <x v="94"/>
    <x v="8"/>
    <x v="2"/>
    <x v="0"/>
    <s v="KEPL/01527/82-83"/>
    <s v="DS SPICECO L &amp; D"/>
    <x v="2"/>
    <x v="22"/>
    <n v="0.05"/>
    <n v="2"/>
    <n v="242.88"/>
    <n v="485.76"/>
    <n v="0"/>
    <n v="0"/>
    <n v="63.148961999999997"/>
    <n v="548.90896199999997"/>
  </r>
  <r>
    <x v="94"/>
    <x v="8"/>
    <x v="2"/>
    <x v="0"/>
    <s v="KEPL/01527/82-83"/>
    <s v="DS SPICECO L &amp; D"/>
    <x v="0"/>
    <x v="10"/>
    <n v="0.01"/>
    <n v="2"/>
    <n v="49.98"/>
    <n v="99.96"/>
    <n v="0"/>
    <n v="0"/>
    <n v="12.994833"/>
    <n v="112.95483299999999"/>
  </r>
  <r>
    <x v="94"/>
    <x v="8"/>
    <x v="2"/>
    <x v="0"/>
    <s v="KEPL/01527/82-83"/>
    <s v="DS SPICECO L &amp; D"/>
    <x v="0"/>
    <x v="21"/>
    <n v="0.03"/>
    <n v="2"/>
    <n v="154.26"/>
    <n v="308.52"/>
    <n v="0"/>
    <n v="0"/>
    <n v="40.107703000000001"/>
    <n v="348.627703"/>
  </r>
  <r>
    <x v="94"/>
    <x v="8"/>
    <x v="2"/>
    <x v="0"/>
    <s v="KEPL/01527/82-83"/>
    <s v="DS SPICECO L &amp; D"/>
    <x v="0"/>
    <x v="17"/>
    <n v="0.01"/>
    <n v="2"/>
    <n v="98.93"/>
    <n v="197.86"/>
    <n v="0"/>
    <n v="0"/>
    <n v="25.721865999999999"/>
    <n v="223.58186599999999"/>
  </r>
  <r>
    <x v="94"/>
    <x v="8"/>
    <x v="2"/>
    <x v="0"/>
    <s v="KEPL/01527/82-83"/>
    <s v="DS SPICECO L &amp; D"/>
    <x v="0"/>
    <x v="27"/>
    <n v="0.02"/>
    <n v="2"/>
    <n v="97.64"/>
    <n v="195.28"/>
    <n v="0"/>
    <n v="0"/>
    <n v="25.386465000000001"/>
    <n v="220.66646499999999"/>
  </r>
  <r>
    <x v="94"/>
    <x v="8"/>
    <x v="2"/>
    <x v="0"/>
    <s v="KEPL/01528/82-83"/>
    <s v="DS SPICECO L &amp; D"/>
    <x v="1"/>
    <x v="13"/>
    <n v="0.02"/>
    <n v="2"/>
    <n v="107.15"/>
    <n v="214.3"/>
    <s v=""/>
    <s v=""/>
    <s v=""/>
    <n v="214.3"/>
  </r>
  <r>
    <x v="94"/>
    <x v="8"/>
    <x v="2"/>
    <x v="0"/>
    <s v="KEPL/01528/82-83"/>
    <s v="DS SPICECO L &amp; D"/>
    <x v="1"/>
    <x v="12"/>
    <n v="0.05"/>
    <n v="2"/>
    <n v="253.25"/>
    <n v="506.5"/>
    <s v=""/>
    <s v=""/>
    <s v=""/>
    <n v="506.5"/>
  </r>
  <r>
    <x v="94"/>
    <x v="8"/>
    <x v="2"/>
    <x v="0"/>
    <s v="KEPL/01529/82-83"/>
    <s v="BHAT BHATENI SUPERMARKET &amp; DEPARTMENTAL STORE PVT. LTD."/>
    <x v="2"/>
    <x v="28"/>
    <n v="2"/>
    <n v="160"/>
    <n v="154.87"/>
    <n v="24779.200000000001"/>
    <n v="0"/>
    <n v="0"/>
    <n v="3221.296151"/>
    <n v="28000.496150999999"/>
  </r>
  <r>
    <x v="94"/>
    <x v="8"/>
    <x v="2"/>
    <x v="0"/>
    <s v="KEPL/01529/82-83"/>
    <s v="BHAT BHATENI SUPERMARKET &amp; DEPARTMENTAL STORE PVT. LTD."/>
    <x v="6"/>
    <x v="49"/>
    <n v="1.17"/>
    <n v="140"/>
    <n v="229.2"/>
    <n v="32088.000000000004"/>
    <n v="0"/>
    <n v="0"/>
    <n v="4171.4401950000001"/>
    <n v="36259.440195000003"/>
  </r>
  <r>
    <x v="94"/>
    <x v="8"/>
    <x v="2"/>
    <x v="0"/>
    <s v="KEPL/01529/82-83"/>
    <s v="BHAT BHATENI SUPERMARKET &amp; DEPARTMENTAL STORE PVT. LTD."/>
    <x v="2"/>
    <x v="22"/>
    <n v="6"/>
    <n v="240"/>
    <n v="260.18"/>
    <n v="62443.200000000004"/>
    <n v="0"/>
    <n v="0"/>
    <n v="8117.6163800000004"/>
    <n v="70560.816380000004"/>
  </r>
  <r>
    <x v="94"/>
    <x v="8"/>
    <x v="2"/>
    <x v="0"/>
    <s v="KEPL/01529/82-83"/>
    <s v="BHAT BHATENI SUPERMARKET &amp; DEPARTMENTAL STORE PVT. LTD."/>
    <x v="1"/>
    <x v="4"/>
    <n v="1"/>
    <n v="40"/>
    <n v="238.5"/>
    <n v="9539.9999999999982"/>
    <n v="0"/>
    <n v="0"/>
    <n v="1240.2000579999999"/>
    <n v="10780.200058"/>
  </r>
  <r>
    <x v="94"/>
    <x v="8"/>
    <x v="2"/>
    <x v="0"/>
    <s v="KEPL/01529/82-83"/>
    <s v="BHAT BHATENI SUPERMARKET &amp; DEPARTMENTAL STORE PVT. LTD."/>
    <x v="2"/>
    <x v="7"/>
    <n v="4.5"/>
    <n v="540"/>
    <n v="136.28"/>
    <n v="73591.199999999997"/>
    <n v="0"/>
    <n v="0"/>
    <n v="9566.8564479999986"/>
    <n v="83158.056448000003"/>
  </r>
  <r>
    <x v="94"/>
    <x v="8"/>
    <x v="2"/>
    <x v="0"/>
    <s v="KEPL/01529/82-83"/>
    <s v="BHAT BHATENI SUPERMARKET &amp; DEPARTMENTAL STORE PVT. LTD."/>
    <x v="0"/>
    <x v="11"/>
    <n v="0.28000000000000003"/>
    <n v="50"/>
    <n v="56.99"/>
    <n v="2849.5"/>
    <n v="0"/>
    <n v="0"/>
    <n v="370.43501700000002"/>
    <n v="3219.9350169999998"/>
  </r>
  <r>
    <x v="94"/>
    <x v="8"/>
    <x v="2"/>
    <x v="0"/>
    <s v="KEPL/01529/82-83"/>
    <s v="BHAT BHATENI SUPERMARKET &amp; DEPARTMENTAL STORE PVT. LTD."/>
    <x v="0"/>
    <x v="9"/>
    <n v="0.28000000000000003"/>
    <n v="50"/>
    <n v="65.040000000000006"/>
    <n v="3252"/>
    <n v="0"/>
    <n v="0"/>
    <n v="422.76002"/>
    <n v="3674.7600200000002"/>
  </r>
  <r>
    <x v="94"/>
    <x v="8"/>
    <x v="2"/>
    <x v="0"/>
    <s v="KEPL/01529/82-83"/>
    <s v="BHAT BHATENI SUPERMARKET &amp; DEPARTMENTAL STORE PVT. LTD."/>
    <x v="2"/>
    <x v="23"/>
    <n v="2"/>
    <n v="360"/>
    <n v="145.58000000000001"/>
    <n v="52408.799999999996"/>
    <n v="0"/>
    <n v="0"/>
    <n v="6813.144319"/>
    <n v="59221.944319000002"/>
  </r>
  <r>
    <x v="94"/>
    <x v="8"/>
    <x v="2"/>
    <x v="0"/>
    <s v="KEPL/01529/82-83"/>
    <s v="BHAT BHATENI SUPERMARKET &amp; DEPARTMENTAL STORE PVT. LTD."/>
    <x v="1"/>
    <x v="1"/>
    <n v="0.6"/>
    <n v="60"/>
    <n v="99.12"/>
    <n v="5947.2"/>
    <n v="0"/>
    <n v="0"/>
    <n v="773.13603599999999"/>
    <n v="6720.3360359999997"/>
  </r>
  <r>
    <x v="94"/>
    <x v="8"/>
    <x v="2"/>
    <x v="0"/>
    <s v="KEPL/01529/82-83"/>
    <s v="BHAT BHATENI SUPERMARKET &amp; DEPARTMENTAL STORE PVT. LTD."/>
    <x v="0"/>
    <x v="14"/>
    <n v="0.5"/>
    <n v="90"/>
    <n v="123.89"/>
    <n v="11150.1"/>
    <n v="0"/>
    <n v="0"/>
    <n v="1449.513068"/>
    <n v="12599.613068000001"/>
  </r>
  <r>
    <x v="94"/>
    <x v="8"/>
    <x v="2"/>
    <x v="0"/>
    <s v="KEPL/01529/82-83"/>
    <s v="BHAT BHATENI SUPERMARKET &amp; DEPARTMENTAL STORE PVT. LTD."/>
    <x v="2"/>
    <x v="5"/>
    <n v="1"/>
    <n v="180"/>
    <n v="74.34"/>
    <n v="13381.199999999999"/>
    <n v="0"/>
    <n v="0"/>
    <n v="1739.5560809999999"/>
    <n v="15120.756081"/>
  </r>
  <r>
    <x v="94"/>
    <x v="8"/>
    <x v="2"/>
    <x v="0"/>
    <s v="KEPL/01529/82-83"/>
    <s v="BHAT BHATENI SUPERMARKET &amp; DEPARTMENTAL STORE PVT. LTD."/>
    <x v="5"/>
    <x v="43"/>
    <n v="2"/>
    <n v="120"/>
    <n v="136.28"/>
    <n v="16353.6"/>
    <n v="0"/>
    <n v="0"/>
    <n v="2125.9680989999997"/>
    <n v="18479.568099"/>
  </r>
  <r>
    <x v="94"/>
    <x v="8"/>
    <x v="2"/>
    <x v="0"/>
    <s v="KEPL/01529/82-83"/>
    <s v="BHAT BHATENI SUPERMARKET &amp; DEPARTMENTAL STORE PVT. LTD."/>
    <x v="0"/>
    <x v="44"/>
    <n v="0.17"/>
    <n v="30"/>
    <n v="111.5"/>
    <n v="3344.9999999999995"/>
    <n v="0"/>
    <n v="0"/>
    <n v="434.85001999999997"/>
    <n v="3779.8500199999999"/>
  </r>
  <r>
    <x v="94"/>
    <x v="8"/>
    <x v="2"/>
    <x v="0"/>
    <s v="KEPL/01529/82-83"/>
    <s v="BHAT BHATENI SUPERMARKET &amp; DEPARTMENTAL STORE PVT. LTD."/>
    <x v="3"/>
    <x v="47"/>
    <n v="0.2"/>
    <n v="20"/>
    <n v="65.040000000000006"/>
    <n v="1300.8"/>
    <n v="0"/>
    <n v="0"/>
    <n v="169.10400799999999"/>
    <n v="1469.904008"/>
  </r>
  <r>
    <x v="94"/>
    <x v="8"/>
    <x v="2"/>
    <x v="0"/>
    <s v="KEPL/01529/82-83"/>
    <s v="BHAT BHATENI SUPERMARKET &amp; DEPARTMENTAL STORE PVT. LTD."/>
    <x v="6"/>
    <x v="50"/>
    <n v="0.35"/>
    <n v="70"/>
    <n v="117.7"/>
    <n v="8239"/>
    <n v="0"/>
    <n v="0"/>
    <n v="1071.07005"/>
    <n v="9310.0700500000003"/>
  </r>
  <r>
    <x v="94"/>
    <x v="8"/>
    <x v="2"/>
    <x v="0"/>
    <s v="KEPL/01529/82-83"/>
    <s v="BHAT BHATENI SUPERMARKET &amp; DEPARTMENTAL STORE PVT. LTD."/>
    <x v="0"/>
    <x v="18"/>
    <n v="0.5"/>
    <n v="60"/>
    <n v="136.28"/>
    <n v="8176.8"/>
    <n v="0"/>
    <n v="0"/>
    <n v="1062.98405"/>
    <n v="9239.7840500000002"/>
  </r>
  <r>
    <x v="94"/>
    <x v="8"/>
    <x v="2"/>
    <x v="0"/>
    <s v="KEPL/01530/82-83"/>
    <s v="BHAT BHATENI SUPERMARKET &amp; DEPARTMENTAL STORE PVT. LTD."/>
    <x v="0"/>
    <x v="27"/>
    <n v="0.5"/>
    <n v="60"/>
    <n v="105.31"/>
    <n v="6318.5999999999995"/>
    <n v="0"/>
    <n v="0"/>
    <n v="821.41819099999998"/>
    <n v="7140.0181910000001"/>
  </r>
  <r>
    <x v="94"/>
    <x v="8"/>
    <x v="2"/>
    <x v="0"/>
    <s v="KEPL/01530/82-83"/>
    <s v="BHAT BHATENI SUPERMARKET &amp; DEPARTMENTAL STORE PVT. LTD."/>
    <x v="0"/>
    <x v="0"/>
    <n v="0.28000000000000003"/>
    <n v="50"/>
    <n v="56.99"/>
    <n v="2849.5"/>
    <n v="0"/>
    <n v="0"/>
    <n v="370.43508600000001"/>
    <n v="3219.935086"/>
  </r>
  <r>
    <x v="94"/>
    <x v="8"/>
    <x v="2"/>
    <x v="0"/>
    <s v="KEPL/01530/82-83"/>
    <s v="BHAT BHATENI SUPERMARKET &amp; DEPARTMENTAL STORE PVT. LTD."/>
    <x v="0"/>
    <x v="2"/>
    <n v="0.5"/>
    <n v="90"/>
    <n v="56.99"/>
    <n v="5129.1000000000004"/>
    <n v="0"/>
    <n v="0"/>
    <n v="666.78315499999997"/>
    <n v="5795.8831550000004"/>
  </r>
  <r>
    <x v="94"/>
    <x v="8"/>
    <x v="2"/>
    <x v="0"/>
    <s v="KEPL/01530/82-83"/>
    <s v="BHAT BHATENI SUPERMARKET &amp; DEPARTMENTAL STORE PVT. LTD."/>
    <x v="0"/>
    <x v="32"/>
    <n v="0.5"/>
    <n v="60"/>
    <n v="58.85"/>
    <n v="3531.0000000000005"/>
    <n v="0"/>
    <n v="0"/>
    <n v="459.03010700000004"/>
    <n v="3990.030107"/>
  </r>
  <r>
    <x v="94"/>
    <x v="8"/>
    <x v="2"/>
    <x v="0"/>
    <s v="KEPL/01530/82-83"/>
    <s v="BHAT BHATENI SUPERMARKET &amp; DEPARTMENTAL STORE PVT. LTD."/>
    <x v="2"/>
    <x v="24"/>
    <n v="1.5"/>
    <n v="60"/>
    <n v="402.65"/>
    <n v="24158.999999999996"/>
    <n v="0"/>
    <n v="0"/>
    <n v="3140.6707299999998"/>
    <n v="27299.670730000002"/>
  </r>
  <r>
    <x v="94"/>
    <x v="8"/>
    <x v="2"/>
    <x v="0"/>
    <s v="KEPL/01530/82-83"/>
    <s v="BHAT BHATENI SUPERMARKET &amp; DEPARTMENTAL STORE PVT. LTD."/>
    <x v="3"/>
    <x v="31"/>
    <n v="2"/>
    <n v="144"/>
    <n v="136.28"/>
    <n v="19624.32"/>
    <n v="0"/>
    <n v="0"/>
    <n v="2551.1621929999997"/>
    <n v="22175.482193"/>
  </r>
  <r>
    <x v="94"/>
    <x v="8"/>
    <x v="2"/>
    <x v="0"/>
    <s v="KEPL/01530/82-83"/>
    <s v="BHAT BHATENI SUPERMARKET &amp; DEPARTMENTAL STORE PVT. LTD."/>
    <x v="1"/>
    <x v="6"/>
    <n v="1.6"/>
    <n v="160"/>
    <n v="148.66999999999999"/>
    <n v="23787.200000000001"/>
    <n v="0"/>
    <n v="0"/>
    <n v="3092.3367189999999"/>
    <n v="26879.536719"/>
  </r>
  <r>
    <x v="94"/>
    <x v="8"/>
    <x v="2"/>
    <x v="0"/>
    <s v="KEPL/01530/82-83"/>
    <s v="BHAT BHATENI SUPERMARKET &amp; DEPARTMENTAL STORE PVT. LTD."/>
    <x v="0"/>
    <x v="38"/>
    <n v="1"/>
    <n v="120"/>
    <n v="77.430000000000007"/>
    <n v="9291.6"/>
    <n v="0"/>
    <n v="0"/>
    <n v="1207.908281"/>
    <n v="10499.508281"/>
  </r>
  <r>
    <x v="94"/>
    <x v="8"/>
    <x v="2"/>
    <x v="0"/>
    <s v="KEPL/01530/82-83"/>
    <s v="BHAT BHATENI SUPERMARKET &amp; DEPARTMENTAL STORE PVT. LTD."/>
    <x v="3"/>
    <x v="46"/>
    <n v="0.7"/>
    <n v="70"/>
    <n v="89.82"/>
    <n v="6287.4"/>
    <n v="0"/>
    <n v="0"/>
    <n v="817.36218999999994"/>
    <n v="7104.7621900000004"/>
  </r>
  <r>
    <x v="94"/>
    <x v="8"/>
    <x v="2"/>
    <x v="0"/>
    <s v="KEPL/01530/82-83"/>
    <s v="BHAT BHATENI SUPERMARKET &amp; DEPARTMENTAL STORE PVT. LTD."/>
    <x v="0"/>
    <x v="45"/>
    <n v="0.25"/>
    <n v="20"/>
    <n v="130.09"/>
    <n v="2601.7999999999997"/>
    <n v="0"/>
    <n v="0"/>
    <n v="338.23407900000001"/>
    <n v="2940.034079"/>
  </r>
  <r>
    <x v="94"/>
    <x v="8"/>
    <x v="2"/>
    <x v="0"/>
    <s v="KEPL/01530/82-83"/>
    <s v="BHAT BHATENI SUPERMARKET &amp; DEPARTMENTAL STORE PVT. LTD."/>
    <x v="0"/>
    <x v="36"/>
    <n v="0.25"/>
    <n v="20"/>
    <n v="142.47999999999999"/>
    <n v="2849.6"/>
    <n v="0"/>
    <n v="0"/>
    <n v="370.44808599999999"/>
    <n v="3220.0480859999998"/>
  </r>
  <r>
    <x v="94"/>
    <x v="8"/>
    <x v="2"/>
    <x v="0"/>
    <s v="KEPL/01530/82-83"/>
    <s v="BHAT BHATENI SUPERMARKET &amp; DEPARTMENTAL STORE PVT. LTD."/>
    <x v="0"/>
    <x v="21"/>
    <n v="0.25"/>
    <n v="20"/>
    <n v="170.35"/>
    <n v="3407.0000000000005"/>
    <n v="0"/>
    <n v="0"/>
    <n v="442.91010299999999"/>
    <n v="3849.9101030000002"/>
  </r>
  <r>
    <x v="94"/>
    <x v="8"/>
    <x v="2"/>
    <x v="0"/>
    <s v="KEPL/01530/82-83"/>
    <s v="BHAT BHATENI SUPERMARKET &amp; DEPARTMENTAL STORE PVT. LTD."/>
    <x v="2"/>
    <x v="8"/>
    <n v="1.5"/>
    <n v="180"/>
    <n v="46.46"/>
    <n v="8362.8000000000011"/>
    <n v="0"/>
    <n v="0"/>
    <n v="1087.1642529999999"/>
    <n v="9449.9642530000001"/>
  </r>
  <r>
    <x v="94"/>
    <x v="8"/>
    <x v="2"/>
    <x v="0"/>
    <s v="KEPL/01530/82-83"/>
    <s v="BHAT BHATENI SUPERMARKET &amp; DEPARTMENTAL STORE PVT. LTD."/>
    <x v="0"/>
    <x v="15"/>
    <n v="0.11"/>
    <n v="20"/>
    <n v="105.31"/>
    <n v="2106.1999999999998"/>
    <n v="0"/>
    <n v="0"/>
    <n v="273.80606399999999"/>
    <n v="2380.0060640000002"/>
  </r>
  <r>
    <x v="94"/>
    <x v="8"/>
    <x v="2"/>
    <x v="0"/>
    <s v="KEPL/01530/82-83"/>
    <s v="BHAT BHATENI SUPERMARKET &amp; DEPARTMENTAL STORE PVT. LTD."/>
    <x v="4"/>
    <x v="29"/>
    <n v="0.67"/>
    <n v="80"/>
    <n v="52.65"/>
    <n v="4212"/>
    <n v="0"/>
    <n v="0"/>
    <n v="547.56012699999997"/>
    <n v="4759.5601269999997"/>
  </r>
  <r>
    <x v="94"/>
    <x v="8"/>
    <x v="2"/>
    <x v="0"/>
    <s v="KEPL/01530/82-83"/>
    <s v="BHAT BHATENI SUPERMARKET &amp; DEPARTMENTAL STORE PVT. LTD."/>
    <x v="2"/>
    <x v="34"/>
    <n v="1.25"/>
    <n v="100"/>
    <n v="210.62"/>
    <n v="21062"/>
    <n v="0"/>
    <n v="0"/>
    <n v="2738.060637"/>
    <n v="23800.060636999999"/>
  </r>
  <r>
    <x v="95"/>
    <x v="8"/>
    <x v="2"/>
    <x v="0"/>
    <s v="KEPL/01536/82-83"/>
    <s v="BHAT BHATENI SUPERMARKET &amp; DEPARTMENTAL STORE PVT. LTD."/>
    <x v="1"/>
    <x v="13"/>
    <n v="2.4"/>
    <n v="240"/>
    <n v="126"/>
    <n v="30240"/>
    <s v=""/>
    <s v=""/>
    <s v=""/>
    <n v="30240"/>
  </r>
  <r>
    <x v="95"/>
    <x v="8"/>
    <x v="2"/>
    <x v="0"/>
    <s v="KEPL/01536/82-83"/>
    <s v="BHAT BHATENI SUPERMARKET &amp; DEPARTMENTAL STORE PVT. LTD."/>
    <x v="1"/>
    <x v="12"/>
    <n v="4"/>
    <n v="160"/>
    <n v="308"/>
    <n v="49280"/>
    <s v=""/>
    <s v=""/>
    <s v=""/>
    <n v="49280"/>
  </r>
  <r>
    <x v="95"/>
    <x v="8"/>
    <x v="2"/>
    <x v="0"/>
    <s v="KEPL/01537/82-83"/>
    <s v="GORIN TRADING "/>
    <x v="2"/>
    <x v="8"/>
    <n v="1"/>
    <n v="120"/>
    <n v="50.7"/>
    <n v="6084"/>
    <n v="-553.04"/>
    <n v="0"/>
    <n v="719.02"/>
    <n v="6249.98"/>
  </r>
  <r>
    <x v="95"/>
    <x v="8"/>
    <x v="2"/>
    <x v="0"/>
    <s v="KEPL/01538/82-83"/>
    <s v="SAFAL MART PVT.LTD"/>
    <x v="0"/>
    <x v="19"/>
    <n v="1"/>
    <n v="180"/>
    <n v="155.49"/>
    <n v="27988.2"/>
    <n v="-2544.13"/>
    <n v="0"/>
    <n v="3307.729296"/>
    <n v="28751.799296000001"/>
  </r>
  <r>
    <x v="95"/>
    <x v="8"/>
    <x v="2"/>
    <x v="0"/>
    <s v="KEPL/01538/82-83"/>
    <s v="SAFAL MART PVT.LTD"/>
    <x v="2"/>
    <x v="22"/>
    <n v="1"/>
    <n v="40"/>
    <n v="283.94"/>
    <n v="11357.599999999999"/>
    <n v="-1032.4099999999999"/>
    <n v="0"/>
    <n v="1342.27478"/>
    <n v="11667.46478"/>
  </r>
  <r>
    <x v="95"/>
    <x v="8"/>
    <x v="2"/>
    <x v="0"/>
    <s v="KEPL/01538/82-83"/>
    <s v="SAFAL MART PVT.LTD"/>
    <x v="2"/>
    <x v="23"/>
    <n v="1"/>
    <n v="180"/>
    <n v="182.53"/>
    <n v="32855.4"/>
    <n v="-2986.56"/>
    <n v="0"/>
    <n v="3882.9494300000001"/>
    <n v="33751.789429999997"/>
  </r>
  <r>
    <x v="95"/>
    <x v="8"/>
    <x v="2"/>
    <x v="0"/>
    <s v="KEPL/01538/82-83"/>
    <s v="SAFAL MART PVT.LTD"/>
    <x v="0"/>
    <x v="41"/>
    <n v="1"/>
    <n v="120"/>
    <n v="158.86000000000001"/>
    <n v="19063.2"/>
    <n v="-1732.84"/>
    <n v="0"/>
    <n v="2252.9469340000001"/>
    <n v="19583.306934"/>
  </r>
  <r>
    <x v="95"/>
    <x v="8"/>
    <x v="2"/>
    <x v="0"/>
    <s v="KEPL/01538/82-83"/>
    <s v="SAFAL MART PVT.LTD"/>
    <x v="0"/>
    <x v="20"/>
    <n v="1"/>
    <n v="120"/>
    <n v="121.69"/>
    <n v="14602.800000000001"/>
    <n v="-1327.39"/>
    <n v="0"/>
    <n v="1725.803402"/>
    <n v="15001.213401999999"/>
  </r>
  <r>
    <x v="95"/>
    <x v="8"/>
    <x v="2"/>
    <x v="0"/>
    <s v="KEPL/01538/82-83"/>
    <s v="SAFAL MART PVT.LTD"/>
    <x v="2"/>
    <x v="8"/>
    <n v="1"/>
    <n v="120"/>
    <n v="50.7"/>
    <n v="6084"/>
    <n v="-553.04"/>
    <n v="0"/>
    <n v="719.02484300000003"/>
    <n v="6249.9848430000002"/>
  </r>
  <r>
    <x v="95"/>
    <x v="8"/>
    <x v="2"/>
    <x v="0"/>
    <s v="KEPL/01538/82-83"/>
    <s v="SAFAL MART PVT.LTD"/>
    <x v="0"/>
    <x v="36"/>
    <n v="0.63"/>
    <n v="50"/>
    <n v="155.49"/>
    <n v="7774.5"/>
    <n v="-706.7"/>
    <n v="0"/>
    <n v="918.81405500000005"/>
    <n v="7986.614055"/>
  </r>
  <r>
    <x v="95"/>
    <x v="8"/>
    <x v="2"/>
    <x v="0"/>
    <s v="KEPL/01538/82-83"/>
    <s v="SAFAL MART PVT.LTD"/>
    <x v="0"/>
    <x v="15"/>
    <n v="0.28000000000000003"/>
    <n v="50"/>
    <n v="114.93"/>
    <n v="5746.5"/>
    <n v="-522.36"/>
    <n v="0"/>
    <n v="679.13824"/>
    <n v="5903.2782399999996"/>
  </r>
  <r>
    <x v="95"/>
    <x v="8"/>
    <x v="2"/>
    <x v="0"/>
    <s v="KEPL/01538/82-83"/>
    <s v="SAFAL MART PVT.LTD"/>
    <x v="0"/>
    <x v="45"/>
    <n v="0.25"/>
    <n v="20"/>
    <n v="141.97"/>
    <n v="2839.3999999999996"/>
    <n v="-258.10000000000002"/>
    <n v="0"/>
    <n v="335.56902000000002"/>
    <n v="2916.8690200000001"/>
  </r>
  <r>
    <x v="95"/>
    <x v="8"/>
    <x v="2"/>
    <x v="0"/>
    <s v="KEPL/01539/82-83"/>
    <s v="DS SPICECO L &amp; D"/>
    <x v="2"/>
    <x v="7"/>
    <n v="0.17"/>
    <n v="20"/>
    <n v="152.11000000000001"/>
    <n v="3042.2000000000003"/>
    <n v="0"/>
    <n v="0"/>
    <n v="395.49"/>
    <n v="3437.69"/>
  </r>
  <r>
    <x v="96"/>
    <x v="8"/>
    <x v="2"/>
    <x v="0"/>
    <s v="KEPL/01543/82-83"/>
    <s v="SUBHARAMBHA TRADING"/>
    <x v="2"/>
    <x v="7"/>
    <n v="2"/>
    <n v="240"/>
    <n v="152.11000000000001"/>
    <n v="36506.400000000001"/>
    <n v="-3318.43"/>
    <n v="0"/>
    <n v="4314.4359729999996"/>
    <n v="37502.405973000001"/>
  </r>
  <r>
    <x v="96"/>
    <x v="8"/>
    <x v="2"/>
    <x v="0"/>
    <s v="KEPL/01543/82-83"/>
    <s v="SUBHARAMBHA TRADING"/>
    <x v="3"/>
    <x v="25"/>
    <n v="1"/>
    <n v="48"/>
    <n v="310.99"/>
    <n v="14927.519999999999"/>
    <n v="-1356.91"/>
    <n v="0"/>
    <n v="1764.1792480000001"/>
    <n v="15334.789247999999"/>
  </r>
  <r>
    <x v="96"/>
    <x v="8"/>
    <x v="2"/>
    <x v="0"/>
    <s v="KEPL/01543/82-83"/>
    <s v="SUBHARAMBHA TRADING"/>
    <x v="2"/>
    <x v="8"/>
    <n v="1"/>
    <n v="120"/>
    <n v="50.7"/>
    <n v="6084"/>
    <n v="-553.04"/>
    <n v="0"/>
    <n v="719.02477899999997"/>
    <n v="6249.9847790000003"/>
  </r>
  <r>
    <x v="96"/>
    <x v="8"/>
    <x v="2"/>
    <x v="0"/>
    <s v="KESR/0036/82-83"/>
    <s v="SIMPEX SOLUTION PVT. LTD"/>
    <x v="1"/>
    <x v="3"/>
    <n v="-0.05"/>
    <n v="-2"/>
    <n v="462.93"/>
    <n v="-925.86"/>
    <n v="0"/>
    <n v="0"/>
    <n v="-120.362815"/>
    <n v="-1046.2228150000001"/>
  </r>
  <r>
    <x v="96"/>
    <x v="8"/>
    <x v="2"/>
    <x v="0"/>
    <s v="KESR/0036/82-83"/>
    <s v="SIMPEX SOLUTION PVT. LTD"/>
    <x v="0"/>
    <x v="14"/>
    <n v="-0.02"/>
    <n v="-3"/>
    <n v="136.15"/>
    <n v="-408.45"/>
    <n v="0"/>
    <n v="0"/>
    <n v="-53.098948"/>
    <n v="-461.548948"/>
  </r>
  <r>
    <x v="96"/>
    <x v="8"/>
    <x v="2"/>
    <x v="0"/>
    <s v="KESR/0036/82-83"/>
    <s v="SIMPEX SOLUTION PVT. LTD"/>
    <x v="0"/>
    <x v="20"/>
    <n v="-0.03"/>
    <n v="-3"/>
    <n v="126.71"/>
    <n v="-380.13"/>
    <n v="0"/>
    <n v="0"/>
    <n v="-49.417316999999997"/>
    <n v="-429.54731700000002"/>
  </r>
  <r>
    <x v="96"/>
    <x v="8"/>
    <x v="2"/>
    <x v="0"/>
    <s v="KESR/0036/82-83"/>
    <s v="SIMPEX SOLUTION PVT. LTD"/>
    <x v="2"/>
    <x v="23"/>
    <n v="-0.03"/>
    <n v="-5"/>
    <n v="183.81"/>
    <n v="-919.05"/>
    <n v="0"/>
    <n v="0"/>
    <n v="-119.477507"/>
    <n v="-1038.527507"/>
  </r>
  <r>
    <x v="96"/>
    <x v="8"/>
    <x v="2"/>
    <x v="0"/>
    <s v="KESR/0036/82-83"/>
    <s v="SIMPEX SOLUTION PVT. LTD"/>
    <x v="1"/>
    <x v="12"/>
    <n v="-0.15"/>
    <n v="-6"/>
    <n v="275.72000000000003"/>
    <n v="-1654.32"/>
    <n v="0"/>
    <n v="0"/>
    <n v="-215.06341300000003"/>
    <n v="-1869.383413"/>
  </r>
  <r>
    <x v="96"/>
    <x v="8"/>
    <x v="2"/>
    <x v="0"/>
    <s v="KESR/0038/82-83"/>
    <s v="SIMPEX SOLUTION PVT. LTD"/>
    <x v="3"/>
    <x v="46"/>
    <n v="-0.03"/>
    <n v="-3"/>
    <n v="102.65"/>
    <n v="-307.95"/>
    <n v="0"/>
    <n v="0"/>
    <n v="-40.033498000000002"/>
    <n v="-347.983498"/>
  </r>
  <r>
    <x v="96"/>
    <x v="8"/>
    <x v="2"/>
    <x v="0"/>
    <s v="KESR/0038/82-83"/>
    <s v="SIMPEX SOLUTION PVT. LTD"/>
    <x v="2"/>
    <x v="24"/>
    <n v="-0.48"/>
    <n v="-19"/>
    <n v="442.51"/>
    <n v="-8407.69"/>
    <n v="0"/>
    <n v="0"/>
    <n v="-1092.999634"/>
    <n v="-9500.6896340000003"/>
  </r>
  <r>
    <x v="96"/>
    <x v="8"/>
    <x v="2"/>
    <x v="0"/>
    <s v="KESR/0038/82-83"/>
    <s v="SIMPEX SOLUTION PVT. LTD"/>
    <x v="1"/>
    <x v="3"/>
    <n v="-0.38"/>
    <n v="-15"/>
    <n v="462.93"/>
    <n v="-6943.9500000000007"/>
    <n v="0"/>
    <n v="0"/>
    <n v="-902.71344500000009"/>
    <n v="-7846.6634450000001"/>
  </r>
  <r>
    <x v="96"/>
    <x v="8"/>
    <x v="2"/>
    <x v="0"/>
    <s v="KESR/0038/82-83"/>
    <s v="SIMPEX SOLUTION PVT. LTD"/>
    <x v="0"/>
    <x v="37"/>
    <n v="-0.02"/>
    <n v="-4"/>
    <n v="102.65"/>
    <n v="-410.6"/>
    <n v="0"/>
    <n v="0"/>
    <n v="-53.377996999999993"/>
    <n v="-463.97799700000002"/>
  </r>
  <r>
    <x v="96"/>
    <x v="8"/>
    <x v="2"/>
    <x v="0"/>
    <s v="KESR/0038/82-83"/>
    <s v="SIMPEX SOLUTION PVT. LTD"/>
    <x v="0"/>
    <x v="16"/>
    <n v="-0.04"/>
    <n v="-5"/>
    <n v="127.43"/>
    <n v="-637.15000000000009"/>
    <n v="0"/>
    <n v="0"/>
    <n v="-82.829495000000009"/>
    <n v="-719.97949500000004"/>
  </r>
  <r>
    <x v="96"/>
    <x v="8"/>
    <x v="2"/>
    <x v="0"/>
    <s v="KESR/0038/82-83"/>
    <s v="SIMPEX SOLUTION PVT. LTD"/>
    <x v="2"/>
    <x v="28"/>
    <n v="-0.16"/>
    <n v="-13"/>
    <n v="176.99"/>
    <n v="-2300.87"/>
    <n v="0"/>
    <n v="0"/>
    <n v="-299.11308200000002"/>
    <n v="-2599.9830820000002"/>
  </r>
  <r>
    <x v="96"/>
    <x v="8"/>
    <x v="2"/>
    <x v="0"/>
    <s v="KESR/0038/82-83"/>
    <s v="SIMPEX SOLUTION PVT. LTD"/>
    <x v="2"/>
    <x v="22"/>
    <n v="-0.33"/>
    <n v="-13"/>
    <n v="299.54000000000002"/>
    <n v="-3894.02"/>
    <n v="0"/>
    <n v="0"/>
    <n v="-506.22256900000002"/>
    <n v="-4400.242569"/>
  </r>
  <r>
    <x v="96"/>
    <x v="8"/>
    <x v="2"/>
    <x v="0"/>
    <s v="KESR/0038/82-83"/>
    <s v="SIMPEX SOLUTION PVT. LTD"/>
    <x v="3"/>
    <x v="25"/>
    <n v="-0.23"/>
    <n v="-11"/>
    <n v="313.14999999999998"/>
    <n v="-3444.65"/>
    <n v="0"/>
    <n v="0"/>
    <n v="-447.80447300000003"/>
    <n v="-3892.4544729999998"/>
  </r>
  <r>
    <x v="96"/>
    <x v="8"/>
    <x v="2"/>
    <x v="0"/>
    <s v="KESR/0038/82-83"/>
    <s v="SIMPEX SOLUTION PVT. LTD"/>
    <x v="1"/>
    <x v="6"/>
    <n v="-0.04"/>
    <n v="-4"/>
    <n v="190.62"/>
    <n v="-762.48"/>
    <n v="0"/>
    <n v="0"/>
    <n v="-99.122393999999986"/>
    <n v="-861.602394"/>
  </r>
  <r>
    <x v="96"/>
    <x v="8"/>
    <x v="2"/>
    <x v="0"/>
    <s v="KESR/0038/82-83"/>
    <s v="SIMPEX SOLUTION PVT. LTD"/>
    <x v="1"/>
    <x v="4"/>
    <n v="-0.48"/>
    <n v="-19"/>
    <n v="262.10000000000002"/>
    <n v="-4979.8999999999996"/>
    <n v="0"/>
    <n v="0"/>
    <n v="-647.38696100000004"/>
    <n v="-5627.2869609999998"/>
  </r>
  <r>
    <x v="96"/>
    <x v="8"/>
    <x v="2"/>
    <x v="0"/>
    <s v="KESR/0038/82-83"/>
    <s v="SIMPEX SOLUTION PVT. LTD"/>
    <x v="0"/>
    <x v="39"/>
    <n v="-0.06"/>
    <n v="-10"/>
    <n v="87.79"/>
    <n v="-877.9"/>
    <n v="0"/>
    <n v="0"/>
    <n v="-114.126993"/>
    <n v="-992.02699299999995"/>
  </r>
  <r>
    <x v="96"/>
    <x v="8"/>
    <x v="2"/>
    <x v="0"/>
    <s v="KESR/0038/82-83"/>
    <s v="SIMPEX SOLUTION PVT. LTD"/>
    <x v="0"/>
    <x v="44"/>
    <n v="-0.02"/>
    <n v="-4"/>
    <n v="134.51"/>
    <n v="-538.04"/>
    <n v="0"/>
    <n v="0"/>
    <n v="-69.945195999999996"/>
    <n v="-607.98519599999997"/>
  </r>
  <r>
    <x v="96"/>
    <x v="8"/>
    <x v="2"/>
    <x v="0"/>
    <s v="KESR/0038/82-83"/>
    <s v="SIMPEX SOLUTION PVT. LTD"/>
    <x v="0"/>
    <x v="21"/>
    <n v="-0.19"/>
    <n v="-15"/>
    <n v="190.62"/>
    <n v="-2859.2999999999997"/>
    <n v="0"/>
    <n v="0"/>
    <n v="-371.708977"/>
    <n v="-3231.008977"/>
  </r>
  <r>
    <x v="96"/>
    <x v="8"/>
    <x v="2"/>
    <x v="0"/>
    <s v="KESR/0038/82-83"/>
    <s v="SIMPEX SOLUTION PVT. LTD"/>
    <x v="0"/>
    <x v="15"/>
    <n v="-0.03"/>
    <n v="-5"/>
    <n v="120.35"/>
    <n v="-601.75000000000011"/>
    <n v="0"/>
    <n v="0"/>
    <n v="-78.227495000000005"/>
    <n v="-679.97749499999998"/>
  </r>
  <r>
    <x v="96"/>
    <x v="8"/>
    <x v="2"/>
    <x v="0"/>
    <s v="KESR/0038/82-83"/>
    <s v="SIMPEX SOLUTION PVT. LTD"/>
    <x v="0"/>
    <x v="19"/>
    <n v="-0.04"/>
    <n v="-7"/>
    <n v="156.58000000000001"/>
    <n v="-1096.06"/>
    <n v="0"/>
    <n v="0"/>
    <n v="-142.48779100000002"/>
    <n v="-1238.547791"/>
  </r>
  <r>
    <x v="96"/>
    <x v="8"/>
    <x v="2"/>
    <x v="0"/>
    <s v="KESR/0039/82-83"/>
    <s v="SIMPEX SOLUTION PVT. LTD"/>
    <x v="1"/>
    <x v="13"/>
    <n v="-0.17"/>
    <n v="-17"/>
    <n v="144"/>
    <n v="-2448"/>
    <s v=""/>
    <s v=""/>
    <s v=""/>
    <n v="-2448"/>
  </r>
  <r>
    <x v="97"/>
    <x v="8"/>
    <x v="2"/>
    <x v="0"/>
    <s v="KEPL/01553/82-83"/>
    <s v="MEGA MART PVT.LTD"/>
    <x v="3"/>
    <x v="31"/>
    <n v="1.33"/>
    <n v="96"/>
    <n v="140.18"/>
    <n v="13457.28"/>
    <n v="0"/>
    <n v="0"/>
    <n v="1749.45"/>
    <n v="15206.73"/>
  </r>
  <r>
    <x v="97"/>
    <x v="8"/>
    <x v="2"/>
    <x v="0"/>
    <s v="KEPL/01555/82-83"/>
    <s v="SIMPEX SOLUTION PVT. LTD"/>
    <x v="4"/>
    <x v="30"/>
    <n v="0.17"/>
    <n v="10"/>
    <n v="102.65"/>
    <n v="1026.5"/>
    <n v="0"/>
    <n v="0"/>
    <n v="133.44536099999999"/>
    <n v="1159.945361"/>
  </r>
  <r>
    <x v="97"/>
    <x v="8"/>
    <x v="2"/>
    <x v="0"/>
    <s v="KEPL/01555/82-83"/>
    <s v="SIMPEX SOLUTION PVT. LTD"/>
    <x v="1"/>
    <x v="6"/>
    <n v="0.05"/>
    <n v="5"/>
    <n v="169.91"/>
    <n v="849.55000000000007"/>
    <n v="0"/>
    <n v="0"/>
    <n v="110.441799"/>
    <n v="959.99179900000001"/>
  </r>
  <r>
    <x v="97"/>
    <x v="8"/>
    <x v="2"/>
    <x v="0"/>
    <s v="KEPL/01555/82-83"/>
    <s v="SIMPEX SOLUTION PVT. LTD"/>
    <x v="2"/>
    <x v="7"/>
    <n v="0.08"/>
    <n v="10"/>
    <n v="159.29"/>
    <n v="1592.8999999999999"/>
    <n v="0"/>
    <n v="0"/>
    <n v="207.07756000000001"/>
    <n v="1799.97756"/>
  </r>
  <r>
    <x v="97"/>
    <x v="8"/>
    <x v="2"/>
    <x v="0"/>
    <s v="KEPL/01555/82-83"/>
    <s v="SIMPEX SOLUTION PVT. LTD"/>
    <x v="2"/>
    <x v="8"/>
    <n v="0.13"/>
    <n v="15"/>
    <n v="53.1"/>
    <n v="796.5"/>
    <n v="0"/>
    <n v="0"/>
    <n v="103.54528000000001"/>
    <n v="900.04528000000005"/>
  </r>
  <r>
    <x v="98"/>
    <x v="8"/>
    <x v="2"/>
    <x v="0"/>
    <s v="KEPL/01560/82-83"/>
    <s v="THREE STAR SHOP"/>
    <x v="2"/>
    <x v="5"/>
    <n v="0.56000000000000005"/>
    <n v="100"/>
    <n v="94.65"/>
    <n v="9465"/>
    <n v="0"/>
    <n v="0"/>
    <n v="1230.45"/>
    <n v="10695.45"/>
  </r>
  <r>
    <x v="99"/>
    <x v="8"/>
    <x v="2"/>
    <x v="0"/>
    <s v="KEPL/01562/82-83"/>
    <s v="BEERA BARJEE INTERNATIONAL PVT.LTD"/>
    <x v="3"/>
    <x v="26"/>
    <n v="1"/>
    <n v="72"/>
    <n v="131.83000000000001"/>
    <n v="9491.76"/>
    <n v="-862.8"/>
    <n v="0"/>
    <n v="1121.7645790000001"/>
    <n v="9750.7245789999997"/>
  </r>
  <r>
    <x v="99"/>
    <x v="8"/>
    <x v="2"/>
    <x v="0"/>
    <s v="KEPL/01562/82-83"/>
    <s v="BEERA BARJEE INTERNATIONAL PVT.LTD"/>
    <x v="4"/>
    <x v="30"/>
    <n v="3"/>
    <n v="180"/>
    <n v="98.03"/>
    <n v="17645.400000000001"/>
    <n v="-1603.97"/>
    <n v="0"/>
    <n v="2085.3854900000001"/>
    <n v="18126.815490000001"/>
  </r>
  <r>
    <x v="99"/>
    <x v="8"/>
    <x v="2"/>
    <x v="0"/>
    <s v="KEPL/01562/82-83"/>
    <s v="BEERA BARJEE INTERNATIONAL PVT.LTD"/>
    <x v="6"/>
    <x v="50"/>
    <n v="1"/>
    <n v="200"/>
    <n v="128.44999999999999"/>
    <n v="25690"/>
    <n v="-2335.2199999999998"/>
    <n v="0"/>
    <n v="3036.1208030000003"/>
    <n v="26390.900803"/>
  </r>
  <r>
    <x v="99"/>
    <x v="8"/>
    <x v="2"/>
    <x v="0"/>
    <s v="KEPL/01562/82-83"/>
    <s v="BEERA BARJEE INTERNATIONAL PVT.LTD"/>
    <x v="0"/>
    <x v="32"/>
    <n v="1"/>
    <n v="120"/>
    <n v="64.23"/>
    <n v="7707.5999999999995"/>
    <n v="-700.62"/>
    <n v="0"/>
    <n v="910.90722099999994"/>
    <n v="7917.887221"/>
  </r>
  <r>
    <x v="99"/>
    <x v="8"/>
    <x v="2"/>
    <x v="0"/>
    <s v="KEPL/01562/82-83"/>
    <s v="BEERA BARJEE INTERNATIONAL PVT.LTD"/>
    <x v="3"/>
    <x v="31"/>
    <n v="2"/>
    <n v="144"/>
    <n v="148.72999999999999"/>
    <n v="21417.119999999999"/>
    <n v="-1946.82"/>
    <n v="0"/>
    <n v="2531.1385019999998"/>
    <n v="22001.438502000001"/>
  </r>
  <r>
    <x v="99"/>
    <x v="8"/>
    <x v="2"/>
    <x v="0"/>
    <s v="KEPL/01562/82-83"/>
    <s v="BEERA BARJEE INTERNATIONAL PVT.LTD"/>
    <x v="3"/>
    <x v="47"/>
    <n v="1"/>
    <n v="100"/>
    <n v="70.989999999999995"/>
    <n v="7099"/>
    <n v="-645.29999999999995"/>
    <n v="0"/>
    <n v="838.98083500000007"/>
    <n v="7292.6808350000001"/>
  </r>
  <r>
    <x v="99"/>
    <x v="8"/>
    <x v="2"/>
    <x v="0"/>
    <s v="KEPL/01562/82-83"/>
    <s v="BEERA BARJEE INTERNATIONAL PVT.LTD"/>
    <x v="0"/>
    <x v="21"/>
    <n v="1"/>
    <n v="80"/>
    <n v="185.92"/>
    <n v="14873.6"/>
    <n v="-1352.01"/>
    <n v="0"/>
    <n v="1757.8063540000001"/>
    <n v="15279.396354"/>
  </r>
  <r>
    <x v="99"/>
    <x v="8"/>
    <x v="2"/>
    <x v="0"/>
    <s v="KEPL/01562/82-83"/>
    <s v="BEERA BARJEE INTERNATIONAL PVT.LTD"/>
    <x v="5"/>
    <x v="43"/>
    <n v="2"/>
    <n v="120"/>
    <n v="148.72999999999999"/>
    <n v="17847.600000000002"/>
    <n v="-1622.3500000000001"/>
    <n v="0"/>
    <n v="2109.2820849999998"/>
    <n v="18334.532084999999"/>
  </r>
  <r>
    <x v="99"/>
    <x v="8"/>
    <x v="2"/>
    <x v="0"/>
    <s v="KEPL/01562/82-83"/>
    <s v="BEERA BARJEE INTERNATIONAL PVT.LTD"/>
    <x v="3"/>
    <x v="25"/>
    <n v="1"/>
    <n v="48"/>
    <n v="297.45999999999998"/>
    <n v="14278.08"/>
    <n v="-1297.8800000000001"/>
    <n v="0"/>
    <n v="1687.4256680000001"/>
    <n v="14667.625668000001"/>
  </r>
  <r>
    <x v="99"/>
    <x v="8"/>
    <x v="2"/>
    <x v="0"/>
    <s v="KEPL/01562/82-83"/>
    <s v="BEERA BARJEE INTERNATIONAL PVT.LTD"/>
    <x v="2"/>
    <x v="5"/>
    <n v="1"/>
    <n v="180"/>
    <n v="94.65"/>
    <n v="17037"/>
    <n v="-1548.6599999999999"/>
    <n v="0"/>
    <n v="2013.483804"/>
    <n v="17501.823804"/>
  </r>
  <r>
    <x v="99"/>
    <x v="8"/>
    <x v="2"/>
    <x v="0"/>
    <s v="KEPL/01562/82-83"/>
    <s v="BEERA BARJEE INTERNATIONAL PVT.LTD"/>
    <x v="2"/>
    <x v="8"/>
    <n v="1"/>
    <n v="120"/>
    <n v="50.7"/>
    <n v="6084"/>
    <n v="-553.04"/>
    <n v="0"/>
    <n v="719.02465900000004"/>
    <n v="6249.9846589999997"/>
  </r>
  <r>
    <x v="99"/>
    <x v="8"/>
    <x v="2"/>
    <x v="0"/>
    <s v="KEPL/01563/82-83"/>
    <s v="BEERA BARJEE INTERNATIONAL PVT.LTD"/>
    <x v="1"/>
    <x v="13"/>
    <n v="1"/>
    <n v="100"/>
    <n v="138"/>
    <n v="13800"/>
    <n v="-1254.4199999999998"/>
    <n v="0"/>
    <n v="0"/>
    <n v="12545.58"/>
  </r>
  <r>
    <x v="100"/>
    <x v="8"/>
    <x v="2"/>
    <x v="0"/>
    <s v="KEPL/01590/82-83"/>
    <s v="SIMPEX SOLUTION PVT. LTD"/>
    <x v="0"/>
    <x v="2"/>
    <n v="0.06"/>
    <n v="10"/>
    <n v="67.260000000000005"/>
    <n v="672.6"/>
    <n v="0"/>
    <n v="0"/>
    <n v="87.438000000000002"/>
    <n v="760.03800000000001"/>
  </r>
  <r>
    <x v="100"/>
    <x v="8"/>
    <x v="2"/>
    <x v="0"/>
    <s v="KEPL/01590/82-83"/>
    <s v="SIMPEX SOLUTION PVT. LTD"/>
    <x v="0"/>
    <x v="9"/>
    <n v="0.06"/>
    <n v="10"/>
    <n v="74.34"/>
    <n v="743.4"/>
    <n v="0"/>
    <n v="0"/>
    <n v="96.641999999999996"/>
    <n v="840.04200000000003"/>
  </r>
  <r>
    <x v="101"/>
    <x v="8"/>
    <x v="2"/>
    <x v="0"/>
    <s v="KEPL/01596/82-83"/>
    <s v="BEERA BARJEE INTERNATIONAL PVT.LTD"/>
    <x v="0"/>
    <x v="32"/>
    <n v="1"/>
    <n v="120"/>
    <n v="64.23"/>
    <n v="7707.5999999999995"/>
    <n v="-700.62"/>
    <n v="0"/>
    <n v="910.91000000000008"/>
    <n v="7917.89"/>
  </r>
  <r>
    <x v="101"/>
    <x v="8"/>
    <x v="2"/>
    <x v="0"/>
    <s v="KEPL/01598/82-83"/>
    <s v="DINESH TRADING HOUSE"/>
    <x v="0"/>
    <x v="18"/>
    <n v="0.17"/>
    <n v="20"/>
    <n v="141.97"/>
    <n v="2839.3999999999996"/>
    <n v="-258.10000000000002"/>
    <n v="0"/>
    <n v="335.569051"/>
    <n v="2916.8690510000001"/>
  </r>
  <r>
    <x v="101"/>
    <x v="8"/>
    <x v="2"/>
    <x v="0"/>
    <s v="KEPL/01598/82-83"/>
    <s v="DINESH TRADING HOUSE"/>
    <x v="4"/>
    <x v="30"/>
    <n v="0.33"/>
    <n v="20"/>
    <n v="98.03"/>
    <n v="1960.6"/>
    <n v="-178.22"/>
    <n v="0"/>
    <n v="231.70943499999998"/>
    <n v="2014.0894350000001"/>
  </r>
  <r>
    <x v="101"/>
    <x v="8"/>
    <x v="2"/>
    <x v="0"/>
    <s v="KEPL/01598/82-83"/>
    <s v="DINESH TRADING HOUSE"/>
    <x v="0"/>
    <x v="37"/>
    <n v="0.16"/>
    <n v="30"/>
    <n v="98.03"/>
    <n v="2940.9"/>
    <n v="-267.33"/>
    <n v="0"/>
    <n v="347.56415300000003"/>
    <n v="3021.134153"/>
  </r>
  <r>
    <x v="101"/>
    <x v="8"/>
    <x v="2"/>
    <x v="0"/>
    <s v="KEPL/01598/82-83"/>
    <s v="DINESH TRADING HOUSE"/>
    <x v="0"/>
    <x v="44"/>
    <n v="0.11"/>
    <n v="20"/>
    <n v="121.7"/>
    <n v="2434"/>
    <n v="-221.25"/>
    <n v="0"/>
    <n v="287.65754399999997"/>
    <n v="2500.4075440000001"/>
  </r>
  <r>
    <x v="101"/>
    <x v="8"/>
    <x v="2"/>
    <x v="0"/>
    <s v="KEPL/01598/82-83"/>
    <s v="DINESH TRADING HOUSE"/>
    <x v="0"/>
    <x v="42"/>
    <n v="0.08"/>
    <n v="10"/>
    <n v="94.65"/>
    <n v="946.5"/>
    <n v="-86.04"/>
    <n v="0"/>
    <n v="111.85981699999999"/>
    <n v="972.31981699999994"/>
  </r>
  <r>
    <x v="102"/>
    <x v="8"/>
    <x v="2"/>
    <x v="0"/>
    <s v="KEPL/01620/82-83"/>
    <s v="MEGA MART PVT.LTD"/>
    <x v="3"/>
    <x v="31"/>
    <n v="2"/>
    <n v="144"/>
    <n v="140.18"/>
    <n v="20185.919999999998"/>
    <n v="0"/>
    <n v="0"/>
    <n v="2624.1699090000002"/>
    <n v="22810.089908999998"/>
  </r>
  <r>
    <x v="102"/>
    <x v="8"/>
    <x v="2"/>
    <x v="0"/>
    <s v="KEPL/01620/82-83"/>
    <s v="MEGA MART PVT.LTD"/>
    <x v="3"/>
    <x v="26"/>
    <n v="0.67"/>
    <n v="48"/>
    <n v="124.25"/>
    <n v="5964"/>
    <n v="0"/>
    <n v="0"/>
    <n v="775.32009099999993"/>
    <n v="6739.3200909999996"/>
  </r>
  <r>
    <x v="102"/>
    <x v="8"/>
    <x v="2"/>
    <x v="0"/>
    <s v="KEPL/01622/82-83"/>
    <s v="GORIN TRADING "/>
    <x v="6"/>
    <x v="49"/>
    <n v="0.42"/>
    <n v="50"/>
    <n v="250.14"/>
    <n v="12507"/>
    <n v="-1136.8899999999999"/>
    <n v="0"/>
    <n v="1478.112783"/>
    <n v="12848.222782999999"/>
  </r>
  <r>
    <x v="102"/>
    <x v="8"/>
    <x v="2"/>
    <x v="0"/>
    <s v="KEPL/01622/82-83"/>
    <s v="GORIN TRADING "/>
    <x v="2"/>
    <x v="8"/>
    <n v="0.5"/>
    <n v="60"/>
    <n v="50.7"/>
    <n v="3042"/>
    <n v="-276.52"/>
    <n v="0"/>
    <n v="359.51203099999998"/>
    <n v="3124.9920310000002"/>
  </r>
  <r>
    <x v="102"/>
    <x v="8"/>
    <x v="2"/>
    <x v="0"/>
    <s v="KEPL/01622/82-83"/>
    <s v="GORIN TRADING "/>
    <x v="2"/>
    <x v="7"/>
    <n v="1"/>
    <n v="120"/>
    <n v="152.11000000000001"/>
    <n v="18253.2"/>
    <n v="-1659.2199999999998"/>
    <n v="0"/>
    <n v="2157.2151859999999"/>
    <n v="18751.195186000001"/>
  </r>
  <r>
    <x v="103"/>
    <x v="8"/>
    <x v="2"/>
    <x v="0"/>
    <s v="KEPL/01637/82-83"/>
    <s v="HORIZON INTERNATIONAL TRADERS"/>
    <x v="1"/>
    <x v="12"/>
    <n v="1"/>
    <n v="40"/>
    <n v="336.13"/>
    <n v="13445.199999999999"/>
    <n v="-1222.1699999999998"/>
    <n v="0"/>
    <n v="0"/>
    <n v="12223.03"/>
  </r>
  <r>
    <x v="103"/>
    <x v="8"/>
    <x v="2"/>
    <x v="0"/>
    <s v="KEPL/01637/82-83"/>
    <s v="HORIZON INTERNATIONAL TRADERS"/>
    <x v="1"/>
    <x v="13"/>
    <n v="1"/>
    <n v="100"/>
    <n v="137.5"/>
    <n v="13750"/>
    <n v="-1249.8800000000001"/>
    <n v="0"/>
    <n v="0"/>
    <n v="12500.12"/>
  </r>
  <r>
    <x v="103"/>
    <x v="8"/>
    <x v="2"/>
    <x v="0"/>
    <s v="KEPL/01638/82-83"/>
    <s v="HORIZON INTERNATIONAL TRADERS"/>
    <x v="1"/>
    <x v="4"/>
    <n v="1"/>
    <n v="40"/>
    <n v="260.27999999999997"/>
    <n v="10411.200000000001"/>
    <n v="-946.38"/>
    <n v="0"/>
    <n v="1230.426477"/>
    <n v="10695.246477000001"/>
  </r>
  <r>
    <x v="103"/>
    <x v="8"/>
    <x v="2"/>
    <x v="0"/>
    <s v="KEPL/01638/82-83"/>
    <s v="HORIZON INTERNATIONAL TRADERS"/>
    <x v="2"/>
    <x v="23"/>
    <n v="1"/>
    <n v="180"/>
    <n v="158.87"/>
    <n v="28596.6"/>
    <n v="-2599.4300000000003"/>
    <n v="0"/>
    <n v="3379.6317629999999"/>
    <n v="29376.801762999999"/>
  </r>
  <r>
    <x v="103"/>
    <x v="8"/>
    <x v="2"/>
    <x v="0"/>
    <s v="KEPL/01638/82-83"/>
    <s v="HORIZON INTERNATIONAL TRADERS"/>
    <x v="6"/>
    <x v="50"/>
    <n v="1"/>
    <n v="200"/>
    <n v="128.44999999999999"/>
    <n v="25690"/>
    <n v="-2335.2199999999998"/>
    <n v="0"/>
    <n v="3036.1210970000002"/>
    <n v="26390.901097000002"/>
  </r>
  <r>
    <x v="103"/>
    <x v="8"/>
    <x v="2"/>
    <x v="0"/>
    <s v="KEPL/01638/82-83"/>
    <s v="HORIZON INTERNATIONAL TRADERS"/>
    <x v="1"/>
    <x v="1"/>
    <n v="1"/>
    <n v="100"/>
    <n v="108.17"/>
    <n v="10817"/>
    <n v="-983.2700000000001"/>
    <n v="0"/>
    <n v="1278.3847719999999"/>
    <n v="11112.114772000001"/>
  </r>
  <r>
    <x v="103"/>
    <x v="8"/>
    <x v="2"/>
    <x v="0"/>
    <s v="KEPL/01638/82-83"/>
    <s v="HORIZON INTERNATIONAL TRADERS"/>
    <x v="1"/>
    <x v="6"/>
    <n v="1"/>
    <n v="100"/>
    <n v="162.26"/>
    <n v="16226"/>
    <n v="-1474.94"/>
    <n v="0"/>
    <n v="1917.6376090000001"/>
    <n v="16668.697608999999"/>
  </r>
  <r>
    <x v="103"/>
    <x v="8"/>
    <x v="2"/>
    <x v="0"/>
    <s v="KEPL/01638/82-83"/>
    <s v="HORIZON INTERNATIONAL TRADERS"/>
    <x v="2"/>
    <x v="5"/>
    <n v="1"/>
    <n v="180"/>
    <n v="81.14"/>
    <n v="14605.199999999999"/>
    <n v="-1327.61"/>
    <n v="0"/>
    <n v="1726.086528"/>
    <n v="15003.676528"/>
  </r>
  <r>
    <x v="103"/>
    <x v="8"/>
    <x v="2"/>
    <x v="0"/>
    <s v="KEPL/01638/82-83"/>
    <s v="HORIZON INTERNATIONAL TRADERS"/>
    <x v="3"/>
    <x v="26"/>
    <n v="3"/>
    <n v="216"/>
    <n v="131.83000000000001"/>
    <n v="28475.280000000002"/>
    <n v="-2588.4"/>
    <n v="0"/>
    <n v="3365.2940640000002"/>
    <n v="29252.174063999999"/>
  </r>
  <r>
    <x v="103"/>
    <x v="8"/>
    <x v="2"/>
    <x v="0"/>
    <s v="KEPL/01638/82-83"/>
    <s v="HORIZON INTERNATIONAL TRADERS"/>
    <x v="3"/>
    <x v="31"/>
    <n v="3"/>
    <n v="216"/>
    <n v="148.72999999999999"/>
    <n v="32125.679999999997"/>
    <n v="-2920.2200000000003"/>
    <n v="0"/>
    <n v="3796.7094209999996"/>
    <n v="33002.169420999999"/>
  </r>
  <r>
    <x v="103"/>
    <x v="8"/>
    <x v="2"/>
    <x v="0"/>
    <s v="KEPL/01638/82-83"/>
    <s v="HORIZON INTERNATIONAL TRADERS"/>
    <x v="6"/>
    <x v="49"/>
    <n v="1"/>
    <n v="120"/>
    <n v="250.14"/>
    <n v="30016.799999999999"/>
    <n v="-2728.53"/>
    <n v="0"/>
    <n v="3547.4747460000003"/>
    <n v="30835.744746"/>
  </r>
  <r>
    <x v="103"/>
    <x v="8"/>
    <x v="2"/>
    <x v="0"/>
    <s v="KEPL/01638/82-83"/>
    <s v="HORIZON INTERNATIONAL TRADERS"/>
    <x v="3"/>
    <x v="47"/>
    <n v="2"/>
    <n v="200"/>
    <n v="70.989999999999995"/>
    <n v="14198"/>
    <n v="-1290.5999999999999"/>
    <n v="0"/>
    <n v="1677.9618330000001"/>
    <n v="14585.361833000001"/>
  </r>
  <r>
    <x v="103"/>
    <x v="8"/>
    <x v="2"/>
    <x v="0"/>
    <s v="KEPL/01638/82-83"/>
    <s v="HORIZON INTERNATIONAL TRADERS"/>
    <x v="1"/>
    <x v="3"/>
    <n v="1"/>
    <n v="40"/>
    <n v="393.46"/>
    <n v="15738.4"/>
    <n v="-1430.6200000000001"/>
    <n v="0"/>
    <n v="1860.0112140000001"/>
    <n v="16167.791214000001"/>
  </r>
  <r>
    <x v="103"/>
    <x v="8"/>
    <x v="2"/>
    <x v="0"/>
    <s v="KEPL/01638/82-83"/>
    <s v="HORIZON INTERNATIONAL TRADERS"/>
    <x v="2"/>
    <x v="8"/>
    <n v="1"/>
    <n v="120"/>
    <n v="50.7"/>
    <n v="6084"/>
    <n v="-553.04"/>
    <n v="0"/>
    <n v="719.02472799999998"/>
    <n v="6249.9847280000004"/>
  </r>
  <r>
    <x v="103"/>
    <x v="8"/>
    <x v="2"/>
    <x v="0"/>
    <s v="KEPL/01638/82-83"/>
    <s v="HORIZON INTERNATIONAL TRADERS"/>
    <x v="2"/>
    <x v="33"/>
    <n v="1"/>
    <n v="180"/>
    <n v="91.27"/>
    <n v="16428.599999999999"/>
    <n v="-1493.36"/>
    <n v="0"/>
    <n v="1941.5810060000001"/>
    <n v="16876.821005999998"/>
  </r>
  <r>
    <x v="103"/>
    <x v="8"/>
    <x v="2"/>
    <x v="0"/>
    <s v="KEPL/01638/82-83"/>
    <s v="HORIZON INTERNATIONAL TRADERS"/>
    <x v="2"/>
    <x v="22"/>
    <n v="2"/>
    <n v="80"/>
    <n v="283.94"/>
    <n v="22715.199999999997"/>
    <n v="-2064.81"/>
    <n v="0"/>
    <n v="2684.550432"/>
    <n v="23334.940431999999"/>
  </r>
  <r>
    <x v="103"/>
    <x v="8"/>
    <x v="2"/>
    <x v="0"/>
    <s v="KEPL/01638/82-83"/>
    <s v="HORIZON INTERNATIONAL TRADERS"/>
    <x v="2"/>
    <x v="7"/>
    <n v="2"/>
    <n v="240"/>
    <n v="152.11000000000001"/>
    <n v="36506.400000000001"/>
    <n v="-3318.43"/>
    <n v="0"/>
    <n v="4314.4356690000004"/>
    <n v="37502.405669"/>
  </r>
  <r>
    <x v="103"/>
    <x v="8"/>
    <x v="2"/>
    <x v="0"/>
    <s v="KEPL/01638/82-83"/>
    <s v="HORIZON INTERNATIONAL TRADERS"/>
    <x v="2"/>
    <x v="28"/>
    <n v="1"/>
    <n v="80"/>
    <n v="169.01"/>
    <n v="13520.8"/>
    <n v="-1229.04"/>
    <n v="0"/>
    <n v="1597.928641"/>
    <n v="13889.688641000001"/>
  </r>
  <r>
    <x v="103"/>
    <x v="8"/>
    <x v="2"/>
    <x v="0"/>
    <s v="KEPL/01639/82-83"/>
    <s v="HORIZON INTERNATIONAL TRADERS"/>
    <x v="0"/>
    <x v="32"/>
    <n v="1"/>
    <n v="120"/>
    <n v="64.23"/>
    <n v="7707.5999999999995"/>
    <n v="-700.62"/>
    <n v="0"/>
    <n v="910.90751399999999"/>
    <n v="7917.887514"/>
  </r>
  <r>
    <x v="103"/>
    <x v="8"/>
    <x v="2"/>
    <x v="0"/>
    <s v="KEPL/01639/82-83"/>
    <s v="HORIZON INTERNATIONAL TRADERS"/>
    <x v="0"/>
    <x v="15"/>
    <n v="1"/>
    <n v="180"/>
    <n v="114.93"/>
    <n v="20687.400000000001"/>
    <n v="-1880.48"/>
    <n v="0"/>
    <n v="2444.8999060000001"/>
    <n v="21251.819906000001"/>
  </r>
  <r>
    <x v="103"/>
    <x v="8"/>
    <x v="2"/>
    <x v="0"/>
    <s v="KEPL/01639/82-83"/>
    <s v="HORIZON INTERNATIONAL TRADERS"/>
    <x v="0"/>
    <x v="27"/>
    <n v="1"/>
    <n v="120"/>
    <n v="114.93"/>
    <n v="13791.6"/>
    <n v="-1253.6600000000001"/>
    <n v="0"/>
    <n v="1629.9324040000001"/>
    <n v="14167.872404"/>
  </r>
  <r>
    <x v="103"/>
    <x v="8"/>
    <x v="2"/>
    <x v="0"/>
    <s v="KEPL/01639/82-83"/>
    <s v="HORIZON INTERNATIONAL TRADERS"/>
    <x v="0"/>
    <x v="10"/>
    <n v="1"/>
    <n v="180"/>
    <n v="60.84"/>
    <n v="10951.199999999999"/>
    <n v="-995.46"/>
    <n v="0"/>
    <n v="1294.2463620000001"/>
    <n v="11249.986362"/>
  </r>
  <r>
    <x v="103"/>
    <x v="8"/>
    <x v="2"/>
    <x v="0"/>
    <s v="KEPL/01639/82-83"/>
    <s v="HORIZON INTERNATIONAL TRADERS"/>
    <x v="0"/>
    <x v="0"/>
    <n v="1"/>
    <n v="180"/>
    <n v="62.21"/>
    <n v="11197.8"/>
    <n v="-1017.88"/>
    <n v="0"/>
    <n v="1323.389766"/>
    <n v="11503.309766"/>
  </r>
  <r>
    <x v="103"/>
    <x v="8"/>
    <x v="2"/>
    <x v="0"/>
    <s v="KEPL/01639/82-83"/>
    <s v="HORIZON INTERNATIONAL TRADERS"/>
    <x v="0"/>
    <x v="11"/>
    <n v="1"/>
    <n v="180"/>
    <n v="62.21"/>
    <n v="11197.8"/>
    <n v="-1017.88"/>
    <n v="0"/>
    <n v="1323.389766"/>
    <n v="11503.309766"/>
  </r>
  <r>
    <x v="103"/>
    <x v="8"/>
    <x v="2"/>
    <x v="0"/>
    <s v="KEPL/01639/82-83"/>
    <s v="HORIZON INTERNATIONAL TRADERS"/>
    <x v="0"/>
    <x v="16"/>
    <n v="1"/>
    <n v="120"/>
    <n v="118.3"/>
    <n v="14195.999999999998"/>
    <n v="-1290.4199999999998"/>
    <n v="0"/>
    <n v="1677.72561"/>
    <n v="14583.305609999999"/>
  </r>
  <r>
    <x v="103"/>
    <x v="8"/>
    <x v="2"/>
    <x v="0"/>
    <s v="KEPL/01639/82-83"/>
    <s v="HORIZON INTERNATIONAL TRADERS"/>
    <x v="0"/>
    <x v="20"/>
    <n v="1"/>
    <n v="120"/>
    <n v="118.3"/>
    <n v="14195.999999999998"/>
    <n v="-1290.4199999999998"/>
    <n v="0"/>
    <n v="1677.72561"/>
    <n v="14583.305609999999"/>
  </r>
  <r>
    <x v="103"/>
    <x v="8"/>
    <x v="2"/>
    <x v="0"/>
    <s v="KEPL/01639/82-83"/>
    <s v="HORIZON INTERNATIONAL TRADERS"/>
    <x v="0"/>
    <x v="14"/>
    <n v="1"/>
    <n v="180"/>
    <n v="135.21"/>
    <n v="24337.8"/>
    <n v="-2212.31"/>
    <n v="0"/>
    <n v="2876.3140600000002"/>
    <n v="25001.804059999999"/>
  </r>
  <r>
    <x v="103"/>
    <x v="8"/>
    <x v="2"/>
    <x v="0"/>
    <s v="KEPL/01639/82-83"/>
    <s v="HORIZON INTERNATIONAL TRADERS"/>
    <x v="0"/>
    <x v="18"/>
    <n v="1"/>
    <n v="120"/>
    <n v="148.72999999999999"/>
    <n v="17847.600000000002"/>
    <n v="-1622.3500000000001"/>
    <n v="0"/>
    <n v="2109.282764"/>
    <n v="18334.532764"/>
  </r>
  <r>
    <x v="103"/>
    <x v="8"/>
    <x v="2"/>
    <x v="0"/>
    <s v="KEPL/01639/82-83"/>
    <s v="HORIZON INTERNATIONAL TRADERS"/>
    <x v="0"/>
    <x v="42"/>
    <n v="1"/>
    <n v="120"/>
    <n v="94.65"/>
    <n v="11358"/>
    <n v="-1032.44"/>
    <n v="0"/>
    <n v="1342.3229679999999"/>
    <n v="11667.882968"/>
  </r>
  <r>
    <x v="103"/>
    <x v="8"/>
    <x v="2"/>
    <x v="0"/>
    <s v="KEPL/01639/82-83"/>
    <s v="HORIZON INTERNATIONAL TRADERS"/>
    <x v="0"/>
    <x v="9"/>
    <n v="1"/>
    <n v="180"/>
    <n v="70.989999999999995"/>
    <n v="12778.2"/>
    <n v="-1161.54"/>
    <n v="0"/>
    <n v="1510.1659890000001"/>
    <n v="13126.825989000001"/>
  </r>
  <r>
    <x v="103"/>
    <x v="8"/>
    <x v="2"/>
    <x v="0"/>
    <s v="KEPL/01639/82-83"/>
    <s v="HORIZON INTERNATIONAL TRADERS"/>
    <x v="0"/>
    <x v="2"/>
    <n v="1"/>
    <n v="180"/>
    <n v="62.21"/>
    <n v="11197.8"/>
    <n v="-1017.88"/>
    <n v="0"/>
    <n v="1323.389766"/>
    <n v="11503.309766"/>
  </r>
  <r>
    <x v="103"/>
    <x v="8"/>
    <x v="2"/>
    <x v="0"/>
    <s v="KEPL/01639/82-83"/>
    <s v="HORIZON INTERNATIONAL TRADERS"/>
    <x v="4"/>
    <x v="30"/>
    <n v="5"/>
    <n v="300"/>
    <n v="98.03"/>
    <n v="29409.000000000004"/>
    <n v="-2673.28"/>
    <n v="0"/>
    <n v="3475.6440350000003"/>
    <n v="30211.364034999999"/>
  </r>
  <r>
    <x v="103"/>
    <x v="8"/>
    <x v="2"/>
    <x v="0"/>
    <s v="KEPL/01639/82-83"/>
    <s v="HORIZON INTERNATIONAL TRADERS"/>
    <x v="0"/>
    <x v="17"/>
    <n v="1"/>
    <n v="180"/>
    <n v="118.3"/>
    <n v="21294"/>
    <n v="-1935.62"/>
    <n v="0"/>
    <n v="2516.5897150000001"/>
    <n v="21874.969714999999"/>
  </r>
  <r>
    <x v="103"/>
    <x v="8"/>
    <x v="2"/>
    <x v="0"/>
    <s v="KEPL/01639/82-83"/>
    <s v="HORIZON INTERNATIONAL TRADERS"/>
    <x v="4"/>
    <x v="29"/>
    <n v="1.61"/>
    <n v="193"/>
    <n v="57.46"/>
    <n v="11089.78"/>
    <n v="-1008.06"/>
    <n v="0"/>
    <n v="1310.6237639999999"/>
    <n v="11392.343763999999"/>
  </r>
  <r>
    <x v="103"/>
    <x v="8"/>
    <x v="2"/>
    <x v="0"/>
    <s v="KEPL/01643/82-83"/>
    <s v="GORIN TRADING "/>
    <x v="0"/>
    <x v="42"/>
    <n v="0.42"/>
    <n v="50"/>
    <n v="94.65"/>
    <n v="4732.5"/>
    <n v="-430.18"/>
    <n v="0"/>
    <n v="559.30158800000004"/>
    <n v="4861.621588"/>
  </r>
  <r>
    <x v="103"/>
    <x v="8"/>
    <x v="2"/>
    <x v="0"/>
    <s v="KEPL/01643/82-83"/>
    <s v="GORIN TRADING "/>
    <x v="3"/>
    <x v="31"/>
    <n v="1"/>
    <n v="72"/>
    <n v="148.72999999999999"/>
    <n v="10708.56"/>
    <n v="-973.41"/>
    <n v="0"/>
    <n v="1265.5694719999999"/>
    <n v="11000.719472000001"/>
  </r>
  <r>
    <x v="103"/>
    <x v="8"/>
    <x v="2"/>
    <x v="0"/>
    <s v="KEPL/01643/82-83"/>
    <s v="GORIN TRADING "/>
    <x v="2"/>
    <x v="7"/>
    <n v="1"/>
    <n v="120"/>
    <n v="152.11000000000001"/>
    <n v="18253.2"/>
    <n v="-1659.2199999999998"/>
    <n v="0"/>
    <n v="2157.217353"/>
    <n v="18751.197353"/>
  </r>
  <r>
    <x v="103"/>
    <x v="8"/>
    <x v="2"/>
    <x v="0"/>
    <s v="KEPL/01643/82-83"/>
    <s v="GORIN TRADING "/>
    <x v="0"/>
    <x v="48"/>
    <n v="0.33"/>
    <n v="60"/>
    <n v="81.13"/>
    <n v="4867.8"/>
    <n v="-442.48"/>
    <n v="0"/>
    <n v="575.29158699999994"/>
    <n v="5000.6115870000003"/>
  </r>
  <r>
    <x v="103"/>
    <x v="8"/>
    <x v="2"/>
    <x v="0"/>
    <s v="KEPL/01644/82-83"/>
    <s v="GORIN TRADING "/>
    <x v="1"/>
    <x v="13"/>
    <n v="0.5"/>
    <n v="50"/>
    <n v="137.5"/>
    <n v="6875"/>
    <n v="-624.94000000000005"/>
    <n v="0"/>
    <n v="0"/>
    <n v="6250.06"/>
  </r>
  <r>
    <x v="103"/>
    <x v="8"/>
    <x v="2"/>
    <x v="0"/>
    <s v="KEPL/01644/82-83"/>
    <s v="GORIN TRADING "/>
    <x v="1"/>
    <x v="12"/>
    <n v="0.5"/>
    <n v="20"/>
    <n v="336.13"/>
    <n v="6722.5999999999995"/>
    <n v="-611.08000000000004"/>
    <n v="0"/>
    <n v="0"/>
    <n v="6111.52"/>
  </r>
  <r>
    <x v="104"/>
    <x v="8"/>
    <x v="2"/>
    <x v="0"/>
    <s v="KEPL/01648/82-83"/>
    <s v="BEERA BARJEE INTERNATIONAL PVT.LTD"/>
    <x v="2"/>
    <x v="22"/>
    <n v="1"/>
    <n v="40"/>
    <n v="283.94"/>
    <n v="11357.599999999999"/>
    <n v="-1032.4099999999999"/>
    <n v="0"/>
    <n v="1342.2749650000001"/>
    <n v="11667.464964999999"/>
  </r>
  <r>
    <x v="104"/>
    <x v="8"/>
    <x v="2"/>
    <x v="0"/>
    <s v="KEPL/01648/82-83"/>
    <s v="BEERA BARJEE INTERNATIONAL PVT.LTD"/>
    <x v="0"/>
    <x v="0"/>
    <n v="1"/>
    <n v="180"/>
    <n v="64.23"/>
    <n v="11561.4"/>
    <n v="-1050.9299999999998"/>
    <n v="0"/>
    <n v="1366.3613700000001"/>
    <n v="11876.83137"/>
  </r>
  <r>
    <x v="104"/>
    <x v="8"/>
    <x v="2"/>
    <x v="0"/>
    <s v="KEPL/01648/82-83"/>
    <s v="BEERA BARJEE INTERNATIONAL PVT.LTD"/>
    <x v="0"/>
    <x v="11"/>
    <n v="1"/>
    <n v="180"/>
    <n v="64.23"/>
    <n v="11561.4"/>
    <n v="-1050.9299999999998"/>
    <n v="0"/>
    <n v="1366.3613700000001"/>
    <n v="11876.83137"/>
  </r>
  <r>
    <x v="104"/>
    <x v="8"/>
    <x v="2"/>
    <x v="0"/>
    <s v="KEPL/01648/82-83"/>
    <s v="BEERA BARJEE INTERNATIONAL PVT.LTD"/>
    <x v="2"/>
    <x v="23"/>
    <n v="1"/>
    <n v="180"/>
    <n v="182.53"/>
    <n v="32855.4"/>
    <n v="-2986.56"/>
    <n v="0"/>
    <n v="3882.949967"/>
    <n v="33751.789966999997"/>
  </r>
  <r>
    <x v="104"/>
    <x v="8"/>
    <x v="2"/>
    <x v="0"/>
    <s v="KEPL/01648/82-83"/>
    <s v="BEERA BARJEE INTERNATIONAL PVT.LTD"/>
    <x v="0"/>
    <x v="37"/>
    <n v="1"/>
    <n v="180"/>
    <n v="98.03"/>
    <n v="17645.400000000001"/>
    <n v="-1603.97"/>
    <n v="0"/>
    <n v="2085.3863120000001"/>
    <n v="18126.816311999999"/>
  </r>
  <r>
    <x v="104"/>
    <x v="8"/>
    <x v="2"/>
    <x v="0"/>
    <s v="KEPL/01648/82-83"/>
    <s v="BEERA BARJEE INTERNATIONAL PVT.LTD"/>
    <x v="1"/>
    <x v="6"/>
    <n v="1"/>
    <n v="100"/>
    <n v="162.26"/>
    <n v="16226"/>
    <n v="-1474.94"/>
    <n v="0"/>
    <n v="1917.6381789999998"/>
    <n v="16668.698178999999"/>
  </r>
  <r>
    <x v="104"/>
    <x v="8"/>
    <x v="2"/>
    <x v="0"/>
    <s v="KEPL/01648/82-83"/>
    <s v="BEERA BARJEE INTERNATIONAL PVT.LTD"/>
    <x v="0"/>
    <x v="17"/>
    <n v="1"/>
    <n v="180"/>
    <n v="118.3"/>
    <n v="21294"/>
    <n v="-1935.62"/>
    <n v="0"/>
    <n v="2516.5898969999998"/>
    <n v="21874.969896999999"/>
  </r>
  <r>
    <x v="104"/>
    <x v="8"/>
    <x v="2"/>
    <x v="0"/>
    <s v="KEPL/01648/82-83"/>
    <s v="BEERA BARJEE INTERNATIONAL PVT.LTD"/>
    <x v="0"/>
    <x v="2"/>
    <n v="1"/>
    <n v="180"/>
    <n v="64.23"/>
    <n v="11561.4"/>
    <n v="-1050.9299999999998"/>
    <n v="0"/>
    <n v="1366.3613700000001"/>
    <n v="11876.83137"/>
  </r>
  <r>
    <x v="104"/>
    <x v="8"/>
    <x v="2"/>
    <x v="0"/>
    <s v="KEPL/01648/82-83"/>
    <s v="BEERA BARJEE INTERNATIONAL PVT.LTD"/>
    <x v="3"/>
    <x v="31"/>
    <n v="1"/>
    <n v="72"/>
    <n v="148.72999999999999"/>
    <n v="10708.56"/>
    <n v="-973.41"/>
    <n v="0"/>
    <n v="1265.5697500000001"/>
    <n v="11000.71975"/>
  </r>
  <r>
    <x v="104"/>
    <x v="8"/>
    <x v="2"/>
    <x v="0"/>
    <s v="KEPL/01648/82-83"/>
    <s v="BEERA BARJEE INTERNATIONAL PVT.LTD"/>
    <x v="2"/>
    <x v="7"/>
    <n v="1"/>
    <n v="120"/>
    <n v="148.74"/>
    <n v="17848.8"/>
    <n v="-1622.46"/>
    <n v="0"/>
    <n v="2109.4246170000001"/>
    <n v="18335.764617000001"/>
  </r>
  <r>
    <x v="104"/>
    <x v="8"/>
    <x v="2"/>
    <x v="0"/>
    <s v="KEPL/01648/82-83"/>
    <s v="BEERA BARJEE INTERNATIONAL PVT.LTD"/>
    <x v="4"/>
    <x v="30"/>
    <n v="2"/>
    <n v="120"/>
    <n v="98.03"/>
    <n v="11763.6"/>
    <n v="-1069.3100000000002"/>
    <n v="0"/>
    <n v="1390.2579750000002"/>
    <n v="12084.547974999999"/>
  </r>
  <r>
    <x v="104"/>
    <x v="8"/>
    <x v="2"/>
    <x v="0"/>
    <s v="KEPL/01648/82-83"/>
    <s v="BEERA BARJEE INTERNATIONAL PVT.LTD"/>
    <x v="2"/>
    <x v="34"/>
    <n v="1"/>
    <n v="80"/>
    <n v="229.86"/>
    <n v="18388.8"/>
    <n v="-1671.54"/>
    <n v="0"/>
    <n v="2173.2442289999999"/>
    <n v="18890.504228999998"/>
  </r>
  <r>
    <x v="104"/>
    <x v="8"/>
    <x v="2"/>
    <x v="0"/>
    <s v="KEPL/01649/82-83"/>
    <s v="BEERA BARJEE INTERNATIONAL PVT.LTD"/>
    <x v="1"/>
    <x v="13"/>
    <n v="1"/>
    <n v="100"/>
    <n v="137.5"/>
    <n v="13750"/>
    <n v="-1249.8800000000001"/>
    <n v="0"/>
    <n v="0"/>
    <n v="12500.12"/>
  </r>
  <r>
    <x v="104"/>
    <x v="8"/>
    <x v="2"/>
    <x v="0"/>
    <s v="KEPL/01658/82-83"/>
    <s v="DINESH TRADING HOUSE"/>
    <x v="2"/>
    <x v="7"/>
    <n v="0.25"/>
    <n v="30"/>
    <n v="152.11000000000001"/>
    <n v="4563.3"/>
    <n v="-414.8"/>
    <n v="0"/>
    <n v="539.30508999999995"/>
    <n v="4687.8050899999998"/>
  </r>
  <r>
    <x v="104"/>
    <x v="8"/>
    <x v="2"/>
    <x v="0"/>
    <s v="KEPL/01658/82-83"/>
    <s v="DINESH TRADING HOUSE"/>
    <x v="0"/>
    <x v="35"/>
    <n v="0.25"/>
    <n v="20"/>
    <n v="169.01"/>
    <n v="3380.2"/>
    <n v="-307.26"/>
    <n v="0"/>
    <n v="399.48226700000004"/>
    <n v="3472.4222669999999"/>
  </r>
  <r>
    <x v="104"/>
    <x v="8"/>
    <x v="2"/>
    <x v="0"/>
    <s v="KEPL/01658/82-83"/>
    <s v="DINESH TRADING HOUSE"/>
    <x v="0"/>
    <x v="45"/>
    <n v="0.13"/>
    <n v="10"/>
    <n v="141.97"/>
    <n v="1419.6999999999998"/>
    <n v="-129.05000000000001"/>
    <n v="0"/>
    <n v="167.78452799999999"/>
    <n v="1458.434528"/>
  </r>
  <r>
    <x v="104"/>
    <x v="8"/>
    <x v="2"/>
    <x v="0"/>
    <s v="KEPL/01658/82-83"/>
    <s v="DINESH TRADING HOUSE"/>
    <x v="0"/>
    <x v="42"/>
    <n v="0.17"/>
    <n v="20"/>
    <n v="94.65"/>
    <n v="1893"/>
    <n v="-172.07"/>
    <n v="0"/>
    <n v="223.72093699999999"/>
    <n v="1944.6509370000001"/>
  </r>
  <r>
    <x v="104"/>
    <x v="8"/>
    <x v="2"/>
    <x v="0"/>
    <s v="KEPL/01658/82-83"/>
    <s v="DINESH TRADING HOUSE"/>
    <x v="0"/>
    <x v="9"/>
    <n v="0.22"/>
    <n v="40"/>
    <n v="70.989999999999995"/>
    <n v="2839.6"/>
    <n v="-258.12"/>
    <n v="0"/>
    <n v="335.59245599999997"/>
    <n v="2917.0724559999999"/>
  </r>
  <r>
    <x v="104"/>
    <x v="8"/>
    <x v="2"/>
    <x v="0"/>
    <s v="KEPL/01658/82-83"/>
    <s v="DINESH TRADING HOUSE"/>
    <x v="0"/>
    <x v="32"/>
    <n v="0.17"/>
    <n v="20"/>
    <n v="64.23"/>
    <n v="1284.5999999999999"/>
    <n v="-116.77"/>
    <n v="0"/>
    <n v="151.817925"/>
    <n v="1319.647925"/>
  </r>
  <r>
    <x v="104"/>
    <x v="8"/>
    <x v="2"/>
    <x v="0"/>
    <s v="KEPL/01658/82-83"/>
    <s v="DINESH TRADING HOUSE"/>
    <x v="0"/>
    <x v="2"/>
    <n v="0.22"/>
    <n v="40"/>
    <n v="64.23"/>
    <n v="2569.1999999999998"/>
    <n v="-233.54"/>
    <n v="0"/>
    <n v="303.635851"/>
    <n v="2639.2958509999999"/>
  </r>
  <r>
    <x v="104"/>
    <x v="8"/>
    <x v="2"/>
    <x v="0"/>
    <s v="KEPL/01658/82-83"/>
    <s v="DINESH TRADING HOUSE"/>
    <x v="2"/>
    <x v="33"/>
    <n v="0.17"/>
    <n v="30"/>
    <n v="91.27"/>
    <n v="2738.1"/>
    <n v="-248.89"/>
    <n v="0"/>
    <n v="323.59735400000005"/>
    <n v="2812.807354"/>
  </r>
  <r>
    <x v="104"/>
    <x v="8"/>
    <x v="2"/>
    <x v="0"/>
    <s v="KEPL/01658/82-83"/>
    <s v="DINESH TRADING HOUSE"/>
    <x v="0"/>
    <x v="38"/>
    <n v="0.08"/>
    <n v="10"/>
    <n v="84.51"/>
    <n v="845.1"/>
    <n v="-76.819999999999993"/>
    <n v="0"/>
    <n v="99.876416999999989"/>
    <n v="868.15641700000003"/>
  </r>
  <r>
    <x v="104"/>
    <x v="8"/>
    <x v="2"/>
    <x v="0"/>
    <s v="KEPL/01658/82-83"/>
    <s v="DINESH TRADING HOUSE"/>
    <x v="2"/>
    <x v="34"/>
    <n v="0.13"/>
    <n v="10"/>
    <n v="229.86"/>
    <n v="2298.6"/>
    <n v="-208.94"/>
    <n v="0"/>
    <n v="271.655846"/>
    <n v="2361.315846"/>
  </r>
  <r>
    <x v="104"/>
    <x v="8"/>
    <x v="2"/>
    <x v="0"/>
    <s v="KEPL/01658/82-83"/>
    <s v="DINESH TRADING HOUSE"/>
    <x v="0"/>
    <x v="39"/>
    <n v="0.23"/>
    <n v="40"/>
    <n v="83.82"/>
    <n v="3352.9"/>
    <n v="-304.77999999999997"/>
    <n v="0"/>
    <n v="396.25566600000002"/>
    <n v="3444.3756659999999"/>
  </r>
  <r>
    <x v="104"/>
    <x v="8"/>
    <x v="2"/>
    <x v="0"/>
    <s v="KEPL/01658/82-83"/>
    <s v="DINESH TRADING HOUSE"/>
    <x v="0"/>
    <x v="36"/>
    <n v="0.25"/>
    <n v="20"/>
    <n v="155.49"/>
    <n v="3109.7999999999997"/>
    <n v="-282.68"/>
    <n v="0"/>
    <n v="367.52566200000001"/>
    <n v="3194.6456619999999"/>
  </r>
  <r>
    <x v="105"/>
    <x v="8"/>
    <x v="2"/>
    <x v="0"/>
    <s v="KEPL/01661/82-83"/>
    <s v="MEGA MART PVT.LTD"/>
    <x v="3"/>
    <x v="31"/>
    <n v="1.33"/>
    <n v="96"/>
    <n v="140.18"/>
    <n v="13457.28"/>
    <n v="0"/>
    <n v="0"/>
    <n v="1749.4488939999999"/>
    <n v="15206.728894"/>
  </r>
  <r>
    <x v="105"/>
    <x v="8"/>
    <x v="2"/>
    <x v="0"/>
    <s v="KEPL/01661/82-83"/>
    <s v="MEGA MART PVT.LTD"/>
    <x v="3"/>
    <x v="26"/>
    <n v="0.67"/>
    <n v="48"/>
    <n v="124.25"/>
    <n v="5964"/>
    <n v="0"/>
    <n v="0"/>
    <n v="775.3211060000001"/>
    <n v="6739.3211060000003"/>
  </r>
  <r>
    <x v="105"/>
    <x v="8"/>
    <x v="2"/>
    <x v="0"/>
    <s v="KEPL/01666/82-83"/>
    <s v="DINESH TRADING HOUSE"/>
    <x v="2"/>
    <x v="5"/>
    <n v="0.17"/>
    <n v="30"/>
    <n v="94.65"/>
    <n v="2839.5"/>
    <n v="-258.11"/>
    <n v="0"/>
    <n v="335.58"/>
    <n v="2916.97"/>
  </r>
  <r>
    <x v="105"/>
    <x v="8"/>
    <x v="2"/>
    <x v="0"/>
    <s v="KEPL/01668/82-83"/>
    <s v="DS SPICECO L &amp; D"/>
    <x v="0"/>
    <x v="44"/>
    <n v="0.01"/>
    <n v="1"/>
    <n v="128.44999999999999"/>
    <n v="128.44999999999999"/>
    <n v="-11.68"/>
    <n v="0"/>
    <n v="15.180720000000001"/>
    <n v="131.95071999999999"/>
  </r>
  <r>
    <x v="105"/>
    <x v="8"/>
    <x v="2"/>
    <x v="0"/>
    <s v="KEPL/01668/82-83"/>
    <s v="DS SPICECO L &amp; D"/>
    <x v="0"/>
    <x v="21"/>
    <n v="0.01"/>
    <n v="1"/>
    <n v="185.92"/>
    <n v="185.92"/>
    <n v="-16.899999999999999"/>
    <n v="0"/>
    <n v="21.973496999999998"/>
    <n v="190.99349699999999"/>
  </r>
  <r>
    <x v="105"/>
    <x v="8"/>
    <x v="2"/>
    <x v="0"/>
    <s v="KEPL/01668/82-83"/>
    <s v="DS SPICECO L &amp; D"/>
    <x v="0"/>
    <x v="41"/>
    <n v="0.01"/>
    <n v="1"/>
    <n v="162.25"/>
    <n v="162.25"/>
    <n v="-14.75"/>
    <n v="0"/>
    <n v="19.175782999999999"/>
    <n v="166.675783"/>
  </r>
  <r>
    <x v="106"/>
    <x v="8"/>
    <x v="2"/>
    <x v="0"/>
    <s v="KEPL/01672/82-83"/>
    <s v="SALEWAYS CASH AND CARRY PVT LTD "/>
    <x v="1"/>
    <x v="12"/>
    <n v="5"/>
    <n v="200"/>
    <n v="330"/>
    <n v="66000"/>
    <s v=""/>
    <s v=""/>
    <s v=""/>
    <n v="66000"/>
  </r>
  <r>
    <x v="106"/>
    <x v="8"/>
    <x v="2"/>
    <x v="0"/>
    <s v="KEPL/01672/82-83"/>
    <s v="SALEWAYS CASH AND CARRY PVT LTD "/>
    <x v="1"/>
    <x v="13"/>
    <n v="4"/>
    <n v="400"/>
    <n v="135"/>
    <n v="54000.000000000007"/>
    <s v=""/>
    <s v=""/>
    <s v=""/>
    <n v="54000"/>
  </r>
  <r>
    <x v="106"/>
    <x v="8"/>
    <x v="2"/>
    <x v="0"/>
    <s v="KEPL/01673/82-83"/>
    <s v="SALEWAYS CASH AND CARRY PVT LTD "/>
    <x v="0"/>
    <x v="21"/>
    <n v="1"/>
    <n v="80"/>
    <n v="182.52"/>
    <n v="14601.6"/>
    <n v="0"/>
    <n v="0"/>
    <n v="1898.2081209999999"/>
    <n v="16499.808120999998"/>
  </r>
  <r>
    <x v="106"/>
    <x v="8"/>
    <x v="2"/>
    <x v="0"/>
    <s v="KEPL/01673/82-83"/>
    <s v="SALEWAYS CASH AND CARRY PVT LTD "/>
    <x v="0"/>
    <x v="15"/>
    <n v="3"/>
    <n v="540"/>
    <n v="112.83"/>
    <n v="60928.2"/>
    <n v="0"/>
    <n v="0"/>
    <n v="7920.6665060000005"/>
    <n v="68848.866506000006"/>
  </r>
  <r>
    <x v="106"/>
    <x v="8"/>
    <x v="2"/>
    <x v="0"/>
    <s v="KEPL/01673/82-83"/>
    <s v="SALEWAYS CASH AND CARRY PVT LTD "/>
    <x v="1"/>
    <x v="3"/>
    <n v="5"/>
    <n v="200"/>
    <n v="386.28"/>
    <n v="77256"/>
    <n v="0"/>
    <n v="0"/>
    <n v="10043.280642"/>
    <n v="87299.280641999998"/>
  </r>
  <r>
    <x v="106"/>
    <x v="8"/>
    <x v="2"/>
    <x v="0"/>
    <s v="KEPL/01673/82-83"/>
    <s v="SALEWAYS CASH AND CARRY PVT LTD "/>
    <x v="0"/>
    <x v="45"/>
    <n v="1"/>
    <n v="80"/>
    <n v="139.38"/>
    <n v="11150.4"/>
    <n v="0"/>
    <n v="0"/>
    <n v="1449.552093"/>
    <n v="12599.952093"/>
  </r>
  <r>
    <x v="106"/>
    <x v="8"/>
    <x v="2"/>
    <x v="0"/>
    <s v="KEPL/01673/82-83"/>
    <s v="SALEWAYS CASH AND CARRY PVT LTD "/>
    <x v="0"/>
    <x v="10"/>
    <n v="3"/>
    <n v="540"/>
    <n v="59.73"/>
    <n v="32254.2"/>
    <n v="0"/>
    <n v="0"/>
    <n v="4193.0462680000001"/>
    <n v="36447.246268000003"/>
  </r>
  <r>
    <x v="106"/>
    <x v="8"/>
    <x v="2"/>
    <x v="0"/>
    <s v="KEPL/01673/82-83"/>
    <s v="SALEWAYS CASH AND CARRY PVT LTD "/>
    <x v="2"/>
    <x v="34"/>
    <n v="1"/>
    <n v="80"/>
    <n v="225.66"/>
    <n v="18052.8"/>
    <n v="0"/>
    <n v="0"/>
    <n v="2346.8641499999999"/>
    <n v="20399.664150000001"/>
  </r>
  <r>
    <x v="106"/>
    <x v="8"/>
    <x v="2"/>
    <x v="0"/>
    <s v="KEPL/01673/82-83"/>
    <s v="SALEWAYS CASH AND CARRY PVT LTD "/>
    <x v="0"/>
    <x v="40"/>
    <n v="1"/>
    <n v="120"/>
    <n v="76.33"/>
    <n v="9159.6"/>
    <n v="0"/>
    <n v="0"/>
    <n v="1190.7480760000001"/>
    <n v="10350.348076"/>
  </r>
  <r>
    <x v="106"/>
    <x v="8"/>
    <x v="2"/>
    <x v="0"/>
    <s v="KEPL/01673/82-83"/>
    <s v="SALEWAYS CASH AND CARRY PVT LTD "/>
    <x v="2"/>
    <x v="24"/>
    <n v="1"/>
    <n v="40"/>
    <n v="431.42"/>
    <n v="17256.8"/>
    <n v="0"/>
    <n v="0"/>
    <n v="2243.3841430000002"/>
    <n v="19500.184142999999"/>
  </r>
  <r>
    <x v="106"/>
    <x v="8"/>
    <x v="2"/>
    <x v="0"/>
    <s v="KEPL/01674/82-83"/>
    <s v="SALEWAYS CASH AND CARRY PVT LTD "/>
    <x v="5"/>
    <x v="43"/>
    <n v="5"/>
    <n v="300"/>
    <n v="146.02000000000001"/>
    <n v="43805.999999999993"/>
    <n v="0"/>
    <n v="0"/>
    <n v="5694.7801340000005"/>
    <n v="49500.780134000001"/>
  </r>
  <r>
    <x v="106"/>
    <x v="8"/>
    <x v="2"/>
    <x v="0"/>
    <s v="KEPL/01674/82-83"/>
    <s v="SALEWAYS CASH AND CARRY PVT LTD "/>
    <x v="0"/>
    <x v="44"/>
    <n v="2"/>
    <n v="360"/>
    <n v="126.11"/>
    <n v="45399.6"/>
    <n v="0"/>
    <n v="0"/>
    <n v="5901.9481389999992"/>
    <n v="51301.548138999999"/>
  </r>
  <r>
    <x v="106"/>
    <x v="8"/>
    <x v="2"/>
    <x v="0"/>
    <s v="KEPL/01674/82-83"/>
    <s v="SALEWAYS CASH AND CARRY PVT LTD "/>
    <x v="3"/>
    <x v="31"/>
    <n v="3"/>
    <n v="216"/>
    <n v="146.02000000000001"/>
    <n v="31540.32"/>
    <n v="0"/>
    <n v="0"/>
    <n v="4100.2416970000004"/>
    <n v="35640.561696999997"/>
  </r>
  <r>
    <x v="106"/>
    <x v="8"/>
    <x v="2"/>
    <x v="0"/>
    <s v="KEPL/01674/82-83"/>
    <s v="SALEWAYS CASH AND CARRY PVT LTD "/>
    <x v="3"/>
    <x v="46"/>
    <n v="1"/>
    <n v="100"/>
    <n v="96.24"/>
    <n v="9624"/>
    <n v="0"/>
    <n v="0"/>
    <n v="1251.12003"/>
    <n v="10875.12003"/>
  </r>
  <r>
    <x v="106"/>
    <x v="8"/>
    <x v="2"/>
    <x v="0"/>
    <s v="KEPL/01674/82-83"/>
    <s v="SALEWAYS CASH AND CARRY PVT LTD "/>
    <x v="2"/>
    <x v="5"/>
    <n v="5"/>
    <n v="900"/>
    <n v="79.650000000000006"/>
    <n v="71685"/>
    <n v="0"/>
    <n v="0"/>
    <n v="9319.050220000001"/>
    <n v="81004.050220000005"/>
  </r>
  <r>
    <x v="106"/>
    <x v="8"/>
    <x v="2"/>
    <x v="0"/>
    <s v="KEPL/01674/82-83"/>
    <s v="SALEWAYS CASH AND CARRY PVT LTD "/>
    <x v="0"/>
    <x v="19"/>
    <n v="2"/>
    <n v="360"/>
    <n v="152.65"/>
    <n v="54954"/>
    <n v="0"/>
    <n v="0"/>
    <n v="7144.020168"/>
    <n v="62098.020168000003"/>
  </r>
  <r>
    <x v="106"/>
    <x v="8"/>
    <x v="2"/>
    <x v="0"/>
    <s v="KEPL/01674/82-83"/>
    <s v="SALEWAYS CASH AND CARRY PVT LTD "/>
    <x v="0"/>
    <x v="17"/>
    <n v="5"/>
    <n v="900"/>
    <n v="116.15"/>
    <n v="104535"/>
    <n v="0"/>
    <n v="0"/>
    <n v="13589.550321000001"/>
    <n v="118124.550321"/>
  </r>
  <r>
    <x v="106"/>
    <x v="8"/>
    <x v="2"/>
    <x v="0"/>
    <s v="KEPL/01674/82-83"/>
    <s v="SALEWAYS CASH AND CARRY PVT LTD "/>
    <x v="0"/>
    <x v="27"/>
    <n v="3"/>
    <n v="360"/>
    <n v="112.83"/>
    <n v="40618.799999999996"/>
    <n v="0"/>
    <n v="0"/>
    <n v="5280.444125"/>
    <n v="45899.244124999997"/>
  </r>
  <r>
    <x v="106"/>
    <x v="8"/>
    <x v="2"/>
    <x v="0"/>
    <s v="KEPL/01674/82-83"/>
    <s v="SALEWAYS CASH AND CARRY PVT LTD "/>
    <x v="0"/>
    <x v="38"/>
    <n v="2"/>
    <n v="240"/>
    <n v="82.96"/>
    <n v="19910.400000000001"/>
    <n v="0"/>
    <n v="0"/>
    <n v="2588.352061"/>
    <n v="22498.752060999999"/>
  </r>
  <r>
    <x v="106"/>
    <x v="8"/>
    <x v="2"/>
    <x v="0"/>
    <s v="KEPL/01674/82-83"/>
    <s v="SALEWAYS CASH AND CARRY PVT LTD "/>
    <x v="0"/>
    <x v="35"/>
    <n v="1"/>
    <n v="80"/>
    <n v="165.93"/>
    <n v="13274.4"/>
    <n v="0"/>
    <n v="0"/>
    <n v="1725.672041"/>
    <n v="15000.072040999999"/>
  </r>
  <r>
    <x v="106"/>
    <x v="8"/>
    <x v="2"/>
    <x v="0"/>
    <s v="KEPL/01674/82-83"/>
    <s v="SALEWAYS CASH AND CARRY PVT LTD "/>
    <x v="2"/>
    <x v="8"/>
    <n v="3"/>
    <n v="360"/>
    <n v="49.78"/>
    <n v="17920.8"/>
    <n v="0"/>
    <n v="0"/>
    <n v="2329.7040550000002"/>
    <n v="20250.504055000001"/>
  </r>
  <r>
    <x v="106"/>
    <x v="8"/>
    <x v="2"/>
    <x v="0"/>
    <s v="KEPL/01674/82-83"/>
    <s v="SALEWAYS CASH AND CARRY PVT LTD "/>
    <x v="0"/>
    <x v="36"/>
    <n v="2"/>
    <n v="160"/>
    <n v="152.65"/>
    <n v="24423.999999999996"/>
    <n v="0"/>
    <n v="0"/>
    <n v="3175.1200749999998"/>
    <n v="27599.120074999999"/>
  </r>
  <r>
    <x v="106"/>
    <x v="8"/>
    <x v="2"/>
    <x v="0"/>
    <s v="KEPL/01674/82-83"/>
    <s v="SALEWAYS CASH AND CARRY PVT LTD "/>
    <x v="2"/>
    <x v="23"/>
    <n v="5"/>
    <n v="900"/>
    <n v="155.97"/>
    <n v="140373"/>
    <n v="0"/>
    <n v="0"/>
    <n v="18248.490430000002"/>
    <n v="158621.49043000001"/>
  </r>
  <r>
    <x v="106"/>
    <x v="8"/>
    <x v="2"/>
    <x v="0"/>
    <s v="KEPL/01674/82-83"/>
    <s v="SALEWAYS CASH AND CARRY PVT LTD "/>
    <x v="1"/>
    <x v="6"/>
    <n v="4"/>
    <n v="400"/>
    <n v="159.29"/>
    <n v="63716"/>
    <n v="0"/>
    <n v="0"/>
    <n v="8283.0801950000005"/>
    <n v="71999.080195000002"/>
  </r>
  <r>
    <x v="106"/>
    <x v="8"/>
    <x v="2"/>
    <x v="0"/>
    <s v="KEPL/01674/82-83"/>
    <s v="SALEWAYS CASH AND CARRY PVT LTD "/>
    <x v="0"/>
    <x v="2"/>
    <n v="5"/>
    <n v="900"/>
    <n v="61.06"/>
    <n v="54954"/>
    <n v="0"/>
    <n v="0"/>
    <n v="7144.020168"/>
    <n v="62098.020168000003"/>
  </r>
  <r>
    <x v="106"/>
    <x v="8"/>
    <x v="2"/>
    <x v="0"/>
    <s v="KEPL/01674/82-83"/>
    <s v="SALEWAYS CASH AND CARRY PVT LTD "/>
    <x v="0"/>
    <x v="48"/>
    <n v="2"/>
    <n v="360"/>
    <n v="79.650000000000006"/>
    <n v="28674"/>
    <n v="0"/>
    <n v="0"/>
    <n v="3727.6200880000001"/>
    <n v="32401.620088"/>
  </r>
  <r>
    <x v="106"/>
    <x v="8"/>
    <x v="2"/>
    <x v="0"/>
    <s v="KEPL/01674/82-83"/>
    <s v="SALEWAYS CASH AND CARRY PVT LTD "/>
    <x v="0"/>
    <x v="37"/>
    <n v="1"/>
    <n v="180"/>
    <n v="96.24"/>
    <n v="17323.2"/>
    <n v="0"/>
    <n v="0"/>
    <n v="2252.0160529999998"/>
    <n v="19575.216053"/>
  </r>
  <r>
    <x v="106"/>
    <x v="8"/>
    <x v="2"/>
    <x v="0"/>
    <s v="KEPL/01675/82-83"/>
    <s v="SALEWAYS CASH AND CARRY PVT LTD "/>
    <x v="0"/>
    <x v="11"/>
    <n v="5"/>
    <n v="900"/>
    <n v="63.05"/>
    <n v="56745"/>
    <n v="0"/>
    <n v="0"/>
    <n v="7376.8500360000007"/>
    <n v="64121.850036000003"/>
  </r>
  <r>
    <x v="106"/>
    <x v="8"/>
    <x v="2"/>
    <x v="0"/>
    <s v="KEPL/01675/82-83"/>
    <s v="SALEWAYS CASH AND CARRY PVT LTD "/>
    <x v="1"/>
    <x v="4"/>
    <n v="3"/>
    <n v="120"/>
    <n v="255.53"/>
    <n v="30663.600000000002"/>
    <n v="0"/>
    <n v="0"/>
    <n v="3986.2680190000001"/>
    <n v="34649.868019000001"/>
  </r>
  <r>
    <x v="106"/>
    <x v="8"/>
    <x v="2"/>
    <x v="0"/>
    <s v="KEPL/01675/82-83"/>
    <s v="SALEWAYS CASH AND CARRY PVT LTD "/>
    <x v="0"/>
    <x v="14"/>
    <n v="5"/>
    <n v="900"/>
    <n v="132.74"/>
    <n v="119466"/>
    <n v="0"/>
    <n v="0"/>
    <n v="15530.580075"/>
    <n v="134996.58007500001"/>
  </r>
  <r>
    <x v="106"/>
    <x v="8"/>
    <x v="2"/>
    <x v="0"/>
    <s v="KEPL/01675/82-83"/>
    <s v="SALEWAYS CASH AND CARRY PVT LTD "/>
    <x v="3"/>
    <x v="26"/>
    <n v="3"/>
    <n v="216"/>
    <n v="129.41999999999999"/>
    <n v="27954.719999999998"/>
    <n v="0"/>
    <n v="0"/>
    <n v="3634.1136179999999"/>
    <n v="31588.833618000001"/>
  </r>
  <r>
    <x v="106"/>
    <x v="8"/>
    <x v="2"/>
    <x v="0"/>
    <s v="KEPL/01675/82-83"/>
    <s v="SALEWAYS CASH AND CARRY PVT LTD "/>
    <x v="0"/>
    <x v="16"/>
    <n v="3"/>
    <n v="360"/>
    <n v="116.15"/>
    <n v="41814"/>
    <n v="0"/>
    <n v="0"/>
    <n v="5435.8200260000003"/>
    <n v="47249.820026000001"/>
  </r>
  <r>
    <x v="106"/>
    <x v="8"/>
    <x v="2"/>
    <x v="0"/>
    <s v="KEPL/01675/82-83"/>
    <s v="SALEWAYS CASH AND CARRY PVT LTD "/>
    <x v="2"/>
    <x v="28"/>
    <n v="1"/>
    <n v="80"/>
    <n v="165.93"/>
    <n v="13274.4"/>
    <n v="0"/>
    <n v="0"/>
    <n v="1725.672008"/>
    <n v="15000.072007999999"/>
  </r>
  <r>
    <x v="106"/>
    <x v="8"/>
    <x v="2"/>
    <x v="0"/>
    <s v="KEPL/01675/82-83"/>
    <s v="SALEWAYS CASH AND CARRY PVT LTD "/>
    <x v="0"/>
    <x v="18"/>
    <n v="1"/>
    <n v="120"/>
    <n v="146.02000000000001"/>
    <n v="17522.400000000001"/>
    <n v="0"/>
    <n v="0"/>
    <n v="2277.9120109999999"/>
    <n v="19800.312011000002"/>
  </r>
  <r>
    <x v="106"/>
    <x v="8"/>
    <x v="2"/>
    <x v="0"/>
    <s v="KEPL/01675/82-83"/>
    <s v="SALEWAYS CASH AND CARRY PVT LTD "/>
    <x v="0"/>
    <x v="9"/>
    <n v="5"/>
    <n v="900"/>
    <n v="69.69"/>
    <n v="62721"/>
    <n v="0"/>
    <n v="0"/>
    <n v="8153.730039"/>
    <n v="70874.730039000002"/>
  </r>
  <r>
    <x v="106"/>
    <x v="8"/>
    <x v="2"/>
    <x v="0"/>
    <s v="KEPL/01675/82-83"/>
    <s v="SALEWAYS CASH AND CARRY PVT LTD "/>
    <x v="0"/>
    <x v="41"/>
    <n v="1"/>
    <n v="120"/>
    <n v="155.97"/>
    <n v="18716.400000000001"/>
    <n v="0"/>
    <n v="0"/>
    <n v="2433.132012"/>
    <n v="21149.532012"/>
  </r>
  <r>
    <x v="106"/>
    <x v="8"/>
    <x v="2"/>
    <x v="0"/>
    <s v="KEPL/01675/82-83"/>
    <s v="SALEWAYS CASH AND CARRY PVT LTD "/>
    <x v="2"/>
    <x v="22"/>
    <n v="3"/>
    <n v="120"/>
    <n v="278.76"/>
    <n v="33451.200000000004"/>
    <n v="0"/>
    <n v="0"/>
    <n v="4348.6560209999998"/>
    <n v="37799.856021"/>
  </r>
  <r>
    <x v="106"/>
    <x v="8"/>
    <x v="2"/>
    <x v="0"/>
    <s v="KEPL/01675/82-83"/>
    <s v="SALEWAYS CASH AND CARRY PVT LTD "/>
    <x v="0"/>
    <x v="42"/>
    <n v="1"/>
    <n v="120"/>
    <n v="92.92"/>
    <n v="11150.4"/>
    <n v="0"/>
    <n v="0"/>
    <n v="1449.552007"/>
    <n v="12599.952007"/>
  </r>
  <r>
    <x v="106"/>
    <x v="8"/>
    <x v="2"/>
    <x v="0"/>
    <s v="KEPL/01675/82-83"/>
    <s v="SALEWAYS CASH AND CARRY PVT LTD "/>
    <x v="0"/>
    <x v="0"/>
    <n v="3"/>
    <n v="540"/>
    <n v="61.06"/>
    <n v="32972.400000000001"/>
    <n v="0"/>
    <n v="0"/>
    <n v="4286.4120210000001"/>
    <n v="37258.812020999998"/>
  </r>
  <r>
    <x v="106"/>
    <x v="8"/>
    <x v="2"/>
    <x v="0"/>
    <s v="KEPL/01675/82-83"/>
    <s v="SALEWAYS CASH AND CARRY PVT LTD "/>
    <x v="2"/>
    <x v="33"/>
    <n v="1"/>
    <n v="180"/>
    <n v="89.6"/>
    <n v="16128"/>
    <n v="0"/>
    <n v="0"/>
    <n v="2096.6400100000001"/>
    <n v="18224.640009999999"/>
  </r>
  <r>
    <x v="106"/>
    <x v="8"/>
    <x v="2"/>
    <x v="0"/>
    <s v="KEPL/01675/82-83"/>
    <s v="SALEWAYS CASH AND CARRY PVT LTD "/>
    <x v="4"/>
    <x v="30"/>
    <n v="6"/>
    <n v="360"/>
    <n v="96.24"/>
    <n v="34646.400000000001"/>
    <n v="0"/>
    <n v="0"/>
    <n v="4504.0320220000003"/>
    <n v="39150.432022000001"/>
  </r>
  <r>
    <x v="106"/>
    <x v="8"/>
    <x v="2"/>
    <x v="0"/>
    <s v="KEPL/01675/82-83"/>
    <s v="SALEWAYS CASH AND CARRY PVT LTD "/>
    <x v="3"/>
    <x v="47"/>
    <n v="2"/>
    <n v="200"/>
    <n v="69.69"/>
    <n v="13938"/>
    <n v="0"/>
    <n v="0"/>
    <n v="1811.9400089999999"/>
    <n v="15749.940009"/>
  </r>
  <r>
    <x v="106"/>
    <x v="8"/>
    <x v="2"/>
    <x v="0"/>
    <s v="KEPL/01675/82-83"/>
    <s v="SALEWAYS CASH AND CARRY PVT LTD "/>
    <x v="1"/>
    <x v="1"/>
    <n v="2"/>
    <n v="200"/>
    <n v="106.19"/>
    <n v="21238"/>
    <n v="0"/>
    <n v="0"/>
    <n v="2760.9400129999999"/>
    <n v="23998.940012999999"/>
  </r>
  <r>
    <x v="106"/>
    <x v="8"/>
    <x v="2"/>
    <x v="0"/>
    <s v="KEPL/01675/82-83"/>
    <s v="SALEWAYS CASH AND CARRY PVT LTD "/>
    <x v="0"/>
    <x v="39"/>
    <n v="1"/>
    <n v="180"/>
    <n v="82.3"/>
    <n v="14814"/>
    <n v="0"/>
    <n v="0"/>
    <n v="1925.820009"/>
    <n v="16739.820008999999"/>
  </r>
  <r>
    <x v="106"/>
    <x v="8"/>
    <x v="2"/>
    <x v="0"/>
    <s v="KEPL/01675/82-83"/>
    <s v="SALEWAYS CASH AND CARRY PVT LTD "/>
    <x v="0"/>
    <x v="20"/>
    <n v="5"/>
    <n v="600"/>
    <n v="116.15"/>
    <n v="69690"/>
    <n v="0"/>
    <n v="0"/>
    <n v="9059.7000439999993"/>
    <n v="78749.700043999997"/>
  </r>
  <r>
    <x v="106"/>
    <x v="8"/>
    <x v="2"/>
    <x v="0"/>
    <s v="KEPL/01677/82-83"/>
    <s v="EMERALD TRADE LINK"/>
    <x v="3"/>
    <x v="26"/>
    <n v="2"/>
    <n v="144"/>
    <n v="131.83000000000001"/>
    <n v="18983.52"/>
    <n v="-1725.6"/>
    <n v="0"/>
    <n v="2243.5295449999999"/>
    <n v="19501.449544999999"/>
  </r>
  <r>
    <x v="106"/>
    <x v="8"/>
    <x v="2"/>
    <x v="0"/>
    <s v="KEPL/01677/82-83"/>
    <s v="EMERALD TRADE LINK"/>
    <x v="0"/>
    <x v="11"/>
    <n v="0.44"/>
    <n v="80"/>
    <n v="64.23"/>
    <n v="5138.3999999999996"/>
    <n v="-467.08"/>
    <n v="0"/>
    <n v="607.27158500000007"/>
    <n v="5278.5915850000001"/>
  </r>
  <r>
    <x v="106"/>
    <x v="8"/>
    <x v="2"/>
    <x v="0"/>
    <s v="KEPL/01677/82-83"/>
    <s v="EMERALD TRADE LINK"/>
    <x v="2"/>
    <x v="7"/>
    <n v="0.5"/>
    <n v="60"/>
    <n v="152.11000000000001"/>
    <n v="9126.6"/>
    <n v="-829.6099999999999"/>
    <n v="0"/>
    <n v="1078.608673"/>
    <n v="9375.5986730000004"/>
  </r>
  <r>
    <x v="106"/>
    <x v="8"/>
    <x v="2"/>
    <x v="0"/>
    <s v="KEPL/01677/82-83"/>
    <s v="EMERALD TRADE LINK"/>
    <x v="3"/>
    <x v="47"/>
    <n v="1"/>
    <n v="100"/>
    <n v="70.989999999999995"/>
    <n v="7099"/>
    <n v="-645.29999999999995"/>
    <n v="0"/>
    <n v="838.98097899999993"/>
    <n v="7292.6809789999998"/>
  </r>
  <r>
    <x v="106"/>
    <x v="8"/>
    <x v="2"/>
    <x v="0"/>
    <s v="KEPL/01677/82-83"/>
    <s v="EMERALD TRADE LINK"/>
    <x v="2"/>
    <x v="22"/>
    <n v="1"/>
    <n v="40"/>
    <n v="283.94"/>
    <n v="11357.599999999999"/>
    <n v="-1032.4099999999999"/>
    <n v="0"/>
    <n v="1342.2746669999999"/>
    <n v="11667.464667"/>
  </r>
  <r>
    <x v="106"/>
    <x v="8"/>
    <x v="2"/>
    <x v="0"/>
    <s v="KEPL/01677/82-83"/>
    <s v="EMERALD TRADE LINK"/>
    <x v="0"/>
    <x v="9"/>
    <n v="0.5"/>
    <n v="90"/>
    <n v="70.989999999999995"/>
    <n v="6389.1"/>
    <n v="-580.77"/>
    <n v="0"/>
    <n v="755.08288100000004"/>
    <n v="6563.4128810000002"/>
  </r>
  <r>
    <x v="106"/>
    <x v="8"/>
    <x v="2"/>
    <x v="0"/>
    <s v="KEPL/01677/82-83"/>
    <s v="EMERALD TRADE LINK"/>
    <x v="1"/>
    <x v="3"/>
    <n v="1"/>
    <n v="40"/>
    <n v="393.46"/>
    <n v="15738.4"/>
    <n v="-1430.6200000000001"/>
    <n v="0"/>
    <n v="1860.011354"/>
    <n v="16167.791354000001"/>
  </r>
  <r>
    <x v="106"/>
    <x v="8"/>
    <x v="2"/>
    <x v="0"/>
    <s v="KEPL/01677/82-83"/>
    <s v="EMERALD TRADE LINK"/>
    <x v="2"/>
    <x v="5"/>
    <n v="0.5"/>
    <n v="90"/>
    <n v="81.14"/>
    <n v="7302.5999999999995"/>
    <n v="-663.81"/>
    <n v="0"/>
    <n v="863.04267900000002"/>
    <n v="7501.8326790000001"/>
  </r>
  <r>
    <x v="106"/>
    <x v="8"/>
    <x v="2"/>
    <x v="0"/>
    <s v="KEPL/01677/82-83"/>
    <s v="EMERALD TRADE LINK"/>
    <x v="3"/>
    <x v="31"/>
    <n v="2"/>
    <n v="144"/>
    <n v="148.72999999999999"/>
    <n v="21417.119999999999"/>
    <n v="-1946.82"/>
    <n v="0"/>
    <n v="2531.1389380000001"/>
    <n v="22001.438937999999"/>
  </r>
  <r>
    <x v="106"/>
    <x v="8"/>
    <x v="2"/>
    <x v="0"/>
    <s v="KEPL/01677/82-83"/>
    <s v="EMERALD TRADE LINK"/>
    <x v="1"/>
    <x v="1"/>
    <n v="1"/>
    <n v="100"/>
    <n v="108.17"/>
    <n v="10817"/>
    <n v="-983.2700000000001"/>
    <n v="0"/>
    <n v="1278.384869"/>
    <n v="11112.114869000001"/>
  </r>
  <r>
    <x v="106"/>
    <x v="8"/>
    <x v="2"/>
    <x v="0"/>
    <s v="KEPL/01677/82-83"/>
    <s v="EMERALD TRADE LINK"/>
    <x v="2"/>
    <x v="8"/>
    <n v="0.5"/>
    <n v="60"/>
    <n v="50.7"/>
    <n v="3042"/>
    <n v="-276.52"/>
    <n v="0"/>
    <n v="359.51239099999998"/>
    <n v="3124.9923910000002"/>
  </r>
  <r>
    <x v="106"/>
    <x v="8"/>
    <x v="2"/>
    <x v="0"/>
    <s v="KEPL/01677/82-83"/>
    <s v="EMERALD TRADE LINK"/>
    <x v="0"/>
    <x v="2"/>
    <n v="0.5"/>
    <n v="90"/>
    <n v="64.23"/>
    <n v="5780.7"/>
    <n v="-525.47"/>
    <n v="0"/>
    <n v="683.17988300000002"/>
    <n v="5938.4098830000003"/>
  </r>
  <r>
    <x v="106"/>
    <x v="8"/>
    <x v="2"/>
    <x v="0"/>
    <s v="KEPL/01677/82-83"/>
    <s v="EMERALD TRADE LINK"/>
    <x v="1"/>
    <x v="4"/>
    <n v="1"/>
    <n v="40"/>
    <n v="260.27999999999997"/>
    <n v="10411.200000000001"/>
    <n v="-946.38"/>
    <n v="0"/>
    <n v="1230.4265700000001"/>
    <n v="10695.246569999999"/>
  </r>
  <r>
    <x v="106"/>
    <x v="8"/>
    <x v="2"/>
    <x v="0"/>
    <s v="KEPL/01677/82-83"/>
    <s v="EMERALD TRADE LINK"/>
    <x v="2"/>
    <x v="23"/>
    <n v="0.5"/>
    <n v="90"/>
    <n v="158.87"/>
    <n v="14298.3"/>
    <n v="-1299.72"/>
    <n v="0"/>
    <n v="1689.8153579999998"/>
    <n v="14688.395358"/>
  </r>
  <r>
    <x v="106"/>
    <x v="8"/>
    <x v="2"/>
    <x v="0"/>
    <s v="KEPL/01677/82-83"/>
    <s v="EMERALD TRADE LINK"/>
    <x v="1"/>
    <x v="6"/>
    <n v="1"/>
    <n v="100"/>
    <n v="162.26"/>
    <n v="16226"/>
    <n v="-1474.94"/>
    <n v="0"/>
    <n v="1917.637753"/>
    <n v="16668.697753"/>
  </r>
  <r>
    <x v="106"/>
    <x v="8"/>
    <x v="2"/>
    <x v="0"/>
    <s v="KEPL/01677/82-83"/>
    <s v="EMERALD TRADE LINK"/>
    <x v="0"/>
    <x v="18"/>
    <n v="0.5"/>
    <n v="60"/>
    <n v="148.72999999999999"/>
    <n v="8923.8000000000011"/>
    <n v="-811.17"/>
    <n v="0"/>
    <n v="1054.6418740000001"/>
    <n v="9167.271874"/>
  </r>
  <r>
    <x v="106"/>
    <x v="8"/>
    <x v="2"/>
    <x v="0"/>
    <s v="KEPL/01678/82-83"/>
    <s v="EMERALD TRADE LINK"/>
    <x v="1"/>
    <x v="13"/>
    <n v="1"/>
    <n v="100"/>
    <n v="137.5"/>
    <n v="13750"/>
    <n v="-1249.8800000000001"/>
    <n v="0"/>
    <n v="0"/>
    <n v="12500.12"/>
  </r>
  <r>
    <x v="106"/>
    <x v="8"/>
    <x v="2"/>
    <x v="0"/>
    <s v="KEPL/01678/82-83"/>
    <s v="EMERALD TRADE LINK"/>
    <x v="1"/>
    <x v="12"/>
    <n v="1"/>
    <n v="40"/>
    <n v="336.13"/>
    <n v="13445.199999999999"/>
    <n v="-1222.1699999999998"/>
    <n v="0"/>
    <n v="0"/>
    <n v="12223.03"/>
  </r>
  <r>
    <x v="107"/>
    <x v="9"/>
    <x v="3"/>
    <x v="0"/>
    <s v="KEPL/01776/82-83"/>
    <s v="MEGA MART PVT.LTD"/>
    <x v="0"/>
    <x v="18"/>
    <n v="2.25"/>
    <n v="270"/>
    <n v="140.18"/>
    <n v="37848.6"/>
    <n v="0"/>
    <n v="0"/>
    <n v="4920.3179190000001"/>
    <n v="42768.917919"/>
  </r>
  <r>
    <x v="107"/>
    <x v="9"/>
    <x v="3"/>
    <x v="0"/>
    <s v="KEPL/01776/82-83"/>
    <s v="MEGA MART PVT.LTD"/>
    <x v="0"/>
    <x v="42"/>
    <n v="2.25"/>
    <n v="270"/>
    <n v="89.2"/>
    <n v="24084"/>
    <n v="0"/>
    <n v="0"/>
    <n v="3130.9199480000002"/>
    <n v="27214.919947999999"/>
  </r>
  <r>
    <x v="107"/>
    <x v="9"/>
    <x v="3"/>
    <x v="0"/>
    <s v="KEPL/01776/82-83"/>
    <s v="MEGA MART PVT.LTD"/>
    <x v="2"/>
    <x v="23"/>
    <n v="3"/>
    <n v="540"/>
    <n v="149.72999999999999"/>
    <n v="80854.200000000012"/>
    <n v="0"/>
    <n v="0"/>
    <n v="10511.045826000001"/>
    <n v="91365.245825999998"/>
  </r>
  <r>
    <x v="107"/>
    <x v="9"/>
    <x v="3"/>
    <x v="0"/>
    <s v="KEPL/01776/82-83"/>
    <s v="MEGA MART PVT.LTD"/>
    <x v="0"/>
    <x v="15"/>
    <n v="1.5"/>
    <n v="270"/>
    <n v="108.32"/>
    <n v="29246.400000000001"/>
    <n v="0"/>
    <n v="0"/>
    <n v="3802.0319369999997"/>
    <n v="33048.431937000001"/>
  </r>
  <r>
    <x v="107"/>
    <x v="9"/>
    <x v="3"/>
    <x v="0"/>
    <s v="KEPL/01776/82-83"/>
    <s v="MEGA MART PVT.LTD"/>
    <x v="0"/>
    <x v="21"/>
    <n v="3.38"/>
    <n v="270"/>
    <n v="175.22"/>
    <n v="47309.399999999994"/>
    <n v="0"/>
    <n v="0"/>
    <n v="6150.2218979999998"/>
    <n v="53459.621897999998"/>
  </r>
  <r>
    <x v="107"/>
    <x v="9"/>
    <x v="3"/>
    <x v="0"/>
    <s v="KEPL/01776/82-83"/>
    <s v="MEGA MART PVT.LTD"/>
    <x v="0"/>
    <x v="27"/>
    <n v="2.25"/>
    <n v="270"/>
    <n v="108.32"/>
    <n v="29246.400000000001"/>
    <n v="0"/>
    <n v="0"/>
    <n v="3802.0319369999997"/>
    <n v="33048.431937000001"/>
  </r>
  <r>
    <x v="107"/>
    <x v="9"/>
    <x v="3"/>
    <x v="0"/>
    <s v="KEPL/01776/82-83"/>
    <s v="MEGA MART PVT.LTD"/>
    <x v="0"/>
    <x v="36"/>
    <n v="1.5"/>
    <n v="120"/>
    <n v="146.55000000000001"/>
    <n v="17586"/>
    <n v="0"/>
    <n v="0"/>
    <n v="2286.1799619999997"/>
    <n v="19872.179961999998"/>
  </r>
  <r>
    <x v="107"/>
    <x v="9"/>
    <x v="3"/>
    <x v="0"/>
    <s v="KEPL/01776/82-83"/>
    <s v="MEGA MART PVT.LTD"/>
    <x v="0"/>
    <x v="14"/>
    <n v="1.5"/>
    <n v="270"/>
    <n v="127.43"/>
    <n v="34406.1"/>
    <n v="0"/>
    <n v="0"/>
    <n v="4472.7929260000001"/>
    <n v="38878.892926"/>
  </r>
  <r>
    <x v="107"/>
    <x v="9"/>
    <x v="3"/>
    <x v="0"/>
    <s v="KEPL/01776/82-83"/>
    <s v="MEGA MART PVT.LTD"/>
    <x v="2"/>
    <x v="24"/>
    <n v="6.75"/>
    <n v="270"/>
    <n v="414.16"/>
    <n v="111823.2"/>
    <n v="0"/>
    <n v="0"/>
    <n v="14537.015759999998"/>
    <n v="126360.21576000001"/>
  </r>
  <r>
    <x v="107"/>
    <x v="9"/>
    <x v="3"/>
    <x v="0"/>
    <s v="KEPL/01776/82-83"/>
    <s v="MEGA MART PVT.LTD"/>
    <x v="0"/>
    <x v="17"/>
    <n v="3"/>
    <n v="540"/>
    <n v="111.5"/>
    <n v="60210"/>
    <n v="0"/>
    <n v="0"/>
    <n v="7827.2998710000002"/>
    <n v="68037.299870999996"/>
  </r>
  <r>
    <x v="107"/>
    <x v="9"/>
    <x v="3"/>
    <x v="0"/>
    <s v="KEPL/01776/82-83"/>
    <s v="MEGA MART PVT.LTD"/>
    <x v="0"/>
    <x v="38"/>
    <n v="2.25"/>
    <n v="270"/>
    <n v="79.650000000000006"/>
    <n v="21505.5"/>
    <n v="0"/>
    <n v="0"/>
    <n v="2795.714954"/>
    <n v="24301.214953999999"/>
  </r>
  <r>
    <x v="107"/>
    <x v="9"/>
    <x v="3"/>
    <x v="0"/>
    <s v="KEPL/01776/82-83"/>
    <s v="MEGA MART PVT.LTD"/>
    <x v="1"/>
    <x v="6"/>
    <n v="1.65"/>
    <n v="165"/>
    <n v="152.91999999999999"/>
    <n v="25231.800000000003"/>
    <n v="0"/>
    <n v="0"/>
    <n v="3280.1339460000004"/>
    <n v="28511.933946000001"/>
  </r>
  <r>
    <x v="107"/>
    <x v="9"/>
    <x v="3"/>
    <x v="0"/>
    <s v="KEPL/01776/82-83"/>
    <s v="MEGA MART PVT.LTD"/>
    <x v="0"/>
    <x v="19"/>
    <n v="1.5"/>
    <n v="270"/>
    <n v="146.55000000000001"/>
    <n v="39568.5"/>
    <n v="0"/>
    <n v="0"/>
    <n v="5143.9049150000001"/>
    <n v="44712.404914999999"/>
  </r>
  <r>
    <x v="107"/>
    <x v="9"/>
    <x v="3"/>
    <x v="0"/>
    <s v="KEPL/01776/82-83"/>
    <s v="MEGA MART PVT.LTD"/>
    <x v="0"/>
    <x v="45"/>
    <n v="2"/>
    <n v="160"/>
    <n v="133.81"/>
    <n v="21409.599999999999"/>
    <n v="0"/>
    <n v="0"/>
    <n v="2783.2479539999999"/>
    <n v="24192.847954000001"/>
  </r>
  <r>
    <x v="107"/>
    <x v="9"/>
    <x v="3"/>
    <x v="0"/>
    <s v="KEPL/01776/82-83"/>
    <s v="MEGA MART PVT.LTD"/>
    <x v="0"/>
    <x v="16"/>
    <n v="2.25"/>
    <n v="270"/>
    <n v="111.5"/>
    <n v="30105"/>
    <n v="0"/>
    <n v="0"/>
    <n v="3913.6499349999999"/>
    <n v="34018.649935000001"/>
  </r>
  <r>
    <x v="107"/>
    <x v="9"/>
    <x v="3"/>
    <x v="0"/>
    <s v="KEPL/01776/82-83"/>
    <s v="MEGA MART PVT.LTD"/>
    <x v="1"/>
    <x v="1"/>
    <n v="1.65"/>
    <n v="165"/>
    <n v="101.95"/>
    <n v="16821.75"/>
    <n v="0"/>
    <n v="0"/>
    <n v="2186.827464"/>
    <n v="19008.577464000002"/>
  </r>
  <r>
    <x v="107"/>
    <x v="9"/>
    <x v="3"/>
    <x v="0"/>
    <s v="KEPL/01776/82-83"/>
    <s v="MEGA MART PVT.LTD"/>
    <x v="0"/>
    <x v="41"/>
    <n v="2.25"/>
    <n v="270"/>
    <n v="149.72999999999999"/>
    <n v="40427.100000000006"/>
    <n v="0"/>
    <n v="0"/>
    <n v="5255.5229130000007"/>
    <n v="45682.622912999999"/>
  </r>
  <r>
    <x v="107"/>
    <x v="9"/>
    <x v="3"/>
    <x v="0"/>
    <s v="KEPL/01776/82-83"/>
    <s v="MEGA MART PVT.LTD"/>
    <x v="0"/>
    <x v="20"/>
    <n v="2.25"/>
    <n v="270"/>
    <n v="111.5"/>
    <n v="30105"/>
    <n v="0"/>
    <n v="0"/>
    <n v="3913.6499349999999"/>
    <n v="34018.649935000001"/>
  </r>
  <r>
    <x v="107"/>
    <x v="9"/>
    <x v="3"/>
    <x v="0"/>
    <s v="KEPL/01777/82-83"/>
    <s v="MEGA MART PVT.LTD"/>
    <x v="1"/>
    <x v="13"/>
    <n v="1.65"/>
    <n v="165"/>
    <n v="129.6"/>
    <n v="21383.999999999996"/>
    <s v=""/>
    <s v=""/>
    <s v=""/>
    <n v="21384"/>
  </r>
  <r>
    <x v="108"/>
    <x v="9"/>
    <x v="3"/>
    <x v="0"/>
    <s v="KEPL/01780/82-83"/>
    <s v="SIMPEX SOLUTION PVT. LTD"/>
    <x v="0"/>
    <x v="9"/>
    <n v="0.06"/>
    <n v="10"/>
    <n v="74.34"/>
    <n v="743.4"/>
    <n v="0"/>
    <n v="0"/>
    <n v="96.641999999999996"/>
    <n v="840.04200000000003"/>
  </r>
  <r>
    <x v="108"/>
    <x v="9"/>
    <x v="3"/>
    <x v="0"/>
    <s v="KEPL/01780/82-83"/>
    <s v="SIMPEX SOLUTION PVT. LTD"/>
    <x v="0"/>
    <x v="2"/>
    <n v="0.06"/>
    <n v="10"/>
    <n v="67.260000000000005"/>
    <n v="672.6"/>
    <n v="0"/>
    <n v="0"/>
    <n v="87.438000000000002"/>
    <n v="760.03800000000001"/>
  </r>
  <r>
    <x v="109"/>
    <x v="9"/>
    <x v="3"/>
    <x v="0"/>
    <s v="KEPL/01783/82-83"/>
    <s v="DINESH TRADING HOUSE"/>
    <x v="0"/>
    <x v="11"/>
    <n v="0.22"/>
    <n v="40"/>
    <n v="62.21"/>
    <n v="2488.4"/>
    <n v="-226.2"/>
    <n v="0"/>
    <n v="294.08999999999997"/>
    <n v="2556.29"/>
  </r>
  <r>
    <x v="110"/>
    <x v="9"/>
    <x v="3"/>
    <x v="0"/>
    <s v="KEPL/01790/82-83"/>
    <s v="BEERA BARJEE INTERNATIONAL PVT.LTD"/>
    <x v="1"/>
    <x v="1"/>
    <n v="1"/>
    <n v="100"/>
    <n v="108.17"/>
    <n v="10817"/>
    <n v="-983.2700000000001"/>
    <n v="0"/>
    <n v="1278.385401"/>
    <n v="11112.115400999999"/>
  </r>
  <r>
    <x v="110"/>
    <x v="9"/>
    <x v="3"/>
    <x v="0"/>
    <s v="KEPL/01790/82-83"/>
    <s v="BEERA BARJEE INTERNATIONAL PVT.LTD"/>
    <x v="1"/>
    <x v="4"/>
    <n v="1"/>
    <n v="40"/>
    <n v="260.27999999999997"/>
    <n v="10411.200000000001"/>
    <n v="-946.38"/>
    <n v="0"/>
    <n v="1230.4270820000002"/>
    <n v="10695.247082"/>
  </r>
  <r>
    <x v="110"/>
    <x v="9"/>
    <x v="3"/>
    <x v="0"/>
    <s v="KEPL/01790/82-83"/>
    <s v="BEERA BARJEE INTERNATIONAL PVT.LTD"/>
    <x v="0"/>
    <x v="42"/>
    <n v="1"/>
    <n v="120"/>
    <n v="94.65"/>
    <n v="11358"/>
    <n v="-1032.44"/>
    <n v="0"/>
    <n v="1342.323326"/>
    <n v="11667.883325999999"/>
  </r>
  <r>
    <x v="110"/>
    <x v="9"/>
    <x v="3"/>
    <x v="0"/>
    <s v="KEPL/01790/82-83"/>
    <s v="BEERA BARJEE INTERNATIONAL PVT.LTD"/>
    <x v="1"/>
    <x v="3"/>
    <n v="1"/>
    <n v="40"/>
    <n v="393.46"/>
    <n v="15738.4"/>
    <n v="-1430.6200000000001"/>
    <n v="0"/>
    <n v="1860.012129"/>
    <n v="16167.792128999999"/>
  </r>
  <r>
    <x v="110"/>
    <x v="9"/>
    <x v="3"/>
    <x v="0"/>
    <s v="KEPL/01790/82-83"/>
    <s v="BEERA BARJEE INTERNATIONAL PVT.LTD"/>
    <x v="0"/>
    <x v="48"/>
    <n v="1"/>
    <n v="180"/>
    <n v="81.13"/>
    <n v="14604.000000000002"/>
    <n v="-1327.5000000000002"/>
    <n v="0"/>
    <n v="1725.945676"/>
    <n v="15002.445675999999"/>
  </r>
  <r>
    <x v="110"/>
    <x v="9"/>
    <x v="3"/>
    <x v="0"/>
    <s v="KEPL/01790/82-83"/>
    <s v="BEERA BARJEE INTERNATIONAL PVT.LTD"/>
    <x v="0"/>
    <x v="9"/>
    <n v="1"/>
    <n v="180"/>
    <n v="70.989999999999995"/>
    <n v="12778.2"/>
    <n v="-1161.54"/>
    <n v="0"/>
    <n v="1510.1663910000002"/>
    <n v="13126.826391000001"/>
  </r>
  <r>
    <x v="110"/>
    <x v="9"/>
    <x v="3"/>
    <x v="0"/>
    <s v="KEPL/01790/82-83"/>
    <s v="BEERA BARJEE INTERNATIONAL PVT.LTD"/>
    <x v="3"/>
    <x v="31"/>
    <n v="1"/>
    <n v="72"/>
    <n v="148.72999999999999"/>
    <n v="10708.56"/>
    <n v="-973.41"/>
    <n v="0"/>
    <n v="1265.5699959999999"/>
    <n v="11000.719996"/>
  </r>
  <r>
    <x v="110"/>
    <x v="9"/>
    <x v="3"/>
    <x v="0"/>
    <s v="KEPL/01791/82-83"/>
    <s v="MEGA MART PVT.LTD"/>
    <x v="1"/>
    <x v="1"/>
    <n v="1"/>
    <n v="100"/>
    <n v="101.95"/>
    <n v="10195"/>
    <n v="0"/>
    <n v="0"/>
    <n v="1325.350062"/>
    <n v="11520.350062"/>
  </r>
  <r>
    <x v="110"/>
    <x v="9"/>
    <x v="3"/>
    <x v="0"/>
    <s v="KEPL/01791/82-83"/>
    <s v="MEGA MART PVT.LTD"/>
    <x v="0"/>
    <x v="14"/>
    <n v="0.67"/>
    <n v="120"/>
    <n v="127.43"/>
    <n v="15291.6"/>
    <n v="0"/>
    <n v="0"/>
    <n v="1987.9080939999999"/>
    <n v="17279.508094000001"/>
  </r>
  <r>
    <x v="110"/>
    <x v="9"/>
    <x v="3"/>
    <x v="0"/>
    <s v="KEPL/01791/82-83"/>
    <s v="MEGA MART PVT.LTD"/>
    <x v="0"/>
    <x v="44"/>
    <n v="1"/>
    <n v="180"/>
    <n v="114.69"/>
    <n v="20644.2"/>
    <n v="0"/>
    <n v="0"/>
    <n v="2683.746126"/>
    <n v="23327.946125999999"/>
  </r>
  <r>
    <x v="110"/>
    <x v="9"/>
    <x v="3"/>
    <x v="0"/>
    <s v="KEPL/01791/82-83"/>
    <s v="MEGA MART PVT.LTD"/>
    <x v="0"/>
    <x v="17"/>
    <n v="0.67"/>
    <n v="120"/>
    <n v="111.5"/>
    <n v="13379.999999999998"/>
    <n v="0"/>
    <n v="0"/>
    <n v="1739.4000820000001"/>
    <n v="15119.400082"/>
  </r>
  <r>
    <x v="110"/>
    <x v="9"/>
    <x v="3"/>
    <x v="0"/>
    <s v="KEPL/01791/82-83"/>
    <s v="MEGA MART PVT.LTD"/>
    <x v="0"/>
    <x v="27"/>
    <n v="1"/>
    <n v="120"/>
    <n v="108.32"/>
    <n v="12998.4"/>
    <n v="0"/>
    <n v="0"/>
    <n v="1689.7920799999999"/>
    <n v="14688.192080000001"/>
  </r>
  <r>
    <x v="110"/>
    <x v="9"/>
    <x v="3"/>
    <x v="0"/>
    <s v="KEPL/01791/82-83"/>
    <s v="MEGA MART PVT.LTD"/>
    <x v="1"/>
    <x v="6"/>
    <n v="1"/>
    <n v="100"/>
    <n v="152.91999999999999"/>
    <n v="15292.000000000002"/>
    <n v="0"/>
    <n v="0"/>
    <n v="1987.960094"/>
    <n v="17279.960093999998"/>
  </r>
  <r>
    <x v="110"/>
    <x v="9"/>
    <x v="3"/>
    <x v="0"/>
    <s v="KEPL/01791/82-83"/>
    <s v="MEGA MART PVT.LTD"/>
    <x v="0"/>
    <x v="21"/>
    <n v="1"/>
    <n v="80"/>
    <n v="175.22"/>
    <n v="14017.6"/>
    <n v="0"/>
    <n v="0"/>
    <n v="1822.288086"/>
    <n v="15839.888086000001"/>
  </r>
  <r>
    <x v="110"/>
    <x v="9"/>
    <x v="3"/>
    <x v="0"/>
    <s v="KEPL/01791/82-83"/>
    <s v="MEGA MART PVT.LTD"/>
    <x v="0"/>
    <x v="18"/>
    <n v="1"/>
    <n v="120"/>
    <n v="140.18"/>
    <n v="16821.600000000002"/>
    <n v="0"/>
    <n v="0"/>
    <n v="2186.8081029999998"/>
    <n v="19008.408103000002"/>
  </r>
  <r>
    <x v="110"/>
    <x v="9"/>
    <x v="3"/>
    <x v="0"/>
    <s v="KEPL/01791/82-83"/>
    <s v="MEGA MART PVT.LTD"/>
    <x v="0"/>
    <x v="16"/>
    <n v="1"/>
    <n v="120"/>
    <n v="111.5"/>
    <n v="13379.999999999998"/>
    <n v="0"/>
    <n v="0"/>
    <n v="1739.4000820000001"/>
    <n v="15119.400082"/>
  </r>
  <r>
    <x v="110"/>
    <x v="9"/>
    <x v="3"/>
    <x v="0"/>
    <s v="KEPL/01791/82-83"/>
    <s v="MEGA MART PVT.LTD"/>
    <x v="2"/>
    <x v="24"/>
    <n v="1"/>
    <n v="40"/>
    <n v="414.16"/>
    <n v="16566.400000000001"/>
    <n v="0"/>
    <n v="0"/>
    <n v="2153.6321010000001"/>
    <n v="18720.032101000001"/>
  </r>
  <r>
    <x v="110"/>
    <x v="9"/>
    <x v="3"/>
    <x v="0"/>
    <s v="KEPL/01791/82-83"/>
    <s v="MEGA MART PVT.LTD"/>
    <x v="0"/>
    <x v="42"/>
    <n v="1"/>
    <n v="120"/>
    <n v="89.2"/>
    <n v="10704"/>
    <n v="0"/>
    <n v="0"/>
    <n v="1391.5200649999999"/>
    <n v="12095.520065000001"/>
  </r>
  <r>
    <x v="110"/>
    <x v="9"/>
    <x v="3"/>
    <x v="0"/>
    <s v="KEPL/01791/82-83"/>
    <s v="MEGA MART PVT.LTD"/>
    <x v="3"/>
    <x v="31"/>
    <n v="1.33"/>
    <n v="96"/>
    <n v="140.18"/>
    <n v="13457.28"/>
    <n v="0"/>
    <n v="0"/>
    <n v="1749.4464820000001"/>
    <n v="15206.726482"/>
  </r>
  <r>
    <x v="110"/>
    <x v="9"/>
    <x v="3"/>
    <x v="0"/>
    <s v="KEPL/01791/82-83"/>
    <s v="MEGA MART PVT.LTD"/>
    <x v="2"/>
    <x v="23"/>
    <n v="0.67"/>
    <n v="120"/>
    <n v="149.72999999999999"/>
    <n v="17967.600000000002"/>
    <n v="0"/>
    <n v="0"/>
    <n v="2335.78811"/>
    <n v="20303.38811"/>
  </r>
  <r>
    <x v="110"/>
    <x v="9"/>
    <x v="3"/>
    <x v="0"/>
    <s v="KEPL/01791/82-83"/>
    <s v="MEGA MART PVT.LTD"/>
    <x v="0"/>
    <x v="19"/>
    <n v="0.67"/>
    <n v="120"/>
    <n v="146.55000000000001"/>
    <n v="17586"/>
    <n v="0"/>
    <n v="0"/>
    <n v="2286.180108"/>
    <n v="19872.180108"/>
  </r>
  <r>
    <x v="110"/>
    <x v="9"/>
    <x v="3"/>
    <x v="0"/>
    <s v="KEPL/01791/82-83"/>
    <s v="MEGA MART PVT.LTD"/>
    <x v="3"/>
    <x v="26"/>
    <n v="1"/>
    <n v="72"/>
    <n v="124.25"/>
    <n v="8946"/>
    <n v="0"/>
    <n v="0"/>
    <n v="1162.980055"/>
    <n v="10108.980055"/>
  </r>
  <r>
    <x v="110"/>
    <x v="9"/>
    <x v="3"/>
    <x v="0"/>
    <s v="KEPL/01791/82-83"/>
    <s v="MEGA MART PVT.LTD"/>
    <x v="0"/>
    <x v="41"/>
    <n v="1"/>
    <n v="120"/>
    <n v="149.72999999999999"/>
    <n v="17967.600000000002"/>
    <n v="0"/>
    <n v="0"/>
    <n v="2335.78811"/>
    <n v="20303.38811"/>
  </r>
  <r>
    <x v="110"/>
    <x v="9"/>
    <x v="3"/>
    <x v="0"/>
    <s v="KEPL/01791/82-83"/>
    <s v="MEGA MART PVT.LTD"/>
    <x v="0"/>
    <x v="20"/>
    <n v="1"/>
    <n v="120"/>
    <n v="111.5"/>
    <n v="13379.999999999998"/>
    <n v="0"/>
    <n v="0"/>
    <n v="1739.4000820000001"/>
    <n v="15119.400082"/>
  </r>
  <r>
    <x v="110"/>
    <x v="9"/>
    <x v="3"/>
    <x v="0"/>
    <s v="KEPL/01791/82-83"/>
    <s v="MEGA MART PVT.LTD"/>
    <x v="0"/>
    <x v="15"/>
    <n v="0.67"/>
    <n v="120"/>
    <n v="108.32"/>
    <n v="12998.4"/>
    <n v="0"/>
    <n v="0"/>
    <n v="1689.7920799999999"/>
    <n v="14688.192080000001"/>
  </r>
  <r>
    <x v="110"/>
    <x v="9"/>
    <x v="3"/>
    <x v="0"/>
    <s v="KEPL/01792/82-83"/>
    <s v="MEGA MART PVT.LTD"/>
    <x v="1"/>
    <x v="13"/>
    <n v="1"/>
    <n v="100"/>
    <n v="129.6"/>
    <n v="12960"/>
    <s v=""/>
    <s v=""/>
    <s v=""/>
    <n v="12960"/>
  </r>
  <r>
    <x v="111"/>
    <x v="9"/>
    <x v="3"/>
    <x v="0"/>
    <s v="KESR/0044/82-83"/>
    <s v="SIMPEX SOLUTION PVT. LTD"/>
    <x v="0"/>
    <x v="2"/>
    <n v="-0.06"/>
    <n v="-10"/>
    <n v="67.260000000000005"/>
    <n v="-672.6"/>
    <n v="0"/>
    <n v="0"/>
    <n v="-87.438000000000002"/>
    <n v="-760.03800000000001"/>
  </r>
  <r>
    <x v="111"/>
    <x v="9"/>
    <x v="3"/>
    <x v="0"/>
    <s v="KESR/0044/82-83"/>
    <s v="SIMPEX SOLUTION PVT. LTD"/>
    <x v="0"/>
    <x v="9"/>
    <n v="-0.06"/>
    <n v="-10"/>
    <n v="74.34"/>
    <n v="-743.4"/>
    <n v="0"/>
    <n v="0"/>
    <n v="-96.641999999999996"/>
    <n v="-840.04200000000003"/>
  </r>
  <r>
    <x v="112"/>
    <x v="9"/>
    <x v="3"/>
    <x v="0"/>
    <s v="KEPL/01803/82-83"/>
    <s v="SUBHARAMBHA TRADING"/>
    <x v="0"/>
    <x v="9"/>
    <n v="1"/>
    <n v="180"/>
    <n v="70.989999999999995"/>
    <n v="12778.2"/>
    <n v="-1161.54"/>
    <n v="0"/>
    <n v="1510.165747"/>
    <n v="13126.825747000001"/>
  </r>
  <r>
    <x v="112"/>
    <x v="9"/>
    <x v="3"/>
    <x v="0"/>
    <s v="KEPL/01803/82-83"/>
    <s v="SUBHARAMBHA TRADING"/>
    <x v="2"/>
    <x v="5"/>
    <n v="1"/>
    <n v="180"/>
    <n v="94.65"/>
    <n v="17037"/>
    <n v="-1548.6599999999999"/>
    <n v="0"/>
    <n v="2013.4841300000001"/>
    <n v="17501.824130000001"/>
  </r>
  <r>
    <x v="112"/>
    <x v="9"/>
    <x v="3"/>
    <x v="0"/>
    <s v="KEPL/01803/82-83"/>
    <s v="SUBHARAMBHA TRADING"/>
    <x v="0"/>
    <x v="0"/>
    <n v="1"/>
    <n v="180"/>
    <n v="64.23"/>
    <n v="11561.4"/>
    <n v="-1050.9299999999998"/>
    <n v="0"/>
    <n v="1366.361052"/>
    <n v="11876.831052"/>
  </r>
  <r>
    <x v="112"/>
    <x v="9"/>
    <x v="3"/>
    <x v="0"/>
    <s v="KEPL/01803/82-83"/>
    <s v="SUBHARAMBHA TRADING"/>
    <x v="3"/>
    <x v="31"/>
    <n v="1"/>
    <n v="72"/>
    <n v="148.72999999999999"/>
    <n v="10708.56"/>
    <n v="-973.41"/>
    <n v="0"/>
    <n v="1265.5694560000002"/>
    <n v="11000.719456000001"/>
  </r>
  <r>
    <x v="112"/>
    <x v="9"/>
    <x v="3"/>
    <x v="0"/>
    <s v="KEPL/01803/82-83"/>
    <s v="SUBHARAMBHA TRADING"/>
    <x v="0"/>
    <x v="11"/>
    <n v="1"/>
    <n v="180"/>
    <n v="62.21"/>
    <n v="11197.8"/>
    <n v="-1017.88"/>
    <n v="0"/>
    <n v="1323.3895539999999"/>
    <n v="11503.309553999999"/>
  </r>
  <r>
    <x v="112"/>
    <x v="9"/>
    <x v="3"/>
    <x v="0"/>
    <s v="KEPL/01803/82-83"/>
    <s v="SUBHARAMBHA TRADING"/>
    <x v="0"/>
    <x v="42"/>
    <n v="1"/>
    <n v="120"/>
    <n v="94.65"/>
    <n v="11358"/>
    <n v="-1032.44"/>
    <n v="0"/>
    <n v="1342.3227529999999"/>
    <n v="11667.882753"/>
  </r>
  <r>
    <x v="112"/>
    <x v="9"/>
    <x v="3"/>
    <x v="0"/>
    <s v="KEPL/01803/82-83"/>
    <s v="SUBHARAMBHA TRADING"/>
    <x v="3"/>
    <x v="26"/>
    <n v="1"/>
    <n v="72"/>
    <n v="131.83000000000001"/>
    <n v="9491.76"/>
    <n v="-862.8"/>
    <n v="0"/>
    <n v="1121.7647609999999"/>
    <n v="9750.7247609999995"/>
  </r>
  <r>
    <x v="112"/>
    <x v="9"/>
    <x v="3"/>
    <x v="0"/>
    <s v="KEPL/01803/82-83"/>
    <s v="SUBHARAMBHA TRADING"/>
    <x v="0"/>
    <x v="32"/>
    <n v="1"/>
    <n v="120"/>
    <n v="64.23"/>
    <n v="7707.5999999999995"/>
    <n v="-700.62"/>
    <n v="0"/>
    <n v="910.90736800000002"/>
    <n v="7917.8873679999997"/>
  </r>
  <r>
    <x v="112"/>
    <x v="9"/>
    <x v="3"/>
    <x v="0"/>
    <s v="KEPL/01803/82-83"/>
    <s v="SUBHARAMBHA TRADING"/>
    <x v="2"/>
    <x v="7"/>
    <n v="1"/>
    <n v="120"/>
    <n v="148.74"/>
    <n v="17848.8"/>
    <n v="-1622.46"/>
    <n v="0"/>
    <n v="2109.4241259999999"/>
    <n v="18335.764125999998"/>
  </r>
  <r>
    <x v="112"/>
    <x v="9"/>
    <x v="3"/>
    <x v="0"/>
    <s v="KEPL/01803/82-83"/>
    <s v="SUBHARAMBHA TRADING"/>
    <x v="0"/>
    <x v="2"/>
    <n v="1"/>
    <n v="180"/>
    <n v="64.23"/>
    <n v="11561.4"/>
    <n v="-1050.9299999999998"/>
    <n v="0"/>
    <n v="1366.361052"/>
    <n v="11876.831052"/>
  </r>
  <r>
    <x v="113"/>
    <x v="9"/>
    <x v="3"/>
    <x v="0"/>
    <s v="KEPL/01806/82-83"/>
    <s v="GORIN TRADING "/>
    <x v="2"/>
    <x v="8"/>
    <n v="0.5"/>
    <n v="60"/>
    <n v="50.7"/>
    <n v="3042"/>
    <n v="-276.52"/>
    <n v="0"/>
    <n v="359.512832"/>
    <n v="3124.9928319999999"/>
  </r>
  <r>
    <x v="113"/>
    <x v="9"/>
    <x v="3"/>
    <x v="0"/>
    <s v="KEPL/01806/82-83"/>
    <s v="GORIN TRADING "/>
    <x v="3"/>
    <x v="26"/>
    <n v="1"/>
    <n v="72"/>
    <n v="131.83000000000001"/>
    <n v="9491.76"/>
    <n v="-862.8"/>
    <n v="0"/>
    <n v="1121.7661479999999"/>
    <n v="9750.7261479999997"/>
  </r>
  <r>
    <x v="113"/>
    <x v="9"/>
    <x v="3"/>
    <x v="0"/>
    <s v="KEPL/01806/82-83"/>
    <s v="GORIN TRADING "/>
    <x v="3"/>
    <x v="31"/>
    <n v="1"/>
    <n v="72"/>
    <n v="148.72999999999999"/>
    <n v="10708.56"/>
    <n v="-973.41"/>
    <n v="0"/>
    <n v="1265.5710199999999"/>
    <n v="11000.721020000001"/>
  </r>
  <r>
    <x v="113"/>
    <x v="9"/>
    <x v="3"/>
    <x v="0"/>
    <s v="KEPL/01807/82-83"/>
    <s v="DINESH TRADING HOUSE"/>
    <x v="0"/>
    <x v="48"/>
    <n v="0.23"/>
    <n v="40"/>
    <n v="81.13"/>
    <n v="3245.2999999999997"/>
    <n v="-295"/>
    <n v="0"/>
    <n v="383.538612"/>
    <n v="3333.838612"/>
  </r>
  <r>
    <x v="113"/>
    <x v="9"/>
    <x v="3"/>
    <x v="0"/>
    <s v="KEPL/01807/82-83"/>
    <s v="DINESH TRADING HOUSE"/>
    <x v="0"/>
    <x v="32"/>
    <n v="0.25"/>
    <n v="30"/>
    <n v="64.23"/>
    <n v="1926.8999999999999"/>
    <n v="-175.16"/>
    <n v="0"/>
    <n v="227.72596999999999"/>
    <n v="1979.46597"/>
  </r>
  <r>
    <x v="113"/>
    <x v="9"/>
    <x v="3"/>
    <x v="0"/>
    <s v="KEPL/01807/82-83"/>
    <s v="DINESH TRADING HOUSE"/>
    <x v="0"/>
    <x v="42"/>
    <n v="0.33"/>
    <n v="40"/>
    <n v="94.65"/>
    <n v="3786"/>
    <n v="-344.15"/>
    <n v="0"/>
    <n v="447.44004699999999"/>
    <n v="3889.290047"/>
  </r>
  <r>
    <x v="113"/>
    <x v="9"/>
    <x v="3"/>
    <x v="0"/>
    <s v="KEPL/01807/82-83"/>
    <s v="DINESH TRADING HOUSE"/>
    <x v="0"/>
    <x v="9"/>
    <n v="0.17"/>
    <n v="30"/>
    <n v="70.989999999999995"/>
    <n v="2129.6999999999998"/>
    <n v="-193.59"/>
    <n v="0"/>
    <n v="251.69404500000002"/>
    <n v="2187.8040449999999"/>
  </r>
  <r>
    <x v="113"/>
    <x v="9"/>
    <x v="3"/>
    <x v="0"/>
    <s v="KEPL/01807/82-83"/>
    <s v="DINESH TRADING HOUSE"/>
    <x v="0"/>
    <x v="37"/>
    <n v="0.28000000000000003"/>
    <n v="50"/>
    <n v="98.03"/>
    <n v="4901.5"/>
    <n v="-445.55"/>
    <n v="0"/>
    <n v="579.27291400000001"/>
    <n v="5035.2229139999999"/>
  </r>
  <r>
    <x v="113"/>
    <x v="9"/>
    <x v="3"/>
    <x v="0"/>
    <s v="KEPL/01807/82-83"/>
    <s v="DINESH TRADING HOUSE"/>
    <x v="0"/>
    <x v="38"/>
    <n v="0.17"/>
    <n v="20"/>
    <n v="84.51"/>
    <n v="1690.2"/>
    <n v="-153.63999999999999"/>
    <n v="0"/>
    <n v="199.75259800000001"/>
    <n v="1736.312598"/>
  </r>
  <r>
    <x v="113"/>
    <x v="9"/>
    <x v="3"/>
    <x v="0"/>
    <s v="KEPL/01807/82-83"/>
    <s v="DINESH TRADING HOUSE"/>
    <x v="0"/>
    <x v="36"/>
    <n v="0.25"/>
    <n v="20"/>
    <n v="155.49"/>
    <n v="3109.7999999999997"/>
    <n v="-282.68"/>
    <n v="0"/>
    <n v="367.52522800000003"/>
    <n v="3194.6452279999999"/>
  </r>
  <r>
    <x v="113"/>
    <x v="9"/>
    <x v="3"/>
    <x v="0"/>
    <s v="KEPL/01807/82-83"/>
    <s v="DINESH TRADING HOUSE"/>
    <x v="0"/>
    <x v="35"/>
    <n v="0.37"/>
    <n v="30"/>
    <n v="169.01"/>
    <n v="5070.2999999999993"/>
    <n v="-460.89"/>
    <n v="0"/>
    <n v="599.22269300000005"/>
    <n v="5208.6326929999996"/>
  </r>
  <r>
    <x v="113"/>
    <x v="9"/>
    <x v="3"/>
    <x v="0"/>
    <s v="KEPL/01807/82-83"/>
    <s v="DINESH TRADING HOUSE"/>
    <x v="0"/>
    <x v="10"/>
    <n v="0.28000000000000003"/>
    <n v="50"/>
    <n v="60.84"/>
    <n v="3042"/>
    <n v="-276.52"/>
    <n v="0"/>
    <n v="359.51203599999997"/>
    <n v="3124.9920360000001"/>
  </r>
  <r>
    <x v="113"/>
    <x v="9"/>
    <x v="3"/>
    <x v="0"/>
    <s v="KEPL/01807/82-83"/>
    <s v="DINESH TRADING HOUSE"/>
    <x v="0"/>
    <x v="11"/>
    <n v="0.22"/>
    <n v="40"/>
    <n v="62.21"/>
    <n v="2488.4"/>
    <n v="-226.2"/>
    <n v="0"/>
    <n v="294.08570200000003"/>
    <n v="2556.2857020000001"/>
  </r>
  <r>
    <x v="113"/>
    <x v="9"/>
    <x v="3"/>
    <x v="0"/>
    <s v="KEPL/01807/82-83"/>
    <s v="DINESH TRADING HOUSE"/>
    <x v="0"/>
    <x v="44"/>
    <n v="0.22"/>
    <n v="40"/>
    <n v="128.44999999999999"/>
    <n v="5137.9999999999991"/>
    <n v="-467.04"/>
    <n v="0"/>
    <n v="607.22418499999992"/>
    <n v="5278.1841850000001"/>
  </r>
  <r>
    <x v="113"/>
    <x v="9"/>
    <x v="3"/>
    <x v="0"/>
    <s v="KEPL/01807/82-83"/>
    <s v="DINESH TRADING HOUSE"/>
    <x v="0"/>
    <x v="2"/>
    <n v="0.17"/>
    <n v="30"/>
    <n v="64.23"/>
    <n v="1926.8999999999999"/>
    <n v="-175.16"/>
    <n v="0"/>
    <n v="227.72596999999999"/>
    <n v="1979.46597"/>
  </r>
  <r>
    <x v="113"/>
    <x v="9"/>
    <x v="3"/>
    <x v="0"/>
    <s v="KEPL/01809/82-83"/>
    <s v="MEGA MART PVT.LTD"/>
    <x v="3"/>
    <x v="31"/>
    <n v="1.33"/>
    <n v="96"/>
    <n v="140.18"/>
    <n v="13457.28"/>
    <n v="0"/>
    <n v="0"/>
    <n v="1749.45"/>
    <n v="15206.73"/>
  </r>
  <r>
    <x v="114"/>
    <x v="9"/>
    <x v="3"/>
    <x v="0"/>
    <s v="KEPL/01831/82-83"/>
    <s v="BEERA BARJEE INTERNATIONAL PVT.LTD"/>
    <x v="0"/>
    <x v="18"/>
    <n v="1"/>
    <n v="120"/>
    <n v="148.72999999999999"/>
    <n v="17847.600000000002"/>
    <n v="-1622.3500000000001"/>
    <n v="0"/>
    <n v="2109.2821549999999"/>
    <n v="18334.532155000001"/>
  </r>
  <r>
    <x v="114"/>
    <x v="9"/>
    <x v="3"/>
    <x v="0"/>
    <s v="KEPL/01831/82-83"/>
    <s v="BEERA BARJEE INTERNATIONAL PVT.LTD"/>
    <x v="0"/>
    <x v="27"/>
    <n v="1"/>
    <n v="120"/>
    <n v="114.93"/>
    <n v="13791.6"/>
    <n v="-1253.6600000000001"/>
    <n v="0"/>
    <n v="1629.9319330000001"/>
    <n v="14167.871933"/>
  </r>
  <r>
    <x v="114"/>
    <x v="9"/>
    <x v="3"/>
    <x v="0"/>
    <s v="KEPL/01831/82-83"/>
    <s v="BEERA BARJEE INTERNATIONAL PVT.LTD"/>
    <x v="0"/>
    <x v="20"/>
    <n v="1"/>
    <n v="120"/>
    <n v="121.69"/>
    <n v="14602.800000000001"/>
    <n v="-1327.39"/>
    <n v="0"/>
    <n v="1725.8030180000001"/>
    <n v="15001.213018"/>
  </r>
  <r>
    <x v="114"/>
    <x v="9"/>
    <x v="3"/>
    <x v="0"/>
    <s v="KEPL/01831/82-83"/>
    <s v="BEERA BARJEE INTERNATIONAL PVT.LTD"/>
    <x v="1"/>
    <x v="6"/>
    <n v="1"/>
    <n v="100"/>
    <n v="162.26"/>
    <n v="16226"/>
    <n v="-1474.94"/>
    <n v="0"/>
    <n v="1917.6374859999999"/>
    <n v="16668.697486000001"/>
  </r>
  <r>
    <x v="114"/>
    <x v="9"/>
    <x v="3"/>
    <x v="0"/>
    <s v="KEPL/01831/82-83"/>
    <s v="BEERA BARJEE INTERNATIONAL PVT.LTD"/>
    <x v="0"/>
    <x v="14"/>
    <n v="1"/>
    <n v="180"/>
    <n v="135.22"/>
    <n v="24339.34"/>
    <n v="-2212.4499999999998"/>
    <n v="0"/>
    <n v="2876.4952290000001"/>
    <n v="25003.385229"/>
  </r>
  <r>
    <x v="114"/>
    <x v="9"/>
    <x v="3"/>
    <x v="0"/>
    <s v="KEPL/01831/82-83"/>
    <s v="BEERA BARJEE INTERNATIONAL PVT.LTD"/>
    <x v="0"/>
    <x v="44"/>
    <n v="1"/>
    <n v="180"/>
    <n v="128.44999999999999"/>
    <n v="23121.000000000004"/>
    <n v="-2101.6999999999998"/>
    <n v="0"/>
    <n v="2732.5085530000001"/>
    <n v="23751.808552999999"/>
  </r>
  <r>
    <x v="114"/>
    <x v="9"/>
    <x v="3"/>
    <x v="0"/>
    <s v="KEPL/01831/82-83"/>
    <s v="BEERA BARJEE INTERNATIONAL PVT.LTD"/>
    <x v="2"/>
    <x v="5"/>
    <n v="1"/>
    <n v="180"/>
    <n v="94.65"/>
    <n v="17037"/>
    <n v="-1548.6599999999999"/>
    <n v="0"/>
    <n v="2013.4838709999999"/>
    <n v="17501.823871000001"/>
  </r>
  <r>
    <x v="114"/>
    <x v="9"/>
    <x v="3"/>
    <x v="0"/>
    <s v="KEPL/01831/82-83"/>
    <s v="BEERA BARJEE INTERNATIONAL PVT.LTD"/>
    <x v="0"/>
    <x v="2"/>
    <n v="1"/>
    <n v="180"/>
    <n v="64.23"/>
    <n v="11561.4"/>
    <n v="-1050.9299999999998"/>
    <n v="0"/>
    <n v="1366.3608760000002"/>
    <n v="11876.830876"/>
  </r>
  <r>
    <x v="114"/>
    <x v="9"/>
    <x v="3"/>
    <x v="0"/>
    <s v="KEPL/01831/82-83"/>
    <s v="BEERA BARJEE INTERNATIONAL PVT.LTD"/>
    <x v="2"/>
    <x v="22"/>
    <n v="0.98"/>
    <n v="39"/>
    <n v="283.94"/>
    <n v="11073.66"/>
    <n v="-1006.6"/>
    <n v="0"/>
    <n v="1308.717586"/>
    <n v="11375.777586"/>
  </r>
  <r>
    <x v="114"/>
    <x v="9"/>
    <x v="3"/>
    <x v="0"/>
    <s v="KEPL/01831/82-83"/>
    <s v="BEERA BARJEE INTERNATIONAL PVT.LTD"/>
    <x v="3"/>
    <x v="31"/>
    <n v="1"/>
    <n v="72"/>
    <n v="148.72999999999999"/>
    <n v="10708.56"/>
    <n v="-973.41"/>
    <n v="0"/>
    <n v="1265.5692929999998"/>
    <n v="11000.719293"/>
  </r>
  <r>
    <x v="114"/>
    <x v="9"/>
    <x v="3"/>
    <x v="0"/>
    <s v="KESR/0048/82-83"/>
    <s v="BEERA BARJEE INTERNATIONAL PVT.LTD"/>
    <x v="0"/>
    <x v="11"/>
    <n v="-1"/>
    <n v="-180"/>
    <n v="64.23"/>
    <n v="-11561.4"/>
    <n v="1050.9299999999998"/>
    <n v="0"/>
    <n v="-1366.3613740000001"/>
    <n v="-11876.831373999999"/>
  </r>
  <r>
    <x v="114"/>
    <x v="9"/>
    <x v="3"/>
    <x v="0"/>
    <s v="KESR/0048/82-83"/>
    <s v="BEERA BARJEE INTERNATIONAL PVT.LTD"/>
    <x v="0"/>
    <x v="16"/>
    <n v="-0.25"/>
    <n v="-30"/>
    <n v="121.69"/>
    <n v="-3650.7000000000003"/>
    <n v="331.85"/>
    <n v="0"/>
    <n v="-431.45058600000004"/>
    <n v="-3750.3005859999998"/>
  </r>
  <r>
    <x v="114"/>
    <x v="9"/>
    <x v="3"/>
    <x v="0"/>
    <s v="KESR/0048/82-83"/>
    <s v="BEERA BARJEE INTERNATIONAL PVT.LTD"/>
    <x v="0"/>
    <x v="27"/>
    <n v="-2.25"/>
    <n v="-270"/>
    <n v="118.31"/>
    <n v="-31943.7"/>
    <n v="2903.68"/>
    <n v="0"/>
    <n v="-3775.203356"/>
    <n v="-32815.223356000002"/>
  </r>
  <r>
    <x v="114"/>
    <x v="9"/>
    <x v="3"/>
    <x v="0"/>
    <s v="KESR/0048/82-83"/>
    <s v="BEERA BARJEE INTERNATIONAL PVT.LTD"/>
    <x v="1"/>
    <x v="3"/>
    <n v="-0.05"/>
    <n v="-2"/>
    <n v="459.72"/>
    <n v="-919.44"/>
    <n v="83.58"/>
    <n v="0"/>
    <n v="-108.66182200000002"/>
    <n v="-944.52182200000004"/>
  </r>
  <r>
    <x v="114"/>
    <x v="9"/>
    <x v="3"/>
    <x v="0"/>
    <s v="KESR/0048/82-83"/>
    <s v="BEERA BARJEE INTERNATIONAL PVT.LTD"/>
    <x v="0"/>
    <x v="21"/>
    <n v="-0.75"/>
    <n v="-60"/>
    <n v="189.3"/>
    <n v="-11358"/>
    <n v="1032.44"/>
    <n v="0"/>
    <n v="-1342.323069"/>
    <n v="-11667.883069"/>
  </r>
  <r>
    <x v="114"/>
    <x v="9"/>
    <x v="3"/>
    <x v="0"/>
    <s v="KESR/0048/82-83"/>
    <s v="BEERA BARJEE INTERNATIONAL PVT.LTD"/>
    <x v="0"/>
    <x v="19"/>
    <n v="-0.5"/>
    <n v="-90"/>
    <n v="155.49"/>
    <n v="-13994.1"/>
    <n v="1272.0600000000002"/>
    <n v="0"/>
    <n v="-1653.8655310000001"/>
    <n v="-14375.905531"/>
  </r>
  <r>
    <x v="114"/>
    <x v="9"/>
    <x v="3"/>
    <x v="0"/>
    <s v="KESR/0048/82-83"/>
    <s v="BEERA BARJEE INTERNATIONAL PVT.LTD"/>
    <x v="2"/>
    <x v="8"/>
    <n v="-0.33"/>
    <n v="-40"/>
    <n v="50.7"/>
    <n v="-2028"/>
    <n v="184.35"/>
    <n v="0"/>
    <n v="-239.67454799999999"/>
    <n v="-2083.324548"/>
  </r>
  <r>
    <x v="114"/>
    <x v="9"/>
    <x v="3"/>
    <x v="0"/>
    <s v="KESR/0048/82-83"/>
    <s v="BEERA BARJEE INTERNATIONAL PVT.LTD"/>
    <x v="0"/>
    <x v="0"/>
    <n v="-0.06"/>
    <n v="-10"/>
    <n v="64.23"/>
    <n v="-642.29999999999995"/>
    <n v="58.39"/>
    <n v="0"/>
    <n v="-75.908315000000002"/>
    <n v="-659.81831499999998"/>
  </r>
  <r>
    <x v="114"/>
    <x v="9"/>
    <x v="3"/>
    <x v="0"/>
    <s v="KESR/0048/82-83"/>
    <s v="BEERA BARJEE INTERNATIONAL PVT.LTD"/>
    <x v="0"/>
    <x v="15"/>
    <n v="-0.39"/>
    <n v="-70"/>
    <n v="114.93"/>
    <n v="-8045.1"/>
    <n v="731.3"/>
    <n v="0"/>
    <n v="-950.79418999999996"/>
    <n v="-8264.5941899999998"/>
  </r>
  <r>
    <x v="114"/>
    <x v="9"/>
    <x v="3"/>
    <x v="0"/>
    <s v="KESR/0048/82-83"/>
    <s v="BEERA BARJEE INTERNATIONAL PVT.LTD"/>
    <x v="2"/>
    <x v="24"/>
    <n v="-0.5"/>
    <n v="-20"/>
    <n v="439.44"/>
    <n v="-8788.7999999999993"/>
    <n v="798.9"/>
    <n v="0"/>
    <n v="-1038.6872080000001"/>
    <n v="-9028.5872080000008"/>
  </r>
  <r>
    <x v="114"/>
    <x v="9"/>
    <x v="3"/>
    <x v="0"/>
    <s v="KESR/0049/82-83"/>
    <s v="BEERA BARJEE INTERNATIONAL PVT.LTD"/>
    <x v="1"/>
    <x v="12"/>
    <n v="-0.25"/>
    <n v="-10"/>
    <n v="309.39999999999998"/>
    <n v="-3094"/>
    <n v="281.24"/>
    <n v="0"/>
    <n v="0"/>
    <n v="-2812.76"/>
  </r>
  <r>
    <x v="115"/>
    <x v="9"/>
    <x v="3"/>
    <x v="0"/>
    <s v="KEPL/01835/82-83"/>
    <s v="SIMPEX SOLUTION PVT. LTD"/>
    <x v="4"/>
    <x v="30"/>
    <n v="0.17"/>
    <n v="10"/>
    <n v="102.65"/>
    <n v="1026.5"/>
    <n v="0"/>
    <n v="0"/>
    <n v="133.44401100000002"/>
    <n v="1159.944011"/>
  </r>
  <r>
    <x v="115"/>
    <x v="9"/>
    <x v="3"/>
    <x v="0"/>
    <s v="KEPL/01835/82-83"/>
    <s v="SIMPEX SOLUTION PVT. LTD"/>
    <x v="0"/>
    <x v="11"/>
    <n v="0.06"/>
    <n v="10"/>
    <n v="67.260000000000005"/>
    <n v="672.6"/>
    <n v="0"/>
    <n v="0"/>
    <n v="87.437352000000004"/>
    <n v="760.03735200000006"/>
  </r>
  <r>
    <x v="115"/>
    <x v="9"/>
    <x v="3"/>
    <x v="0"/>
    <s v="KEPL/01835/82-83"/>
    <s v="SIMPEX SOLUTION PVT. LTD"/>
    <x v="0"/>
    <x v="2"/>
    <n v="0.06"/>
    <n v="10"/>
    <n v="67.260000000000005"/>
    <n v="672.6"/>
    <n v="0"/>
    <n v="0"/>
    <n v="87.437352000000004"/>
    <n v="760.03735200000006"/>
  </r>
  <r>
    <x v="115"/>
    <x v="9"/>
    <x v="3"/>
    <x v="0"/>
    <s v="KEPL/01835/82-83"/>
    <s v="SIMPEX SOLUTION PVT. LTD"/>
    <x v="0"/>
    <x v="9"/>
    <n v="0.06"/>
    <n v="10"/>
    <n v="74.34"/>
    <n v="743.4"/>
    <n v="0"/>
    <n v="0"/>
    <n v="96.641283999999999"/>
    <n v="840.04128400000002"/>
  </r>
  <r>
    <x v="115"/>
    <x v="9"/>
    <x v="3"/>
    <x v="0"/>
    <s v="KEPL/01838/82-83"/>
    <s v="BHAT BHATENI SUPERMARKET &amp; DEPARTMENTAL STORE PVT. LTD."/>
    <x v="1"/>
    <x v="12"/>
    <n v="1"/>
    <n v="40"/>
    <n v="308"/>
    <n v="12320"/>
    <n v="0"/>
    <n v="-1232"/>
    <n v="0"/>
    <n v="11088"/>
  </r>
  <r>
    <x v="115"/>
    <x v="9"/>
    <x v="3"/>
    <x v="0"/>
    <s v="KEPL/01838/82-83"/>
    <s v="BHAT BHATENI SUPERMARKET &amp; DEPARTMENTAL STORE PVT. LTD."/>
    <x v="1"/>
    <x v="13"/>
    <n v="1"/>
    <n v="100"/>
    <n v="126"/>
    <n v="12600"/>
    <n v="0"/>
    <n v="-1260"/>
    <n v="0"/>
    <n v="11340"/>
  </r>
  <r>
    <x v="115"/>
    <x v="9"/>
    <x v="3"/>
    <x v="0"/>
    <s v="KEPL/01839/82-83"/>
    <s v="BHAT BHATENI SUPERMARKET &amp; DEPARTMENTAL STORE PVT. LTD."/>
    <x v="1"/>
    <x v="13"/>
    <n v="1"/>
    <n v="100"/>
    <n v="126"/>
    <n v="12600"/>
    <n v="0"/>
    <n v="-1260"/>
    <n v="0"/>
    <n v="11340"/>
  </r>
  <r>
    <x v="115"/>
    <x v="9"/>
    <x v="3"/>
    <x v="0"/>
    <s v="KEPL/01839/82-83"/>
    <s v="BHAT BHATENI SUPERMARKET &amp; DEPARTMENTAL STORE PVT. LTD."/>
    <x v="1"/>
    <x v="12"/>
    <n v="1"/>
    <n v="40"/>
    <n v="308"/>
    <n v="12320"/>
    <n v="0"/>
    <n v="-1232"/>
    <n v="0"/>
    <n v="11088"/>
  </r>
  <r>
    <x v="115"/>
    <x v="9"/>
    <x v="3"/>
    <x v="0"/>
    <s v="KEPL/01840/82-83"/>
    <s v="BHAT BHATENI SUPERMARKET &amp; DEPARTMENTAL STORE PVT. LTD."/>
    <x v="0"/>
    <x v="18"/>
    <n v="1"/>
    <n v="120"/>
    <n v="136.28"/>
    <n v="16353.6"/>
    <n v="0"/>
    <n v="-1635.36"/>
    <n v="1913.3709590000001"/>
    <n v="16631.610959000001"/>
  </r>
  <r>
    <x v="115"/>
    <x v="9"/>
    <x v="3"/>
    <x v="0"/>
    <s v="KEPL/01840/82-83"/>
    <s v="BHAT BHATENI SUPERMARKET &amp; DEPARTMENTAL STORE PVT. LTD."/>
    <x v="0"/>
    <x v="11"/>
    <n v="0.5"/>
    <n v="90"/>
    <n v="56.99"/>
    <n v="5129.1000000000004"/>
    <n v="0"/>
    <n v="-512.91"/>
    <n v="600.10462400000006"/>
    <n v="5216.2946240000001"/>
  </r>
  <r>
    <x v="115"/>
    <x v="9"/>
    <x v="3"/>
    <x v="0"/>
    <s v="KEPL/01840/82-83"/>
    <s v="BHAT BHATENI SUPERMARKET &amp; DEPARTMENTAL STORE PVT. LTD."/>
    <x v="2"/>
    <x v="23"/>
    <n v="1"/>
    <n v="180"/>
    <n v="145.58000000000001"/>
    <n v="26204.399999999998"/>
    <n v="0"/>
    <n v="-2620.44"/>
    <n v="3065.9144139999999"/>
    <n v="26649.874414000002"/>
  </r>
  <r>
    <x v="115"/>
    <x v="9"/>
    <x v="3"/>
    <x v="0"/>
    <s v="KEPL/01840/82-83"/>
    <s v="BHAT BHATENI SUPERMARKET &amp; DEPARTMENTAL STORE PVT. LTD."/>
    <x v="0"/>
    <x v="42"/>
    <n v="1"/>
    <n v="120"/>
    <n v="86.73"/>
    <n v="10407.6"/>
    <n v="0"/>
    <n v="-1040.76"/>
    <n v="1217.6890470000001"/>
    <n v="10584.529047"/>
  </r>
  <r>
    <x v="115"/>
    <x v="9"/>
    <x v="3"/>
    <x v="0"/>
    <s v="KEPL/01840/82-83"/>
    <s v="BHAT BHATENI SUPERMARKET &amp; DEPARTMENTAL STORE PVT. LTD."/>
    <x v="0"/>
    <x v="9"/>
    <n v="1"/>
    <n v="180"/>
    <n v="65.040000000000006"/>
    <n v="11707.2"/>
    <n v="0"/>
    <n v="-1170.72"/>
    <n v="1369.7422279999998"/>
    <n v="11906.222228000001"/>
  </r>
  <r>
    <x v="115"/>
    <x v="9"/>
    <x v="3"/>
    <x v="0"/>
    <s v="KEPL/01840/82-83"/>
    <s v="BHAT BHATENI SUPERMARKET &amp; DEPARTMENTAL STORE PVT. LTD."/>
    <x v="3"/>
    <x v="26"/>
    <n v="1"/>
    <n v="72"/>
    <n v="120.8"/>
    <n v="8697.6"/>
    <n v="0"/>
    <n v="-869.76"/>
    <n v="1017.619072"/>
    <n v="8845.4590719999997"/>
  </r>
  <r>
    <x v="115"/>
    <x v="9"/>
    <x v="3"/>
    <x v="0"/>
    <s v="KEPL/01840/82-83"/>
    <s v="BHAT BHATENI SUPERMARKET &amp; DEPARTMENTAL STORE PVT. LTD."/>
    <x v="3"/>
    <x v="47"/>
    <n v="1"/>
    <n v="100"/>
    <n v="65.040000000000006"/>
    <n v="6504"/>
    <n v="0"/>
    <n v="-650.4"/>
    <n v="760.96790399999998"/>
    <n v="6614.5679040000005"/>
  </r>
  <r>
    <x v="115"/>
    <x v="9"/>
    <x v="3"/>
    <x v="0"/>
    <s v="KEPL/01840/82-83"/>
    <s v="BHAT BHATENI SUPERMARKET &amp; DEPARTMENTAL STORE PVT. LTD."/>
    <x v="0"/>
    <x v="16"/>
    <n v="1"/>
    <n v="120"/>
    <n v="108.41"/>
    <n v="13009.2"/>
    <n v="0"/>
    <n v="-1300.92"/>
    <n v="1522.0762080000002"/>
    <n v="13230.356207999999"/>
  </r>
  <r>
    <x v="115"/>
    <x v="9"/>
    <x v="3"/>
    <x v="0"/>
    <s v="KEPL/01840/82-83"/>
    <s v="BHAT BHATENI SUPERMARKET &amp; DEPARTMENTAL STORE PVT. LTD."/>
    <x v="0"/>
    <x v="0"/>
    <n v="1"/>
    <n v="180"/>
    <n v="56.99"/>
    <n v="10258.200000000001"/>
    <n v="0"/>
    <n v="-1025.82"/>
    <n v="1200.209249"/>
    <n v="10432.589249000001"/>
  </r>
  <r>
    <x v="115"/>
    <x v="9"/>
    <x v="3"/>
    <x v="0"/>
    <s v="KEPL/01840/82-83"/>
    <s v="BHAT BHATENI SUPERMARKET &amp; DEPARTMENTAL STORE PVT. LTD."/>
    <x v="2"/>
    <x v="33"/>
    <n v="1"/>
    <n v="180"/>
    <n v="83.63"/>
    <n v="15053.4"/>
    <n v="0"/>
    <n v="-1505.3400000000001"/>
    <n v="1761.247578"/>
    <n v="15309.307578"/>
  </r>
  <r>
    <x v="115"/>
    <x v="9"/>
    <x v="3"/>
    <x v="0"/>
    <s v="KEPL/01840/82-83"/>
    <s v="BHAT BHATENI SUPERMARKET &amp; DEPARTMENTAL STORE PVT. LTD."/>
    <x v="0"/>
    <x v="39"/>
    <n v="1"/>
    <n v="180"/>
    <n v="76.81"/>
    <n v="13825.800000000001"/>
    <n v="0"/>
    <n v="-1382.58"/>
    <n v="1617.6183959999998"/>
    <n v="14060.838395999999"/>
  </r>
  <r>
    <x v="115"/>
    <x v="9"/>
    <x v="3"/>
    <x v="0"/>
    <s v="KEPL/01840/82-83"/>
    <s v="BHAT BHATENI SUPERMARKET &amp; DEPARTMENTAL STORE PVT. LTD."/>
    <x v="1"/>
    <x v="4"/>
    <n v="1"/>
    <n v="40"/>
    <n v="238.5"/>
    <n v="9539.9999999999982"/>
    <n v="0"/>
    <n v="-954"/>
    <n v="1116.17986"/>
    <n v="9702.1798600000002"/>
  </r>
  <r>
    <x v="115"/>
    <x v="9"/>
    <x v="3"/>
    <x v="0"/>
    <s v="KEPL/01840/82-83"/>
    <s v="BHAT BHATENI SUPERMARKET &amp; DEPARTMENTAL STORE PVT. LTD."/>
    <x v="0"/>
    <x v="14"/>
    <n v="1"/>
    <n v="180"/>
    <n v="123.89"/>
    <n v="22300.2"/>
    <n v="0"/>
    <n v="-2230.02"/>
    <n v="2609.1230719999999"/>
    <n v="22679.303071999999"/>
  </r>
  <r>
    <x v="115"/>
    <x v="9"/>
    <x v="3"/>
    <x v="0"/>
    <s v="KEPL/01840/82-83"/>
    <s v="BHAT BHATENI SUPERMARKET &amp; DEPARTMENTAL STORE PVT. LTD."/>
    <x v="5"/>
    <x v="43"/>
    <n v="1"/>
    <n v="60"/>
    <n v="136.28"/>
    <n v="8176.8"/>
    <n v="0"/>
    <n v="-817.68"/>
    <n v="956.68547999999998"/>
    <n v="8315.8054800000009"/>
  </r>
  <r>
    <x v="115"/>
    <x v="9"/>
    <x v="3"/>
    <x v="0"/>
    <s v="KEPL/01840/82-83"/>
    <s v="BHAT BHATENI SUPERMARKET &amp; DEPARTMENTAL STORE PVT. LTD."/>
    <x v="0"/>
    <x v="19"/>
    <n v="1"/>
    <n v="180"/>
    <n v="142.47999999999999"/>
    <n v="25646.399999999998"/>
    <n v="0"/>
    <n v="-2564.64"/>
    <n v="3000.6284219999998"/>
    <n v="26082.388422"/>
  </r>
  <r>
    <x v="115"/>
    <x v="9"/>
    <x v="3"/>
    <x v="0"/>
    <s v="KEPL/01840/82-83"/>
    <s v="BHAT BHATENI SUPERMARKET &amp; DEPARTMENTAL STORE PVT. LTD."/>
    <x v="2"/>
    <x v="5"/>
    <n v="1"/>
    <n v="180"/>
    <n v="74.34"/>
    <n v="13381.199999999999"/>
    <n v="0"/>
    <n v="-1338.12"/>
    <n v="1565.600203"/>
    <n v="13608.680203"/>
  </r>
  <r>
    <x v="115"/>
    <x v="9"/>
    <x v="3"/>
    <x v="0"/>
    <s v="KEPL/01840/82-83"/>
    <s v="BHAT BHATENI SUPERMARKET &amp; DEPARTMENTAL STORE PVT. LTD."/>
    <x v="0"/>
    <x v="48"/>
    <n v="1"/>
    <n v="180"/>
    <n v="74.34"/>
    <n v="13381.199999999999"/>
    <n v="0"/>
    <n v="-1338.12"/>
    <n v="1565.600203"/>
    <n v="13608.680203"/>
  </r>
  <r>
    <x v="115"/>
    <x v="9"/>
    <x v="3"/>
    <x v="0"/>
    <s v="KEPL/01840/82-83"/>
    <s v="BHAT BHATENI SUPERMARKET &amp; DEPARTMENTAL STORE PVT. LTD."/>
    <x v="2"/>
    <x v="28"/>
    <n v="1"/>
    <n v="80"/>
    <n v="154.87"/>
    <n v="12389.6"/>
    <n v="0"/>
    <n v="-1238.96"/>
    <n v="1449.583018"/>
    <n v="12600.223018000001"/>
  </r>
  <r>
    <x v="115"/>
    <x v="9"/>
    <x v="3"/>
    <x v="0"/>
    <s v="KEPL/01840/82-83"/>
    <s v="BHAT BHATENI SUPERMARKET &amp; DEPARTMENTAL STORE PVT. LTD."/>
    <x v="0"/>
    <x v="20"/>
    <n v="1"/>
    <n v="120"/>
    <n v="108.41"/>
    <n v="13009.2"/>
    <n v="0"/>
    <n v="-1300.92"/>
    <n v="1522.0762080000002"/>
    <n v="13230.356207999999"/>
  </r>
  <r>
    <x v="115"/>
    <x v="9"/>
    <x v="3"/>
    <x v="0"/>
    <s v="KEPL/01840/82-83"/>
    <s v="BHAT BHATENI SUPERMARKET &amp; DEPARTMENTAL STORE PVT. LTD."/>
    <x v="1"/>
    <x v="1"/>
    <n v="1"/>
    <n v="100"/>
    <n v="99.12"/>
    <n v="9912"/>
    <n v="0"/>
    <n v="-991.2"/>
    <n v="1159.7038539999999"/>
    <n v="10080.503854000001"/>
  </r>
  <r>
    <x v="115"/>
    <x v="9"/>
    <x v="3"/>
    <x v="0"/>
    <s v="KEPL/01841/82-83"/>
    <s v="BHAT BHATENI SUPERMARKET &amp; DEPARTMENTAL STORE PVT. LTD."/>
    <x v="0"/>
    <x v="37"/>
    <n v="1"/>
    <n v="180"/>
    <n v="89.82"/>
    <n v="16167.6"/>
    <n v="0"/>
    <n v="-1616.7601669999999"/>
    <n v="1891.608845"/>
    <n v="16442.448678000001"/>
  </r>
  <r>
    <x v="115"/>
    <x v="9"/>
    <x v="3"/>
    <x v="0"/>
    <s v="KEPL/01841/82-83"/>
    <s v="BHAT BHATENI SUPERMARKET &amp; DEPARTMENTAL STORE PVT. LTD."/>
    <x v="0"/>
    <x v="35"/>
    <n v="0.5"/>
    <n v="40"/>
    <n v="154.87"/>
    <n v="6194.8"/>
    <n v="0"/>
    <n v="-619.48006399999997"/>
    <n v="724.79146400000002"/>
    <n v="6300.1113999999998"/>
  </r>
  <r>
    <x v="115"/>
    <x v="9"/>
    <x v="3"/>
    <x v="0"/>
    <s v="KEPL/01841/82-83"/>
    <s v="BHAT BHATENI SUPERMARKET &amp; DEPARTMENTAL STORE PVT. LTD."/>
    <x v="2"/>
    <x v="24"/>
    <n v="0.75"/>
    <n v="30"/>
    <n v="402.65"/>
    <n v="12079.499999999998"/>
    <n v="0"/>
    <n v="-1207.9501250000001"/>
    <n v="1413.3012350000001"/>
    <n v="12284.85111"/>
  </r>
  <r>
    <x v="115"/>
    <x v="9"/>
    <x v="3"/>
    <x v="0"/>
    <s v="KEPL/01841/82-83"/>
    <s v="BHAT BHATENI SUPERMARKET &amp; DEPARTMENTAL STORE PVT. LTD."/>
    <x v="3"/>
    <x v="52"/>
    <n v="1"/>
    <n v="72"/>
    <n v="164.16"/>
    <n v="11819.52"/>
    <n v="0"/>
    <n v="-1181.9521219999999"/>
    <n v="1382.8835799999999"/>
    <n v="12020.451458"/>
  </r>
  <r>
    <x v="115"/>
    <x v="9"/>
    <x v="3"/>
    <x v="0"/>
    <s v="KEPL/01841/82-83"/>
    <s v="BHAT BHATENI SUPERMARKET &amp; DEPARTMENTAL STORE PVT. LTD."/>
    <x v="3"/>
    <x v="31"/>
    <n v="1"/>
    <n v="72"/>
    <n v="136.28"/>
    <n v="9812.16"/>
    <n v="0"/>
    <n v="-981.21610100000009"/>
    <n v="1148.022504"/>
    <n v="9978.9664030000004"/>
  </r>
  <r>
    <x v="115"/>
    <x v="9"/>
    <x v="3"/>
    <x v="0"/>
    <s v="KEPL/01841/82-83"/>
    <s v="BHAT BHATENI SUPERMARKET &amp; DEPARTMENTAL STORE PVT. LTD."/>
    <x v="0"/>
    <x v="40"/>
    <n v="0.5"/>
    <n v="60"/>
    <n v="71.239999999999995"/>
    <n v="4274.3999999999996"/>
    <n v="0"/>
    <n v="-427.440044"/>
    <n v="500.10470599999996"/>
    <n v="4347.0646619999998"/>
  </r>
  <r>
    <x v="115"/>
    <x v="9"/>
    <x v="3"/>
    <x v="0"/>
    <s v="KEPL/01841/82-83"/>
    <s v="BHAT BHATENI SUPERMARKET &amp; DEPARTMENTAL STORE PVT. LTD."/>
    <x v="1"/>
    <x v="6"/>
    <n v="1"/>
    <n v="100"/>
    <n v="148.66999999999999"/>
    <n v="14867"/>
    <n v="0"/>
    <n v="-1486.700153"/>
    <n v="1739.4386730000001"/>
    <n v="15119.738520000001"/>
  </r>
  <r>
    <x v="115"/>
    <x v="9"/>
    <x v="3"/>
    <x v="0"/>
    <s v="KEPL/01841/82-83"/>
    <s v="BHAT BHATENI SUPERMARKET &amp; DEPARTMENTAL STORE PVT. LTD."/>
    <x v="0"/>
    <x v="15"/>
    <n v="1"/>
    <n v="180"/>
    <n v="105.31"/>
    <n v="18955.8"/>
    <n v="0"/>
    <n v="-1895.580195"/>
    <n v="2217.828184"/>
    <n v="19278.047988999999"/>
  </r>
  <r>
    <x v="115"/>
    <x v="9"/>
    <x v="3"/>
    <x v="0"/>
    <s v="KEPL/01841/82-83"/>
    <s v="BHAT BHATENI SUPERMARKET &amp; DEPARTMENTAL STORE PVT. LTD."/>
    <x v="1"/>
    <x v="3"/>
    <n v="1"/>
    <n v="40"/>
    <n v="360.53"/>
    <n v="14421.199999999999"/>
    <n v="0"/>
    <n v="-1442.1201490000001"/>
    <n v="1687.2800829999999"/>
    <n v="14666.359934"/>
  </r>
  <r>
    <x v="115"/>
    <x v="9"/>
    <x v="3"/>
    <x v="0"/>
    <s v="KEPL/01841/82-83"/>
    <s v="BHAT BHATENI SUPERMARKET &amp; DEPARTMENTAL STORE PVT. LTD."/>
    <x v="0"/>
    <x v="10"/>
    <n v="1"/>
    <n v="180"/>
    <n v="55.75"/>
    <n v="10035"/>
    <n v="0"/>
    <n v="-1003.5001030000001"/>
    <n v="1174.0947800000001"/>
    <n v="10205.594676999999"/>
  </r>
  <r>
    <x v="115"/>
    <x v="9"/>
    <x v="3"/>
    <x v="0"/>
    <s v="KEPL/01841/82-83"/>
    <s v="BHAT BHATENI SUPERMARKET &amp; DEPARTMENTAL STORE PVT. LTD."/>
    <x v="3"/>
    <x v="46"/>
    <n v="1"/>
    <n v="100"/>
    <n v="89.82"/>
    <n v="8982"/>
    <n v="0"/>
    <n v="-898.20009299999992"/>
    <n v="1050.8938029999999"/>
    <n v="9134.6937099999996"/>
  </r>
  <r>
    <x v="115"/>
    <x v="9"/>
    <x v="3"/>
    <x v="0"/>
    <s v="KEPL/01841/82-83"/>
    <s v="BHAT BHATENI SUPERMARKET &amp; DEPARTMENTAL STORE PVT. LTD."/>
    <x v="2"/>
    <x v="34"/>
    <n v="1"/>
    <n v="80"/>
    <n v="210.62"/>
    <n v="16849.599999999999"/>
    <n v="0"/>
    <n v="-1684.9601740000001"/>
    <n v="1971.40283"/>
    <n v="17136.042656000001"/>
  </r>
  <r>
    <x v="115"/>
    <x v="9"/>
    <x v="3"/>
    <x v="0"/>
    <s v="KEPL/01841/82-83"/>
    <s v="BHAT BHATENI SUPERMARKET &amp; DEPARTMENTAL STORE PVT. LTD."/>
    <x v="0"/>
    <x v="17"/>
    <n v="1"/>
    <n v="180"/>
    <n v="108.41"/>
    <n v="19513.8"/>
    <n v="0"/>
    <n v="-1951.3802009999999"/>
    <n v="2283.1141710000002"/>
    <n v="19845.53397"/>
  </r>
  <r>
    <x v="115"/>
    <x v="9"/>
    <x v="3"/>
    <x v="0"/>
    <s v="KEPL/01841/82-83"/>
    <s v="BHAT BHATENI SUPERMARKET &amp; DEPARTMENTAL STORE PVT. LTD."/>
    <x v="0"/>
    <x v="32"/>
    <n v="1"/>
    <n v="120"/>
    <n v="58.85"/>
    <n v="7062.0000000000009"/>
    <n v="0"/>
    <n v="-706.20007299999997"/>
    <n v="826.25384499999996"/>
    <n v="7182.0537720000002"/>
  </r>
  <r>
    <x v="115"/>
    <x v="9"/>
    <x v="3"/>
    <x v="0"/>
    <s v="KEPL/01841/82-83"/>
    <s v="BHAT BHATENI SUPERMARKET &amp; DEPARTMENTAL STORE PVT. LTD."/>
    <x v="0"/>
    <x v="2"/>
    <n v="1"/>
    <n v="180"/>
    <n v="56.99"/>
    <n v="10258.200000000001"/>
    <n v="0"/>
    <n v="-1025.8201059999999"/>
    <n v="1200.209175"/>
    <n v="10432.589069"/>
  </r>
  <r>
    <x v="115"/>
    <x v="9"/>
    <x v="3"/>
    <x v="0"/>
    <s v="KEPL/01841/82-83"/>
    <s v="BHAT BHATENI SUPERMARKET &amp; DEPARTMENTAL STORE PVT. LTD."/>
    <x v="0"/>
    <x v="27"/>
    <n v="1"/>
    <n v="120"/>
    <n v="105.31"/>
    <n v="12637.199999999999"/>
    <n v="0"/>
    <n v="-1263.7201300000002"/>
    <n v="1478.5521219999998"/>
    <n v="12852.031992"/>
  </r>
  <r>
    <x v="115"/>
    <x v="9"/>
    <x v="3"/>
    <x v="0"/>
    <s v="KEPL/01842/82-83"/>
    <s v="BHAT BHATENI SUPERMARKET &amp; DEPARTMENTAL STORE PVT. LTD."/>
    <x v="2"/>
    <x v="28"/>
    <n v="1"/>
    <n v="80"/>
    <n v="154.87"/>
    <n v="12389.6"/>
    <n v="0"/>
    <n v="-1238.96"/>
    <n v="1449.582942"/>
    <n v="12600.222942"/>
  </r>
  <r>
    <x v="115"/>
    <x v="9"/>
    <x v="3"/>
    <x v="0"/>
    <s v="KEPL/01842/82-83"/>
    <s v="BHAT BHATENI SUPERMARKET &amp; DEPARTMENTAL STORE PVT. LTD."/>
    <x v="3"/>
    <x v="26"/>
    <n v="1"/>
    <n v="72"/>
    <n v="120.8"/>
    <n v="8697.6"/>
    <n v="0"/>
    <n v="-869.76"/>
    <n v="1017.619019"/>
    <n v="8845.4590189999999"/>
  </r>
  <r>
    <x v="115"/>
    <x v="9"/>
    <x v="3"/>
    <x v="0"/>
    <s v="KEPL/01842/82-83"/>
    <s v="BHAT BHATENI SUPERMARKET &amp; DEPARTMENTAL STORE PVT. LTD."/>
    <x v="3"/>
    <x v="47"/>
    <n v="1"/>
    <n v="100"/>
    <n v="65.040000000000006"/>
    <n v="6504"/>
    <n v="0"/>
    <n v="-650.4"/>
    <n v="760.96786499999996"/>
    <n v="6614.567865"/>
  </r>
  <r>
    <x v="115"/>
    <x v="9"/>
    <x v="3"/>
    <x v="0"/>
    <s v="KEPL/01842/82-83"/>
    <s v="BHAT BHATENI SUPERMARKET &amp; DEPARTMENTAL STORE PVT. LTD."/>
    <x v="2"/>
    <x v="5"/>
    <n v="1"/>
    <n v="180"/>
    <n v="74.34"/>
    <n v="13381.199999999999"/>
    <n v="0"/>
    <n v="-1338.12"/>
    <n v="1565.6001219999998"/>
    <n v="13608.680122"/>
  </r>
  <r>
    <x v="115"/>
    <x v="9"/>
    <x v="3"/>
    <x v="0"/>
    <s v="KEPL/01842/82-83"/>
    <s v="BHAT BHATENI SUPERMARKET &amp; DEPARTMENTAL STORE PVT. LTD."/>
    <x v="0"/>
    <x v="18"/>
    <n v="1"/>
    <n v="120"/>
    <n v="136.28"/>
    <n v="16353.6"/>
    <n v="0"/>
    <n v="-1635.36"/>
    <n v="1913.37086"/>
    <n v="16631.610860000001"/>
  </r>
  <r>
    <x v="115"/>
    <x v="9"/>
    <x v="3"/>
    <x v="0"/>
    <s v="KEPL/01842/82-83"/>
    <s v="BHAT BHATENI SUPERMARKET &amp; DEPARTMENTAL STORE PVT. LTD."/>
    <x v="2"/>
    <x v="33"/>
    <n v="1"/>
    <n v="180"/>
    <n v="83.63"/>
    <n v="15053.4"/>
    <n v="0"/>
    <n v="-1505.3400000000001"/>
    <n v="1761.2474870000001"/>
    <n v="15309.307487"/>
  </r>
  <r>
    <x v="115"/>
    <x v="9"/>
    <x v="3"/>
    <x v="0"/>
    <s v="KEPL/01842/82-83"/>
    <s v="BHAT BHATENI SUPERMARKET &amp; DEPARTMENTAL STORE PVT. LTD."/>
    <x v="0"/>
    <x v="39"/>
    <n v="1"/>
    <n v="180"/>
    <n v="76.81"/>
    <n v="13825.800000000001"/>
    <n v="0"/>
    <n v="-1382.58"/>
    <n v="1617.6183120000001"/>
    <n v="14060.838312"/>
  </r>
  <r>
    <x v="115"/>
    <x v="9"/>
    <x v="3"/>
    <x v="0"/>
    <s v="KEPL/01842/82-83"/>
    <s v="BHAT BHATENI SUPERMARKET &amp; DEPARTMENTAL STORE PVT. LTD."/>
    <x v="0"/>
    <x v="9"/>
    <n v="1"/>
    <n v="180"/>
    <n v="65.040000000000006"/>
    <n v="11707.2"/>
    <n v="0"/>
    <n v="-1170.72"/>
    <n v="1369.742156"/>
    <n v="11906.222156"/>
  </r>
  <r>
    <x v="115"/>
    <x v="9"/>
    <x v="3"/>
    <x v="0"/>
    <s v="KEPL/01842/82-83"/>
    <s v="BHAT BHATENI SUPERMARKET &amp; DEPARTMENTAL STORE PVT. LTD."/>
    <x v="0"/>
    <x v="11"/>
    <n v="0.5"/>
    <n v="90"/>
    <n v="56.99"/>
    <n v="5129.1000000000004"/>
    <n v="0"/>
    <n v="-512.91"/>
    <n v="600.10459300000002"/>
    <n v="5216.2945929999996"/>
  </r>
  <r>
    <x v="115"/>
    <x v="9"/>
    <x v="3"/>
    <x v="0"/>
    <s v="KEPL/01842/82-83"/>
    <s v="BHAT BHATENI SUPERMARKET &amp; DEPARTMENTAL STORE PVT. LTD."/>
    <x v="1"/>
    <x v="4"/>
    <n v="1"/>
    <n v="40"/>
    <n v="238.5"/>
    <n v="9539.9999999999982"/>
    <n v="0"/>
    <n v="-954"/>
    <n v="1116.179801"/>
    <n v="9702.1798010000002"/>
  </r>
  <r>
    <x v="115"/>
    <x v="9"/>
    <x v="3"/>
    <x v="0"/>
    <s v="KEPL/01842/82-83"/>
    <s v="BHAT BHATENI SUPERMARKET &amp; DEPARTMENTAL STORE PVT. LTD."/>
    <x v="0"/>
    <x v="16"/>
    <n v="1"/>
    <n v="120"/>
    <n v="108.41"/>
    <n v="13009.2"/>
    <n v="0"/>
    <n v="-1300.92"/>
    <n v="1522.076129"/>
    <n v="13230.356129"/>
  </r>
  <r>
    <x v="115"/>
    <x v="9"/>
    <x v="3"/>
    <x v="0"/>
    <s v="KEPL/01842/82-83"/>
    <s v="BHAT BHATENI SUPERMARKET &amp; DEPARTMENTAL STORE PVT. LTD."/>
    <x v="2"/>
    <x v="23"/>
    <n v="1"/>
    <n v="180"/>
    <n v="145.58000000000001"/>
    <n v="26204.399999999998"/>
    <n v="0"/>
    <n v="-2620.44"/>
    <n v="3065.9142549999997"/>
    <n v="26649.874254999999"/>
  </r>
  <r>
    <x v="115"/>
    <x v="9"/>
    <x v="3"/>
    <x v="0"/>
    <s v="KEPL/01842/82-83"/>
    <s v="BHAT BHATENI SUPERMARKET &amp; DEPARTMENTAL STORE PVT. LTD."/>
    <x v="1"/>
    <x v="1"/>
    <n v="1"/>
    <n v="100"/>
    <n v="99.12"/>
    <n v="9912"/>
    <n v="0"/>
    <n v="-991.2"/>
    <n v="1159.703794"/>
    <n v="10080.503794"/>
  </r>
  <r>
    <x v="115"/>
    <x v="9"/>
    <x v="3"/>
    <x v="0"/>
    <s v="KEPL/01842/82-83"/>
    <s v="BHAT BHATENI SUPERMARKET &amp; DEPARTMENTAL STORE PVT. LTD."/>
    <x v="0"/>
    <x v="42"/>
    <n v="1"/>
    <n v="120"/>
    <n v="86.73"/>
    <n v="10407.6"/>
    <n v="0"/>
    <n v="-1040.76"/>
    <n v="1217.688983"/>
    <n v="10584.528983"/>
  </r>
  <r>
    <x v="115"/>
    <x v="9"/>
    <x v="3"/>
    <x v="0"/>
    <s v="KEPL/01842/82-83"/>
    <s v="BHAT BHATENI SUPERMARKET &amp; DEPARTMENTAL STORE PVT. LTD."/>
    <x v="0"/>
    <x v="0"/>
    <n v="1"/>
    <n v="180"/>
    <n v="56.99"/>
    <n v="10258.200000000001"/>
    <n v="0"/>
    <n v="-1025.82"/>
    <n v="1200.2091869999999"/>
    <n v="10432.589187"/>
  </r>
  <r>
    <x v="115"/>
    <x v="9"/>
    <x v="3"/>
    <x v="0"/>
    <s v="KEPL/01842/82-83"/>
    <s v="BHAT BHATENI SUPERMARKET &amp; DEPARTMENTAL STORE PVT. LTD."/>
    <x v="0"/>
    <x v="20"/>
    <n v="1"/>
    <n v="120"/>
    <n v="108.41"/>
    <n v="13009.2"/>
    <n v="0"/>
    <n v="-1300.92"/>
    <n v="1522.076129"/>
    <n v="13230.356129"/>
  </r>
  <r>
    <x v="115"/>
    <x v="9"/>
    <x v="3"/>
    <x v="0"/>
    <s v="KEPL/01842/82-83"/>
    <s v="BHAT BHATENI SUPERMARKET &amp; DEPARTMENTAL STORE PVT. LTD."/>
    <x v="0"/>
    <x v="14"/>
    <n v="1"/>
    <n v="180"/>
    <n v="123.89"/>
    <n v="22300.2"/>
    <n v="0"/>
    <n v="-2230.02"/>
    <n v="2609.1229360000002"/>
    <n v="22679.302936"/>
  </r>
  <r>
    <x v="115"/>
    <x v="9"/>
    <x v="3"/>
    <x v="0"/>
    <s v="KEPL/01842/82-83"/>
    <s v="BHAT BHATENI SUPERMARKET &amp; DEPARTMENTAL STORE PVT. LTD."/>
    <x v="5"/>
    <x v="43"/>
    <n v="1"/>
    <n v="60"/>
    <n v="136.28"/>
    <n v="8176.8"/>
    <n v="0"/>
    <n v="-817.68"/>
    <n v="956.68543"/>
    <n v="8315.8054300000003"/>
  </r>
  <r>
    <x v="115"/>
    <x v="9"/>
    <x v="3"/>
    <x v="0"/>
    <s v="KEPL/01843/82-83"/>
    <s v="BHAT BHATENI SUPERMARKET &amp; DEPARTMENTAL STORE PVT. LTD."/>
    <x v="0"/>
    <x v="19"/>
    <n v="1"/>
    <n v="180"/>
    <n v="142.47999999999999"/>
    <n v="25646.399999999998"/>
    <n v="0"/>
    <n v="-2564.6402320000002"/>
    <n v="3000.6285720000001"/>
    <n v="26082.388340000001"/>
  </r>
  <r>
    <x v="115"/>
    <x v="9"/>
    <x v="3"/>
    <x v="0"/>
    <s v="KEPL/01843/82-83"/>
    <s v="BHAT BHATENI SUPERMARKET &amp; DEPARTMENTAL STORE PVT. LTD."/>
    <x v="0"/>
    <x v="48"/>
    <n v="1"/>
    <n v="180"/>
    <n v="74.34"/>
    <n v="13381.199999999999"/>
    <n v="0"/>
    <n v="-1338.1201209999999"/>
    <n v="1565.600281"/>
    <n v="13608.68016"/>
  </r>
  <r>
    <x v="115"/>
    <x v="9"/>
    <x v="3"/>
    <x v="0"/>
    <s v="KEPL/01843/82-83"/>
    <s v="BHAT BHATENI SUPERMARKET &amp; DEPARTMENTAL STORE PVT. LTD."/>
    <x v="0"/>
    <x v="17"/>
    <n v="1"/>
    <n v="180"/>
    <n v="108.41"/>
    <n v="19513.8"/>
    <n v="0"/>
    <n v="-1951.3801770000002"/>
    <n v="2283.114427"/>
    <n v="19845.534250000001"/>
  </r>
  <r>
    <x v="115"/>
    <x v="9"/>
    <x v="3"/>
    <x v="0"/>
    <s v="KEPL/01843/82-83"/>
    <s v="BHAT BHATENI SUPERMARKET &amp; DEPARTMENTAL STORE PVT. LTD."/>
    <x v="3"/>
    <x v="52"/>
    <n v="1"/>
    <n v="72"/>
    <n v="164.16"/>
    <n v="11819.52"/>
    <n v="0"/>
    <n v="-1181.9521069999998"/>
    <n v="1382.8837349999999"/>
    <n v="12020.451628000001"/>
  </r>
  <r>
    <x v="115"/>
    <x v="9"/>
    <x v="3"/>
    <x v="0"/>
    <s v="KEPL/01843/82-83"/>
    <s v="BHAT BHATENI SUPERMARKET &amp; DEPARTMENTAL STORE PVT. LTD."/>
    <x v="0"/>
    <x v="32"/>
    <n v="1"/>
    <n v="120"/>
    <n v="58.85"/>
    <n v="7062.0000000000009"/>
    <n v="0"/>
    <n v="-706.200064"/>
    <n v="826.25393699999995"/>
    <n v="7182.0538729999998"/>
  </r>
  <r>
    <x v="115"/>
    <x v="9"/>
    <x v="3"/>
    <x v="0"/>
    <s v="KEPL/01843/82-83"/>
    <s v="BHAT BHATENI SUPERMARKET &amp; DEPARTMENTAL STORE PVT. LTD."/>
    <x v="0"/>
    <x v="15"/>
    <n v="1"/>
    <n v="180"/>
    <n v="105.31"/>
    <n v="18955.8"/>
    <n v="0"/>
    <n v="-1895.5801719999999"/>
    <n v="2217.8284319999998"/>
    <n v="19278.04826"/>
  </r>
  <r>
    <x v="115"/>
    <x v="9"/>
    <x v="3"/>
    <x v="0"/>
    <s v="KEPL/01843/82-83"/>
    <s v="BHAT BHATENI SUPERMARKET &amp; DEPARTMENTAL STORE PVT. LTD."/>
    <x v="3"/>
    <x v="46"/>
    <n v="1"/>
    <n v="100"/>
    <n v="89.82"/>
    <n v="8982"/>
    <n v="0"/>
    <n v="-898.20008099999995"/>
    <n v="1050.89392"/>
    <n v="9134.6938389999996"/>
  </r>
  <r>
    <x v="115"/>
    <x v="9"/>
    <x v="3"/>
    <x v="0"/>
    <s v="KEPL/01843/82-83"/>
    <s v="BHAT BHATENI SUPERMARKET &amp; DEPARTMENTAL STORE PVT. LTD."/>
    <x v="1"/>
    <x v="3"/>
    <n v="1"/>
    <n v="40"/>
    <n v="360.53"/>
    <n v="14421.199999999999"/>
    <n v="0"/>
    <n v="-1442.1201310000001"/>
    <n v="1687.280272"/>
    <n v="14666.360140999999"/>
  </r>
  <r>
    <x v="115"/>
    <x v="9"/>
    <x v="3"/>
    <x v="0"/>
    <s v="KEPL/01843/82-83"/>
    <s v="BHAT BHATENI SUPERMARKET &amp; DEPARTMENTAL STORE PVT. LTD."/>
    <x v="0"/>
    <x v="35"/>
    <n v="0.5"/>
    <n v="40"/>
    <n v="154.87"/>
    <n v="6194.8"/>
    <n v="0"/>
    <n v="-619.48005599999999"/>
    <n v="724.79154499999993"/>
    <n v="6300.1114889999999"/>
  </r>
  <r>
    <x v="115"/>
    <x v="9"/>
    <x v="3"/>
    <x v="0"/>
    <s v="KEPL/01843/82-83"/>
    <s v="BHAT BHATENI SUPERMARKET &amp; DEPARTMENTAL STORE PVT. LTD."/>
    <x v="0"/>
    <x v="2"/>
    <n v="1"/>
    <n v="180"/>
    <n v="56.99"/>
    <n v="10258.200000000001"/>
    <n v="0"/>
    <n v="-1025.820093"/>
    <n v="1200.2093090000001"/>
    <n v="10432.589216"/>
  </r>
  <r>
    <x v="115"/>
    <x v="9"/>
    <x v="3"/>
    <x v="0"/>
    <s v="KEPL/01843/82-83"/>
    <s v="BHAT BHATENI SUPERMARKET &amp; DEPARTMENTAL STORE PVT. LTD."/>
    <x v="3"/>
    <x v="31"/>
    <n v="1"/>
    <n v="72"/>
    <n v="136.28"/>
    <n v="9812.16"/>
    <n v="0"/>
    <n v="-981.21608900000001"/>
    <n v="1148.022633"/>
    <n v="9978.9665440000008"/>
  </r>
  <r>
    <x v="115"/>
    <x v="9"/>
    <x v="3"/>
    <x v="0"/>
    <s v="KEPL/01843/82-83"/>
    <s v="BHAT BHATENI SUPERMARKET &amp; DEPARTMENTAL STORE PVT. LTD."/>
    <x v="0"/>
    <x v="40"/>
    <n v="0.5"/>
    <n v="60"/>
    <n v="71.239999999999995"/>
    <n v="4274.3999999999996"/>
    <n v="0"/>
    <n v="-427.44003899999996"/>
    <n v="500.10476200000005"/>
    <n v="4347.0647230000004"/>
  </r>
  <r>
    <x v="115"/>
    <x v="9"/>
    <x v="3"/>
    <x v="0"/>
    <s v="KEPL/01843/82-83"/>
    <s v="BHAT BHATENI SUPERMARKET &amp; DEPARTMENTAL STORE PVT. LTD."/>
    <x v="1"/>
    <x v="6"/>
    <n v="1"/>
    <n v="100"/>
    <n v="148.66999999999999"/>
    <n v="14867"/>
    <n v="0"/>
    <n v="-1486.7001349999998"/>
    <n v="1739.438868"/>
    <n v="15119.738733"/>
  </r>
  <r>
    <x v="115"/>
    <x v="9"/>
    <x v="3"/>
    <x v="0"/>
    <s v="KEPL/01843/82-83"/>
    <s v="BHAT BHATENI SUPERMARKET &amp; DEPARTMENTAL STORE PVT. LTD."/>
    <x v="0"/>
    <x v="10"/>
    <n v="1"/>
    <n v="180"/>
    <n v="55.75"/>
    <n v="10035"/>
    <n v="0"/>
    <n v="-1003.500091"/>
    <n v="1174.0949109999999"/>
    <n v="10205.59482"/>
  </r>
  <r>
    <x v="115"/>
    <x v="9"/>
    <x v="3"/>
    <x v="0"/>
    <s v="KEPL/01843/82-83"/>
    <s v="BHAT BHATENI SUPERMARKET &amp; DEPARTMENTAL STORE PVT. LTD."/>
    <x v="2"/>
    <x v="34"/>
    <n v="1"/>
    <n v="80"/>
    <n v="210.62"/>
    <n v="16849.599999999999"/>
    <n v="0"/>
    <n v="-1684.960153"/>
    <n v="1971.4030499999999"/>
    <n v="17136.042896999999"/>
  </r>
  <r>
    <x v="115"/>
    <x v="9"/>
    <x v="3"/>
    <x v="0"/>
    <s v="KEPL/01843/82-83"/>
    <s v="BHAT BHATENI SUPERMARKET &amp; DEPARTMENTAL STORE PVT. LTD."/>
    <x v="0"/>
    <x v="37"/>
    <n v="1"/>
    <n v="180"/>
    <n v="89.82"/>
    <n v="16167.6"/>
    <n v="0"/>
    <n v="-1616.7601460000001"/>
    <n v="1891.6090570000001"/>
    <n v="16442.448910999999"/>
  </r>
  <r>
    <x v="115"/>
    <x v="9"/>
    <x v="3"/>
    <x v="0"/>
    <s v="KEPL/01843/82-83"/>
    <s v="BHAT BHATENI SUPERMARKET &amp; DEPARTMENTAL STORE PVT. LTD."/>
    <x v="0"/>
    <x v="27"/>
    <n v="1"/>
    <n v="120"/>
    <n v="105.31"/>
    <n v="12637.199999999999"/>
    <n v="0"/>
    <n v="-1263.720114"/>
    <n v="1478.5522880000001"/>
    <n v="12852.032174"/>
  </r>
  <r>
    <x v="115"/>
    <x v="9"/>
    <x v="3"/>
    <x v="0"/>
    <s v="KESR/0052/82-83"/>
    <s v="MEGA MART PVT.LTD"/>
    <x v="0"/>
    <x v="14"/>
    <n v="-0.67"/>
    <n v="-120"/>
    <n v="127.43"/>
    <n v="-15291.6"/>
    <n v="0"/>
    <n v="0"/>
    <n v="-1987.91"/>
    <n v="-17279.509999999998"/>
  </r>
  <r>
    <x v="116"/>
    <x v="9"/>
    <x v="3"/>
    <x v="0"/>
    <s v="KESR/0056/82-83"/>
    <s v="BEERA BARJEE INTERNATIONAL PVT.LTD"/>
    <x v="0"/>
    <x v="21"/>
    <n v="-1"/>
    <n v="-80"/>
    <n v="185.92"/>
    <n v="-14873.6"/>
    <n v="1352.01"/>
    <n v="0"/>
    <n v="-1757.8053220000002"/>
    <n v="-15279.395322"/>
  </r>
  <r>
    <x v="116"/>
    <x v="9"/>
    <x v="3"/>
    <x v="0"/>
    <s v="KESR/0056/82-83"/>
    <s v="BEERA BARJEE INTERNATIONAL PVT.LTD"/>
    <x v="3"/>
    <x v="25"/>
    <n v="-1"/>
    <n v="-48"/>
    <n v="297.45999999999998"/>
    <n v="-14278.08"/>
    <n v="1297.8800000000001"/>
    <n v="0"/>
    <n v="-1687.4246780000001"/>
    <n v="-14667.624678"/>
  </r>
  <r>
    <x v="117"/>
    <x v="9"/>
    <x v="3"/>
    <x v="0"/>
    <s v="KEPL/01872/82-83"/>
    <s v="GORIN TRADING "/>
    <x v="0"/>
    <x v="18"/>
    <n v="1"/>
    <n v="120"/>
    <n v="148.72999999999999"/>
    <n v="17847.600000000002"/>
    <n v="-1622.3500000000001"/>
    <n v="0"/>
    <n v="2109.2809470000002"/>
    <n v="18334.530946999999"/>
  </r>
  <r>
    <x v="117"/>
    <x v="9"/>
    <x v="3"/>
    <x v="0"/>
    <s v="KEPL/01872/82-83"/>
    <s v="GORIN TRADING "/>
    <x v="0"/>
    <x v="48"/>
    <n v="1"/>
    <n v="180"/>
    <n v="81.13"/>
    <n v="14603.400000000001"/>
    <n v="-1327.45"/>
    <n v="0"/>
    <n v="1725.8722290000001"/>
    <n v="15001.822228999999"/>
  </r>
  <r>
    <x v="117"/>
    <x v="9"/>
    <x v="3"/>
    <x v="0"/>
    <s v="KEPL/01872/82-83"/>
    <s v="GORIN TRADING "/>
    <x v="0"/>
    <x v="2"/>
    <n v="1"/>
    <n v="180"/>
    <n v="64.23"/>
    <n v="11561.4"/>
    <n v="-1050.9299999999998"/>
    <n v="0"/>
    <n v="1366.3600940000001"/>
    <n v="11876.830094000001"/>
  </r>
  <r>
    <x v="117"/>
    <x v="9"/>
    <x v="3"/>
    <x v="0"/>
    <s v="KEPL/01872/82-83"/>
    <s v="GORIN TRADING "/>
    <x v="0"/>
    <x v="32"/>
    <n v="1"/>
    <n v="120"/>
    <n v="64.23"/>
    <n v="7707.5999999999995"/>
    <n v="-700.62"/>
    <n v="0"/>
    <n v="910.90672900000004"/>
    <n v="7917.8867289999998"/>
  </r>
  <r>
    <x v="117"/>
    <x v="9"/>
    <x v="3"/>
    <x v="0"/>
    <s v="KEPL/01875/82-83"/>
    <s v="MEGA MART PVT.LTD"/>
    <x v="3"/>
    <x v="31"/>
    <n v="1.5"/>
    <n v="108"/>
    <n v="140.18"/>
    <n v="15139.44"/>
    <n v="0"/>
    <n v="0"/>
    <n v="1968.1299999999999"/>
    <n v="17107.57"/>
  </r>
  <r>
    <x v="118"/>
    <x v="9"/>
    <x v="3"/>
    <x v="0"/>
    <s v="KEPL/01901/82-83"/>
    <s v="BHAT BHATENI SUPERMARKET &amp; DEPARTMENTAL STORE PVT. LTD."/>
    <x v="1"/>
    <x v="4"/>
    <n v="4"/>
    <n v="160"/>
    <n v="238.5"/>
    <n v="38159.999999999993"/>
    <n v="0"/>
    <n v="0"/>
    <n v="4960.800193"/>
    <n v="43120.800193000003"/>
  </r>
  <r>
    <x v="118"/>
    <x v="9"/>
    <x v="3"/>
    <x v="0"/>
    <s v="KEPL/01901/82-83"/>
    <s v="BHAT BHATENI SUPERMARKET &amp; DEPARTMENTAL STORE PVT. LTD."/>
    <x v="0"/>
    <x v="14"/>
    <n v="2.5"/>
    <n v="450"/>
    <n v="123.89"/>
    <n v="55750.5"/>
    <n v="0"/>
    <n v="0"/>
    <n v="7247.5652820000005"/>
    <n v="62998.065282000003"/>
  </r>
  <r>
    <x v="118"/>
    <x v="9"/>
    <x v="3"/>
    <x v="0"/>
    <s v="KEPL/01901/82-83"/>
    <s v="BHAT BHATENI SUPERMARKET &amp; DEPARTMENTAL STORE PVT. LTD."/>
    <x v="0"/>
    <x v="16"/>
    <n v="1.58"/>
    <n v="190"/>
    <n v="108.41"/>
    <n v="20597.899999999998"/>
    <n v="0"/>
    <n v="0"/>
    <n v="2677.7271040000001"/>
    <n v="23275.627103999999"/>
  </r>
  <r>
    <x v="118"/>
    <x v="9"/>
    <x v="3"/>
    <x v="0"/>
    <s v="KEPL/01901/82-83"/>
    <s v="BHAT BHATENI SUPERMARKET &amp; DEPARTMENTAL STORE PVT. LTD."/>
    <x v="0"/>
    <x v="9"/>
    <n v="2.5"/>
    <n v="450"/>
    <n v="65.040000000000006"/>
    <n v="29268"/>
    <n v="0"/>
    <n v="0"/>
    <n v="3804.8401479999998"/>
    <n v="33072.840148000003"/>
  </r>
  <r>
    <x v="118"/>
    <x v="9"/>
    <x v="3"/>
    <x v="0"/>
    <s v="KEPL/01901/82-83"/>
    <s v="BHAT BHATENI SUPERMARKET &amp; DEPARTMENTAL STORE PVT. LTD."/>
    <x v="2"/>
    <x v="33"/>
    <n v="0.22"/>
    <n v="40"/>
    <n v="83.63"/>
    <n v="3345.2"/>
    <n v="0"/>
    <n v="0"/>
    <n v="434.87601699999999"/>
    <n v="3780.0760169999999"/>
  </r>
  <r>
    <x v="118"/>
    <x v="9"/>
    <x v="3"/>
    <x v="0"/>
    <s v="KEPL/01901/82-83"/>
    <s v="BHAT BHATENI SUPERMARKET &amp; DEPARTMENTAL STORE PVT. LTD."/>
    <x v="0"/>
    <x v="20"/>
    <n v="3.75"/>
    <n v="450"/>
    <n v="108.41"/>
    <n v="48784.5"/>
    <n v="0"/>
    <n v="0"/>
    <n v="6341.9852470000005"/>
    <n v="55126.485246999997"/>
  </r>
  <r>
    <x v="118"/>
    <x v="9"/>
    <x v="3"/>
    <x v="0"/>
    <s v="KEPL/01901/82-83"/>
    <s v="BHAT BHATENI SUPERMARKET &amp; DEPARTMENTAL STORE PVT. LTD."/>
    <x v="2"/>
    <x v="5"/>
    <n v="1"/>
    <n v="180"/>
    <n v="74.34"/>
    <n v="13381.199999999999"/>
    <n v="0"/>
    <n v="0"/>
    <n v="1739.5560680000001"/>
    <n v="15120.756068000001"/>
  </r>
  <r>
    <x v="118"/>
    <x v="9"/>
    <x v="3"/>
    <x v="0"/>
    <s v="KEPL/01901/82-83"/>
    <s v="BHAT BHATENI SUPERMARKET &amp; DEPARTMENTAL STORE PVT. LTD."/>
    <x v="0"/>
    <x v="15"/>
    <n v="1"/>
    <n v="180"/>
    <n v="105.31"/>
    <n v="18955.8"/>
    <n v="0"/>
    <n v="0"/>
    <n v="2464.2540960000001"/>
    <n v="21420.054096"/>
  </r>
  <r>
    <x v="118"/>
    <x v="9"/>
    <x v="3"/>
    <x v="0"/>
    <s v="KEPL/01901/82-83"/>
    <s v="BHAT BHATENI SUPERMARKET &amp; DEPARTMENTAL STORE PVT. LTD."/>
    <x v="1"/>
    <x v="1"/>
    <n v="2.4"/>
    <n v="240"/>
    <n v="99.12"/>
    <n v="23788.799999999999"/>
    <n v="0"/>
    <n v="0"/>
    <n v="3092.54412"/>
    <n v="26881.344120000002"/>
  </r>
  <r>
    <x v="118"/>
    <x v="9"/>
    <x v="3"/>
    <x v="0"/>
    <s v="KEPL/01901/82-83"/>
    <s v="BHAT BHATENI SUPERMARKET &amp; DEPARTMENTAL STORE PVT. LTD."/>
    <x v="0"/>
    <x v="42"/>
    <n v="0.33"/>
    <n v="40"/>
    <n v="86.73"/>
    <n v="3469.2"/>
    <n v="0"/>
    <n v="0"/>
    <n v="450.99601799999999"/>
    <n v="3920.1960180000001"/>
  </r>
  <r>
    <x v="118"/>
    <x v="9"/>
    <x v="3"/>
    <x v="0"/>
    <s v="KEPL/01901/82-83"/>
    <s v="BHAT BHATENI SUPERMARKET &amp; DEPARTMENTAL STORE PVT. LTD."/>
    <x v="3"/>
    <x v="52"/>
    <n v="0.57999999999999996"/>
    <n v="42"/>
    <n v="164.16"/>
    <n v="6894.72"/>
    <n v="0"/>
    <n v="0"/>
    <n v="896.31363500000009"/>
    <n v="7791.0336349999998"/>
  </r>
  <r>
    <x v="118"/>
    <x v="9"/>
    <x v="3"/>
    <x v="0"/>
    <s v="KEPL/01901/82-83"/>
    <s v="BHAT BHATENI SUPERMARKET &amp; DEPARTMENTAL STORE PVT. LTD."/>
    <x v="3"/>
    <x v="46"/>
    <n v="1"/>
    <n v="100"/>
    <n v="89.82"/>
    <n v="8982"/>
    <n v="0"/>
    <n v="0"/>
    <n v="1167.6600450000001"/>
    <n v="10149.660045000001"/>
  </r>
  <r>
    <x v="118"/>
    <x v="9"/>
    <x v="3"/>
    <x v="0"/>
    <s v="KEPL/01901/82-83"/>
    <s v="BHAT BHATENI SUPERMARKET &amp; DEPARTMENTAL STORE PVT. LTD."/>
    <x v="0"/>
    <x v="17"/>
    <n v="2"/>
    <n v="360"/>
    <n v="108.41"/>
    <n v="39027.599999999999"/>
    <n v="0"/>
    <n v="0"/>
    <n v="5073.5881980000004"/>
    <n v="44101.188198000003"/>
  </r>
  <r>
    <x v="118"/>
    <x v="9"/>
    <x v="3"/>
    <x v="0"/>
    <s v="KEPL/01901/82-83"/>
    <s v="BHAT BHATENI SUPERMARKET &amp; DEPARTMENTAL STORE PVT. LTD."/>
    <x v="1"/>
    <x v="6"/>
    <n v="1.5"/>
    <n v="150"/>
    <n v="148.66999999999999"/>
    <n v="22300.500000000004"/>
    <n v="0"/>
    <n v="0"/>
    <n v="2899.0651130000001"/>
    <n v="25199.565113000001"/>
  </r>
  <r>
    <x v="118"/>
    <x v="9"/>
    <x v="3"/>
    <x v="0"/>
    <s v="KEPL/01901/82-83"/>
    <s v="BHAT BHATENI SUPERMARKET &amp; DEPARTMENTAL STORE PVT. LTD."/>
    <x v="2"/>
    <x v="23"/>
    <n v="2"/>
    <n v="360"/>
    <n v="145.58000000000001"/>
    <n v="52408.799999999996"/>
    <n v="0"/>
    <n v="0"/>
    <n v="6813.1442650000008"/>
    <n v="59221.944264999998"/>
  </r>
  <r>
    <x v="118"/>
    <x v="9"/>
    <x v="3"/>
    <x v="0"/>
    <s v="KEPL/01901/82-83"/>
    <s v="BHAT BHATENI SUPERMARKET &amp; DEPARTMENTAL STORE PVT. LTD."/>
    <x v="0"/>
    <x v="19"/>
    <n v="1.22"/>
    <n v="220"/>
    <n v="142.47999999999999"/>
    <n v="31345.600000000002"/>
    <n v="0"/>
    <n v="0"/>
    <n v="4074.9281590000001"/>
    <n v="35420.528159000001"/>
  </r>
  <r>
    <x v="118"/>
    <x v="9"/>
    <x v="3"/>
    <x v="0"/>
    <s v="KEPL/01901/82-83"/>
    <s v="BHAT BHATENI SUPERMARKET &amp; DEPARTMENTAL STORE PVT. LTD."/>
    <x v="1"/>
    <x v="3"/>
    <n v="1"/>
    <n v="40"/>
    <n v="360.53"/>
    <n v="14421.199999999999"/>
    <n v="0"/>
    <n v="0"/>
    <n v="1874.756073"/>
    <n v="16295.956072999999"/>
  </r>
  <r>
    <x v="118"/>
    <x v="9"/>
    <x v="3"/>
    <x v="0"/>
    <s v="KEPL/01901/82-83"/>
    <s v="BHAT BHATENI SUPERMARKET &amp; DEPARTMENTAL STORE PVT. LTD."/>
    <x v="0"/>
    <x v="10"/>
    <n v="2"/>
    <n v="360"/>
    <n v="55.75"/>
    <n v="20070"/>
    <n v="0"/>
    <n v="0"/>
    <n v="2609.1001019999999"/>
    <n v="22679.100102"/>
  </r>
  <r>
    <x v="118"/>
    <x v="9"/>
    <x v="3"/>
    <x v="0"/>
    <s v="KEPL/01901/82-83"/>
    <s v="BHAT BHATENI SUPERMARKET &amp; DEPARTMENTAL STORE PVT. LTD."/>
    <x v="3"/>
    <x v="47"/>
    <n v="0.4"/>
    <n v="40"/>
    <n v="65.040000000000006"/>
    <n v="2601.6"/>
    <n v="0"/>
    <n v="0"/>
    <n v="338.20801299999999"/>
    <n v="2939.8080129999998"/>
  </r>
  <r>
    <x v="118"/>
    <x v="9"/>
    <x v="3"/>
    <x v="0"/>
    <s v="KEPL/01901/82-83"/>
    <s v="BHAT BHATENI SUPERMARKET &amp; DEPARTMENTAL STORE PVT. LTD."/>
    <x v="0"/>
    <x v="0"/>
    <n v="2"/>
    <n v="360"/>
    <n v="56.99"/>
    <n v="20516.400000000001"/>
    <n v="0"/>
    <n v="0"/>
    <n v="2667.1321040000003"/>
    <n v="23183.532104000002"/>
  </r>
  <r>
    <x v="118"/>
    <x v="9"/>
    <x v="3"/>
    <x v="0"/>
    <s v="KEPL/01902/82-83"/>
    <s v="BHAT BHATENI SUPERMARKET &amp; DEPARTMENTAL STORE PVT. LTD."/>
    <x v="1"/>
    <x v="12"/>
    <n v="4"/>
    <n v="160"/>
    <n v="308"/>
    <n v="49280"/>
    <s v=""/>
    <s v=""/>
    <s v=""/>
    <n v="49280"/>
  </r>
  <r>
    <x v="118"/>
    <x v="9"/>
    <x v="3"/>
    <x v="0"/>
    <s v="KEPL/01902/82-83"/>
    <s v="BHAT BHATENI SUPERMARKET &amp; DEPARTMENTAL STORE PVT. LTD."/>
    <x v="1"/>
    <x v="13"/>
    <n v="2.5"/>
    <n v="250"/>
    <n v="126"/>
    <n v="31500"/>
    <s v=""/>
    <s v=""/>
    <s v=""/>
    <n v="31500"/>
  </r>
  <r>
    <x v="118"/>
    <x v="9"/>
    <x v="3"/>
    <x v="0"/>
    <s v="KEPL/01903/82-83"/>
    <s v="BEERA BARJEE INTERNATIONAL PVT.LTD"/>
    <x v="3"/>
    <x v="25"/>
    <n v="1"/>
    <n v="48"/>
    <n v="297.45999999999998"/>
    <n v="14278.08"/>
    <n v="-1297.8800000000001"/>
    <n v="0"/>
    <n v="1687.4262779999999"/>
    <n v="14667.626278"/>
  </r>
  <r>
    <x v="118"/>
    <x v="9"/>
    <x v="3"/>
    <x v="0"/>
    <s v="KEPL/01903/82-83"/>
    <s v="BEERA BARJEE INTERNATIONAL PVT.LTD"/>
    <x v="0"/>
    <x v="16"/>
    <n v="1"/>
    <n v="120"/>
    <n v="121.69"/>
    <n v="14602.800000000001"/>
    <n v="-1327.39"/>
    <n v="0"/>
    <n v="1725.803584"/>
    <n v="15001.213583999999"/>
  </r>
  <r>
    <x v="118"/>
    <x v="9"/>
    <x v="3"/>
    <x v="0"/>
    <s v="KEPL/01903/82-83"/>
    <s v="BEERA BARJEE INTERNATIONAL PVT.LTD"/>
    <x v="0"/>
    <x v="0"/>
    <n v="1"/>
    <n v="180"/>
    <n v="64.23"/>
    <n v="11561.4"/>
    <n v="-1050.9299999999998"/>
    <n v="0"/>
    <n v="1366.3613250000001"/>
    <n v="11876.831324999999"/>
  </r>
  <r>
    <x v="118"/>
    <x v="9"/>
    <x v="3"/>
    <x v="0"/>
    <s v="KEPL/01903/82-83"/>
    <s v="BEERA BARJEE INTERNATIONAL PVT.LTD"/>
    <x v="2"/>
    <x v="23"/>
    <n v="1"/>
    <n v="180"/>
    <n v="182.53"/>
    <n v="32855.4"/>
    <n v="-2986.56"/>
    <n v="0"/>
    <n v="3882.9498400000002"/>
    <n v="33751.789839999998"/>
  </r>
  <r>
    <x v="118"/>
    <x v="9"/>
    <x v="3"/>
    <x v="0"/>
    <s v="KEPL/01903/82-83"/>
    <s v="BEERA BARJEE INTERNATIONAL PVT.LTD"/>
    <x v="3"/>
    <x v="26"/>
    <n v="0.5"/>
    <n v="36"/>
    <n v="131.83000000000001"/>
    <n v="4745.88"/>
    <n v="-431.4"/>
    <n v="0"/>
    <n v="560.88249200000007"/>
    <n v="4875.3624920000002"/>
  </r>
  <r>
    <x v="118"/>
    <x v="9"/>
    <x v="3"/>
    <x v="0"/>
    <s v="KEPL/01903/82-83"/>
    <s v="BEERA BARJEE INTERNATIONAL PVT.LTD"/>
    <x v="1"/>
    <x v="4"/>
    <n v="1"/>
    <n v="40"/>
    <n v="260.27999999999997"/>
    <n v="10411.200000000001"/>
    <n v="-946.38"/>
    <n v="0"/>
    <n v="1230.4268030000001"/>
    <n v="10695.246803"/>
  </r>
  <r>
    <x v="118"/>
    <x v="9"/>
    <x v="3"/>
    <x v="0"/>
    <s v="KEPL/01903/82-83"/>
    <s v="BEERA BARJEE INTERNATIONAL PVT.LTD"/>
    <x v="0"/>
    <x v="10"/>
    <n v="1"/>
    <n v="180"/>
    <n v="60.84"/>
    <n v="10951.199999999999"/>
    <n v="-995.46"/>
    <n v="0"/>
    <n v="1294.2464129999998"/>
    <n v="11249.986413000001"/>
  </r>
  <r>
    <x v="118"/>
    <x v="9"/>
    <x v="3"/>
    <x v="0"/>
    <s v="KEPL/01903/82-83"/>
    <s v="BEERA BARJEE INTERNATIONAL PVT.LTD"/>
    <x v="0"/>
    <x v="32"/>
    <n v="1"/>
    <n v="120"/>
    <n v="64.23"/>
    <n v="7707.5999999999995"/>
    <n v="-700.62"/>
    <n v="0"/>
    <n v="910.90755000000001"/>
    <n v="7917.8875500000004"/>
  </r>
  <r>
    <x v="118"/>
    <x v="9"/>
    <x v="3"/>
    <x v="0"/>
    <s v="KEPL/01903/82-83"/>
    <s v="BEERA BARJEE INTERNATIONAL PVT.LTD"/>
    <x v="1"/>
    <x v="3"/>
    <n v="1"/>
    <n v="40"/>
    <n v="393.46"/>
    <n v="15738.4"/>
    <n v="-1430.6200000000001"/>
    <n v="0"/>
    <n v="1860.0117070000001"/>
    <n v="16167.791707"/>
  </r>
  <r>
    <x v="118"/>
    <x v="9"/>
    <x v="3"/>
    <x v="0"/>
    <s v="KEPL/01903/82-83"/>
    <s v="BEERA BARJEE INTERNATIONAL PVT.LTD"/>
    <x v="2"/>
    <x v="5"/>
    <n v="1"/>
    <n v="180"/>
    <n v="94.65"/>
    <n v="17037"/>
    <n v="-1548.6599999999999"/>
    <n v="0"/>
    <n v="2013.4845319999999"/>
    <n v="17501.824531999999"/>
  </r>
  <r>
    <x v="118"/>
    <x v="9"/>
    <x v="3"/>
    <x v="0"/>
    <s v="KEPL/01903/82-83"/>
    <s v="BEERA BARJEE INTERNATIONAL PVT.LTD"/>
    <x v="0"/>
    <x v="2"/>
    <n v="1"/>
    <n v="180"/>
    <n v="64.23"/>
    <n v="11561.4"/>
    <n v="-1050.9299999999998"/>
    <n v="0"/>
    <n v="1366.3613250000001"/>
    <n v="11876.831324999999"/>
  </r>
  <r>
    <x v="118"/>
    <x v="9"/>
    <x v="3"/>
    <x v="0"/>
    <s v="KEPL/01903/82-83"/>
    <s v="BEERA BARJEE INTERNATIONAL PVT.LTD"/>
    <x v="1"/>
    <x v="1"/>
    <n v="1"/>
    <n v="100"/>
    <n v="108.17"/>
    <n v="10817"/>
    <n v="-983.2700000000001"/>
    <n v="0"/>
    <n v="1278.3851110000001"/>
    <n v="11112.115110999999"/>
  </r>
  <r>
    <x v="118"/>
    <x v="9"/>
    <x v="3"/>
    <x v="0"/>
    <s v="KEPL/01903/82-83"/>
    <s v="BEERA BARJEE INTERNATIONAL PVT.LTD"/>
    <x v="0"/>
    <x v="9"/>
    <n v="1"/>
    <n v="180"/>
    <n v="70.989999999999995"/>
    <n v="12778.2"/>
    <n v="-1161.54"/>
    <n v="0"/>
    <n v="1510.1660490000002"/>
    <n v="13126.826048999999"/>
  </r>
  <r>
    <x v="118"/>
    <x v="9"/>
    <x v="3"/>
    <x v="0"/>
    <s v="KEPL/01903/82-83"/>
    <s v="BEERA BARJEE INTERNATIONAL PVT.LTD"/>
    <x v="0"/>
    <x v="21"/>
    <n v="1"/>
    <n v="80"/>
    <n v="185.92"/>
    <n v="14873.6"/>
    <n v="-1352.01"/>
    <n v="0"/>
    <n v="1757.80699"/>
    <n v="15279.396989999999"/>
  </r>
  <r>
    <x v="119"/>
    <x v="9"/>
    <x v="3"/>
    <x v="0"/>
    <s v="KEPL/01907/82-83"/>
    <s v="DS SPICECO L &amp; D"/>
    <x v="1"/>
    <x v="1"/>
    <n v="0.02"/>
    <n v="2"/>
    <n v="108.17"/>
    <n v="216.34"/>
    <n v="-19.670000000000002"/>
    <n v="0"/>
    <n v="25.566976"/>
    <n v="222.236976"/>
  </r>
  <r>
    <x v="119"/>
    <x v="9"/>
    <x v="3"/>
    <x v="0"/>
    <s v="KEPL/01907/82-83"/>
    <s v="DS SPICECO L &amp; D"/>
    <x v="4"/>
    <x v="30"/>
    <n v="0.03"/>
    <n v="2"/>
    <n v="98.03"/>
    <n v="196.06"/>
    <n v="-17.82"/>
    <n v="0"/>
    <n v="23.171088000000001"/>
    <n v="201.41108800000001"/>
  </r>
  <r>
    <x v="119"/>
    <x v="9"/>
    <x v="3"/>
    <x v="0"/>
    <s v="KEPL/01907/82-83"/>
    <s v="DS SPICECO L &amp; D"/>
    <x v="0"/>
    <x v="14"/>
    <n v="0.01"/>
    <n v="1"/>
    <n v="135.21"/>
    <n v="135.21"/>
    <n v="-12.29"/>
    <n v="0"/>
    <n v="15.979521999999999"/>
    <n v="138.89952199999999"/>
  </r>
  <r>
    <x v="119"/>
    <x v="9"/>
    <x v="3"/>
    <x v="0"/>
    <s v="KEPL/01907/82-83"/>
    <s v="DS SPICECO L &amp; D"/>
    <x v="1"/>
    <x v="6"/>
    <n v="0.02"/>
    <n v="2"/>
    <n v="162.26"/>
    <n v="324.52"/>
    <n v="-29.5"/>
    <n v="0"/>
    <n v="38.352414000000003"/>
    <n v="333.37241399999999"/>
  </r>
  <r>
    <x v="119"/>
    <x v="9"/>
    <x v="3"/>
    <x v="0"/>
    <s v="KEPL/01910/82-83"/>
    <s v="DINESH TRADING HOUSE"/>
    <x v="0"/>
    <x v="18"/>
    <n v="0.5"/>
    <n v="60"/>
    <n v="148.72999999999999"/>
    <n v="8923.8000000000011"/>
    <n v="-811.17"/>
    <n v="0"/>
    <n v="1054.641768"/>
    <n v="9167.2717680000005"/>
  </r>
  <r>
    <x v="119"/>
    <x v="9"/>
    <x v="3"/>
    <x v="0"/>
    <s v="KEPL/01910/82-83"/>
    <s v="DINESH TRADING HOUSE"/>
    <x v="0"/>
    <x v="42"/>
    <n v="0.5"/>
    <n v="60"/>
    <n v="94.66"/>
    <n v="5679.6"/>
    <n v="-516.28"/>
    <n v="0"/>
    <n v="671.23151600000006"/>
    <n v="5834.5515160000004"/>
  </r>
  <r>
    <x v="119"/>
    <x v="9"/>
    <x v="3"/>
    <x v="0"/>
    <s v="KEPL/01910/82-83"/>
    <s v="DINESH TRADING HOUSE"/>
    <x v="0"/>
    <x v="40"/>
    <n v="0.25"/>
    <n v="30"/>
    <n v="77.75"/>
    <n v="2332.5"/>
    <n v="-212.02"/>
    <n v="0"/>
    <n v="275.66236500000002"/>
    <n v="2396.1423650000002"/>
  </r>
  <r>
    <x v="119"/>
    <x v="9"/>
    <x v="3"/>
    <x v="0"/>
    <s v="KEPL/01910/82-83"/>
    <s v="DINESH TRADING HOUSE"/>
    <x v="2"/>
    <x v="33"/>
    <n v="0.17"/>
    <n v="30"/>
    <n v="91.27"/>
    <n v="2738.1"/>
    <n v="-248.89"/>
    <n v="0"/>
    <n v="323.59725900000001"/>
    <n v="2812.8072590000002"/>
  </r>
  <r>
    <x v="119"/>
    <x v="9"/>
    <x v="3"/>
    <x v="0"/>
    <s v="KEPL/01910/82-83"/>
    <s v="DINESH TRADING HOUSE"/>
    <x v="0"/>
    <x v="14"/>
    <n v="0.22"/>
    <n v="40"/>
    <n v="135.21"/>
    <n v="5408.4"/>
    <n v="-491.62"/>
    <n v="0"/>
    <n v="639.18131999999991"/>
    <n v="5555.9613200000003"/>
  </r>
  <r>
    <x v="119"/>
    <x v="9"/>
    <x v="3"/>
    <x v="0"/>
    <s v="KEPL/01910/82-83"/>
    <s v="DINESH TRADING HOUSE"/>
    <x v="0"/>
    <x v="2"/>
    <n v="1"/>
    <n v="180"/>
    <n v="64.23"/>
    <n v="11561.4"/>
    <n v="-1050.9299999999998"/>
    <n v="0"/>
    <n v="1366.3609290000002"/>
    <n v="11876.830929"/>
  </r>
  <r>
    <x v="119"/>
    <x v="9"/>
    <x v="3"/>
    <x v="0"/>
    <s v="KEPL/01910/82-83"/>
    <s v="DINESH TRADING HOUSE"/>
    <x v="0"/>
    <x v="37"/>
    <n v="0.5"/>
    <n v="90"/>
    <n v="98.03"/>
    <n v="8822.7000000000007"/>
    <n v="-801.98"/>
    <n v="0"/>
    <n v="1042.6934690000001"/>
    <n v="9063.4134689999992"/>
  </r>
  <r>
    <x v="119"/>
    <x v="9"/>
    <x v="3"/>
    <x v="0"/>
    <s v="KEPL/01910/82-83"/>
    <s v="DINESH TRADING HOUSE"/>
    <x v="0"/>
    <x v="0"/>
    <n v="0.5"/>
    <n v="90"/>
    <n v="64.23"/>
    <n v="5780.7"/>
    <n v="-525.47"/>
    <n v="0"/>
    <n v="683.17981399999996"/>
    <n v="5938.4098139999996"/>
  </r>
  <r>
    <x v="119"/>
    <x v="9"/>
    <x v="3"/>
    <x v="0"/>
    <s v="KEPL/01910/82-83"/>
    <s v="DINESH TRADING HOUSE"/>
    <x v="0"/>
    <x v="48"/>
    <n v="0.22"/>
    <n v="40"/>
    <n v="81.13"/>
    <n v="3245.2"/>
    <n v="-294.99"/>
    <n v="0"/>
    <n v="383.52725199999998"/>
    <n v="3333.7372519999999"/>
  </r>
  <r>
    <x v="119"/>
    <x v="9"/>
    <x v="3"/>
    <x v="0"/>
    <s v="KEPL/01910/82-83"/>
    <s v="DINESH TRADING HOUSE"/>
    <x v="0"/>
    <x v="32"/>
    <n v="0.5"/>
    <n v="60"/>
    <n v="64.23"/>
    <n v="3853.7999999999997"/>
    <n v="-350.31"/>
    <n v="0"/>
    <n v="455.453643"/>
    <n v="3958.9436430000001"/>
  </r>
  <r>
    <x v="119"/>
    <x v="9"/>
    <x v="3"/>
    <x v="0"/>
    <s v="KEPL/01910/82-83"/>
    <s v="DINESH TRADING HOUSE"/>
    <x v="0"/>
    <x v="10"/>
    <n v="0.22"/>
    <n v="40"/>
    <n v="60.84"/>
    <n v="2433.6"/>
    <n v="-221.21"/>
    <n v="0"/>
    <n v="287.61066399999999"/>
    <n v="2500.0006640000001"/>
  </r>
  <r>
    <x v="120"/>
    <x v="9"/>
    <x v="3"/>
    <x v="0"/>
    <s v="KEPL/01922/82-83"/>
    <s v="EMERALD TRADE LINK"/>
    <x v="0"/>
    <x v="32"/>
    <n v="1"/>
    <n v="120"/>
    <n v="64.23"/>
    <n v="7707.5999999999995"/>
    <n v="-700.62"/>
    <n v="0"/>
    <n v="910.91000000000008"/>
    <n v="7917.89"/>
  </r>
  <r>
    <x v="120"/>
    <x v="9"/>
    <x v="3"/>
    <x v="0"/>
    <s v="KEPL/01929/82-83"/>
    <s v="SAFAL MART PVT.LTD"/>
    <x v="2"/>
    <x v="23"/>
    <n v="10"/>
    <n v="1800"/>
    <n v="182.53"/>
    <n v="328554"/>
    <n v="-29865.56"/>
    <n v="0"/>
    <n v="38829.497553999994"/>
    <n v="337517.937554"/>
  </r>
  <r>
    <x v="120"/>
    <x v="9"/>
    <x v="3"/>
    <x v="0"/>
    <s v="KEPL/01929/82-83"/>
    <s v="SAFAL MART PVT.LTD"/>
    <x v="0"/>
    <x v="19"/>
    <n v="1"/>
    <n v="180"/>
    <n v="155.49"/>
    <n v="27988.2"/>
    <n v="-2544.13"/>
    <n v="0"/>
    <n v="3307.7291300000002"/>
    <n v="28751.799129999999"/>
  </r>
  <r>
    <x v="120"/>
    <x v="9"/>
    <x v="3"/>
    <x v="0"/>
    <s v="KEPL/01929/82-83"/>
    <s v="SAFAL MART PVT.LTD"/>
    <x v="0"/>
    <x v="16"/>
    <n v="1"/>
    <n v="120"/>
    <n v="121.69"/>
    <n v="14602.800000000001"/>
    <n v="-1327.39"/>
    <n v="0"/>
    <n v="1725.803316"/>
    <n v="15001.213315999999"/>
  </r>
  <r>
    <x v="120"/>
    <x v="9"/>
    <x v="3"/>
    <x v="0"/>
    <s v="KEPL/01951/82-83"/>
    <s v="SHIVA SHAKTI CONCERN"/>
    <x v="0"/>
    <x v="18"/>
    <n v="1"/>
    <n v="120"/>
    <n v="148.72999999999999"/>
    <n v="17847.600000000002"/>
    <n v="-1622.3500000000001"/>
    <n v="0"/>
    <n v="2109.2823309999999"/>
    <n v="18334.532330999999"/>
  </r>
  <r>
    <x v="120"/>
    <x v="9"/>
    <x v="3"/>
    <x v="0"/>
    <s v="KEPL/01951/82-83"/>
    <s v="SHIVA SHAKTI CONCERN"/>
    <x v="0"/>
    <x v="0"/>
    <n v="1"/>
    <n v="180"/>
    <n v="62.21"/>
    <n v="11197.8"/>
    <n v="-1017.88"/>
    <n v="0"/>
    <n v="1323.389494"/>
    <n v="11503.309493999999"/>
  </r>
  <r>
    <x v="120"/>
    <x v="9"/>
    <x v="3"/>
    <x v="0"/>
    <s v="KEPL/01951/82-83"/>
    <s v="SHIVA SHAKTI CONCERN"/>
    <x v="0"/>
    <x v="20"/>
    <n v="0.5"/>
    <n v="60"/>
    <n v="118.3"/>
    <n v="7097.9999999999991"/>
    <n v="-645.20999999999992"/>
    <n v="0"/>
    <n v="838.86263300000007"/>
    <n v="7291.6526329999997"/>
  </r>
  <r>
    <x v="120"/>
    <x v="9"/>
    <x v="3"/>
    <x v="0"/>
    <s v="KEPL/01951/82-83"/>
    <s v="SHIVA SHAKTI CONCERN"/>
    <x v="2"/>
    <x v="23"/>
    <n v="0.5"/>
    <n v="90"/>
    <n v="158.87"/>
    <n v="14298.3"/>
    <n v="-1299.72"/>
    <n v="0"/>
    <n v="1689.815265"/>
    <n v="14688.395264999999"/>
  </r>
  <r>
    <x v="120"/>
    <x v="9"/>
    <x v="3"/>
    <x v="0"/>
    <s v="KEPL/01951/82-83"/>
    <s v="SHIVA SHAKTI CONCERN"/>
    <x v="0"/>
    <x v="9"/>
    <n v="1"/>
    <n v="180"/>
    <n v="70.989999999999995"/>
    <n v="12778.2"/>
    <n v="-1161.54"/>
    <n v="0"/>
    <n v="1510.165679"/>
    <n v="13126.825679"/>
  </r>
  <r>
    <x v="120"/>
    <x v="9"/>
    <x v="3"/>
    <x v="0"/>
    <s v="KEPL/01951/82-83"/>
    <s v="SHIVA SHAKTI CONCERN"/>
    <x v="0"/>
    <x v="17"/>
    <n v="0.5"/>
    <n v="90"/>
    <n v="118.3"/>
    <n v="10647"/>
    <n v="-967.81"/>
    <n v="0"/>
    <n v="1258.2945990000001"/>
    <n v="10937.484598999999"/>
  </r>
  <r>
    <x v="120"/>
    <x v="9"/>
    <x v="3"/>
    <x v="0"/>
    <s v="KEPL/01952/82-83"/>
    <s v="SHIVA SHAKTI CONCERN"/>
    <x v="1"/>
    <x v="13"/>
    <n v="1"/>
    <n v="100"/>
    <n v="137.5"/>
    <n v="13750"/>
    <n v="-1249.8800000000001"/>
    <n v="0"/>
    <n v="0"/>
    <n v="12500.12"/>
  </r>
  <r>
    <x v="120"/>
    <x v="9"/>
    <x v="3"/>
    <x v="0"/>
    <s v="KEPL/01952/82-83"/>
    <s v="SHIVA SHAKTI CONCERN"/>
    <x v="1"/>
    <x v="12"/>
    <n v="1"/>
    <n v="40"/>
    <n v="336.13"/>
    <n v="13445.199999999999"/>
    <n v="-1222.1699999999998"/>
    <n v="0"/>
    <n v="0"/>
    <n v="12223.03"/>
  </r>
  <r>
    <x v="121"/>
    <x v="10"/>
    <x v="3"/>
    <x v="0"/>
    <s v="KEPL/01984/82-83"/>
    <s v="VHANDAR MERCHANDISE PVT LTD"/>
    <x v="0"/>
    <x v="18"/>
    <n v="0.5"/>
    <n v="60"/>
    <n v="148.72999999999999"/>
    <n v="8923.8000000000011"/>
    <n v="-811.17"/>
    <n v="0"/>
    <n v="1054.6420390000001"/>
    <n v="9167.2720389999995"/>
  </r>
  <r>
    <x v="121"/>
    <x v="10"/>
    <x v="3"/>
    <x v="0"/>
    <s v="KEPL/01984/82-83"/>
    <s v="VHANDAR MERCHANDISE PVT LTD"/>
    <x v="0"/>
    <x v="19"/>
    <n v="0.5"/>
    <n v="90"/>
    <n v="155.49"/>
    <n v="13994.1"/>
    <n v="-1272.0600000000002"/>
    <n v="0"/>
    <n v="1653.865417"/>
    <n v="14375.905417"/>
  </r>
  <r>
    <x v="121"/>
    <x v="10"/>
    <x v="3"/>
    <x v="0"/>
    <s v="KEPL/01984/82-83"/>
    <s v="VHANDAR MERCHANDISE PVT LTD"/>
    <x v="2"/>
    <x v="23"/>
    <n v="1"/>
    <n v="180"/>
    <n v="158.87"/>
    <n v="28596.6"/>
    <n v="-2599.4300000000003"/>
    <n v="0"/>
    <n v="3379.6325440000001"/>
    <n v="29376.802543999998"/>
  </r>
  <r>
    <x v="121"/>
    <x v="10"/>
    <x v="3"/>
    <x v="0"/>
    <s v="KESR/0061/82-83"/>
    <s v="SIMPEX SOLUTION PVT. LTD"/>
    <x v="3"/>
    <x v="26"/>
    <n v="-0.15"/>
    <n v="-11"/>
    <n v="138.05000000000001"/>
    <n v="-1518.55"/>
    <n v="0"/>
    <n v="0"/>
    <n v="-197.41"/>
    <n v="-1715.96"/>
  </r>
  <r>
    <x v="122"/>
    <x v="10"/>
    <x v="3"/>
    <x v="0"/>
    <s v="KEPL/01985/82-83"/>
    <s v="EMERALD TRADE LINK"/>
    <x v="0"/>
    <x v="2"/>
    <n v="1"/>
    <n v="180"/>
    <n v="64.23"/>
    <n v="11561.4"/>
    <n v="-1050.9299999999998"/>
    <n v="0"/>
    <n v="1366.362214"/>
    <n v="11876.832214"/>
  </r>
  <r>
    <x v="122"/>
    <x v="10"/>
    <x v="3"/>
    <x v="0"/>
    <s v="KEPL/01985/82-83"/>
    <s v="EMERALD TRADE LINK"/>
    <x v="0"/>
    <x v="0"/>
    <n v="1"/>
    <n v="180"/>
    <n v="64.23"/>
    <n v="11561.4"/>
    <n v="-1050.9299999999998"/>
    <n v="0"/>
    <n v="1366.362214"/>
    <n v="11876.832214"/>
  </r>
  <r>
    <x v="122"/>
    <x v="10"/>
    <x v="3"/>
    <x v="0"/>
    <s v="KEPL/01985/82-83"/>
    <s v="EMERALD TRADE LINK"/>
    <x v="2"/>
    <x v="34"/>
    <n v="1"/>
    <n v="80"/>
    <n v="229.86"/>
    <n v="18388.8"/>
    <n v="-1671.54"/>
    <n v="0"/>
    <n v="2173.2455719999998"/>
    <n v="18890.505571999998"/>
  </r>
  <r>
    <x v="122"/>
    <x v="10"/>
    <x v="3"/>
    <x v="0"/>
    <s v="KESR/0063/82-83"/>
    <s v="SUBHARAMBHA TRADING"/>
    <x v="0"/>
    <x v="2"/>
    <n v="-0.92"/>
    <n v="-165"/>
    <n v="64.23"/>
    <n v="-10597.16"/>
    <n v="963.28"/>
    <n v="0"/>
    <n v="-1252.404135"/>
    <n v="-10886.284135"/>
  </r>
  <r>
    <x v="122"/>
    <x v="10"/>
    <x v="3"/>
    <x v="0"/>
    <s v="KESR/0063/82-83"/>
    <s v="SUBHARAMBHA TRADING"/>
    <x v="2"/>
    <x v="5"/>
    <n v="-0.82"/>
    <n v="-148"/>
    <n v="94.65"/>
    <n v="-14007.85"/>
    <n v="1273.3100000000002"/>
    <n v="0"/>
    <n v="-1655.4898499999999"/>
    <n v="-14390.029850000001"/>
  </r>
  <r>
    <x v="122"/>
    <x v="10"/>
    <x v="3"/>
    <x v="0"/>
    <s v="KESR/0063/82-83"/>
    <s v="SUBHARAMBHA TRADING"/>
    <x v="0"/>
    <x v="11"/>
    <n v="-0.92"/>
    <n v="-166"/>
    <n v="64.23"/>
    <n v="-10661.380000000001"/>
    <n v="969.12"/>
    <n v="0"/>
    <n v="-1259.9935329999998"/>
    <n v="-10952.253532999999"/>
  </r>
  <r>
    <x v="122"/>
    <x v="10"/>
    <x v="3"/>
    <x v="0"/>
    <s v="KESR/0063/82-83"/>
    <s v="SUBHARAMBHA TRADING"/>
    <x v="0"/>
    <x v="0"/>
    <n v="-0.88"/>
    <n v="-159"/>
    <n v="64.23"/>
    <n v="-10211.800000000001"/>
    <n v="928.24999999999989"/>
    <n v="0"/>
    <n v="-1206.8612450000001"/>
    <n v="-10490.411244999999"/>
  </r>
  <r>
    <x v="122"/>
    <x v="10"/>
    <x v="3"/>
    <x v="0"/>
    <s v="KESR/0063/82-83"/>
    <s v="SUBHARAMBHA TRADING"/>
    <x v="0"/>
    <x v="32"/>
    <n v="-0.98"/>
    <n v="-118"/>
    <n v="64.23"/>
    <n v="-7578.57"/>
    <n v="688.89"/>
    <n v="0"/>
    <n v="-895.65821100000005"/>
    <n v="-7785.3382110000002"/>
  </r>
  <r>
    <x v="122"/>
    <x v="10"/>
    <x v="3"/>
    <x v="0"/>
    <s v="KESR/0063/82-83"/>
    <s v="SUBHARAMBHA TRADING"/>
    <x v="0"/>
    <x v="9"/>
    <n v="-0.92"/>
    <n v="-166"/>
    <n v="70.989999999999995"/>
    <n v="-11783.630000000001"/>
    <n v="1071.1299999999999"/>
    <n v="0"/>
    <n v="-1392.6247049999999"/>
    <n v="-12105.124705"/>
  </r>
  <r>
    <x v="122"/>
    <x v="10"/>
    <x v="3"/>
    <x v="0"/>
    <s v="KESR/0063/82-83"/>
    <s v="SUBHARAMBHA TRADING"/>
    <x v="0"/>
    <x v="42"/>
    <n v="-0.98"/>
    <n v="-118"/>
    <n v="94.65"/>
    <n v="-11168.429999999998"/>
    <n v="1015.2099999999999"/>
    <n v="0"/>
    <n v="-1319.9183210000001"/>
    <n v="-11473.138321"/>
  </r>
  <r>
    <x v="122"/>
    <x v="10"/>
    <x v="3"/>
    <x v="0"/>
    <s v="KESR/0064/82-83"/>
    <s v="GORIN TRADING "/>
    <x v="2"/>
    <x v="7"/>
    <n v="-7.0000000000000007E-2"/>
    <n v="-8"/>
    <n v="152.11000000000001"/>
    <n v="-1216.8800000000001"/>
    <n v="110.61"/>
    <n v="0"/>
    <n v="-143.81499299999999"/>
    <n v="-1250.0849929999999"/>
  </r>
  <r>
    <x v="122"/>
    <x v="10"/>
    <x v="3"/>
    <x v="0"/>
    <s v="KESR/0064/82-83"/>
    <s v="GORIN TRADING "/>
    <x v="0"/>
    <x v="11"/>
    <n v="-0.68"/>
    <n v="-122"/>
    <n v="64.23"/>
    <n v="-7836.0599999999995"/>
    <n v="712.3"/>
    <n v="0"/>
    <n v="-926.08810999999992"/>
    <n v="-8049.8481099999999"/>
  </r>
  <r>
    <x v="122"/>
    <x v="10"/>
    <x v="3"/>
    <x v="0"/>
    <s v="KESR/0064/82-83"/>
    <s v="GORIN TRADING "/>
    <x v="1"/>
    <x v="1"/>
    <n v="-0.75"/>
    <n v="-75"/>
    <n v="108.17"/>
    <n v="-8112.75"/>
    <n v="737.44999999999993"/>
    <n v="0"/>
    <n v="-958.78828599999997"/>
    <n v="-8334.0882860000002"/>
  </r>
  <r>
    <x v="122"/>
    <x v="10"/>
    <x v="3"/>
    <x v="0"/>
    <s v="KESR/0064/82-83"/>
    <s v="GORIN TRADING "/>
    <x v="0"/>
    <x v="9"/>
    <n v="-0.51"/>
    <n v="-91"/>
    <n v="70.989999999999995"/>
    <n v="-6460.09"/>
    <n v="587.22"/>
    <n v="0"/>
    <n v="-763.472531"/>
    <n v="-6636.3425310000002"/>
  </r>
  <r>
    <x v="122"/>
    <x v="10"/>
    <x v="3"/>
    <x v="0"/>
    <s v="KESR/0064/82-83"/>
    <s v="GORIN TRADING "/>
    <x v="0"/>
    <x v="2"/>
    <n v="-0.61"/>
    <n v="-110"/>
    <n v="64.23"/>
    <n v="-7065.3"/>
    <n v="642.24"/>
    <n v="0"/>
    <n v="-834.99717800000008"/>
    <n v="-7258.057178"/>
  </r>
  <r>
    <x v="122"/>
    <x v="10"/>
    <x v="3"/>
    <x v="0"/>
    <s v="KESR/0064/82-83"/>
    <s v="GORIN TRADING "/>
    <x v="0"/>
    <x v="0"/>
    <n v="-0.06"/>
    <n v="-10"/>
    <n v="64.23"/>
    <n v="-642.29999999999995"/>
    <n v="58.38"/>
    <n v="0"/>
    <n v="-75.909542999999999"/>
    <n v="-659.82954299999994"/>
  </r>
  <r>
    <x v="122"/>
    <x v="10"/>
    <x v="3"/>
    <x v="0"/>
    <s v="KESR/0064/82-83"/>
    <s v="GORIN TRADING "/>
    <x v="1"/>
    <x v="6"/>
    <n v="-0.8"/>
    <n v="-80"/>
    <n v="162.26"/>
    <n v="-12980.8"/>
    <n v="1179.95"/>
    <n v="0"/>
    <n v="-1534.1093579999999"/>
    <n v="-13334.959358"/>
  </r>
  <r>
    <x v="122"/>
    <x v="10"/>
    <x v="3"/>
    <x v="0"/>
    <s v="KESR/0065/82-83"/>
    <s v="BHAT BHATENI SUPERMARKET &amp; DEPARTMENTAL STORE PVT. LTD."/>
    <x v="0"/>
    <x v="11"/>
    <n v="-0.34"/>
    <n v="-62"/>
    <n v="56.99"/>
    <n v="-3533.3799999999997"/>
    <n v="0"/>
    <n v="0"/>
    <n v="-459.33904100000001"/>
    <n v="-3992.7190409999998"/>
  </r>
  <r>
    <x v="122"/>
    <x v="10"/>
    <x v="3"/>
    <x v="0"/>
    <s v="KESR/0065/82-83"/>
    <s v="BHAT BHATENI SUPERMARKET &amp; DEPARTMENTAL STORE PVT. LTD."/>
    <x v="0"/>
    <x v="2"/>
    <n v="-0.75"/>
    <n v="-135"/>
    <n v="56.99"/>
    <n v="-7693.65"/>
    <n v="0"/>
    <n v="0"/>
    <n v="-1000.173719"/>
    <n v="-8693.823719"/>
  </r>
  <r>
    <x v="122"/>
    <x v="10"/>
    <x v="3"/>
    <x v="0"/>
    <s v="KESR/0065/82-83"/>
    <s v="BHAT BHATENI SUPERMARKET &amp; DEPARTMENTAL STORE PVT. LTD."/>
    <x v="0"/>
    <x v="17"/>
    <n v="-0.3"/>
    <n v="-54"/>
    <n v="108.41"/>
    <n v="-5853.98"/>
    <n v="0"/>
    <n v="0"/>
    <n v="-761.01680599999997"/>
    <n v="-6614.9968060000001"/>
  </r>
  <r>
    <x v="122"/>
    <x v="10"/>
    <x v="3"/>
    <x v="0"/>
    <s v="KESR/0065/82-83"/>
    <s v="BHAT BHATENI SUPERMARKET &amp; DEPARTMENTAL STORE PVT. LTD."/>
    <x v="0"/>
    <x v="21"/>
    <n v="-0.43"/>
    <n v="-34"/>
    <n v="170.35"/>
    <n v="-5791.9"/>
    <n v="0"/>
    <n v="0"/>
    <n v="-752.9464119999999"/>
    <n v="-6544.8464119999999"/>
  </r>
  <r>
    <x v="122"/>
    <x v="10"/>
    <x v="3"/>
    <x v="0"/>
    <s v="KESR/0065/82-83"/>
    <s v="BHAT BHATENI SUPERMARKET &amp; DEPARTMENTAL STORE PVT. LTD."/>
    <x v="0"/>
    <x v="15"/>
    <n v="-0.44"/>
    <n v="-80"/>
    <n v="105.31"/>
    <n v="-8424.7999999999993"/>
    <n v="0"/>
    <n v="0"/>
    <n v="-1095.2231449999999"/>
    <n v="-9520.0231449999992"/>
  </r>
  <r>
    <x v="122"/>
    <x v="10"/>
    <x v="3"/>
    <x v="0"/>
    <s v="KESR/0065/82-83"/>
    <s v="BHAT BHATENI SUPERMARKET &amp; DEPARTMENTAL STORE PVT. LTD."/>
    <x v="0"/>
    <x v="9"/>
    <n v="-0.28000000000000003"/>
    <n v="-51"/>
    <n v="65.040000000000006"/>
    <n v="-3317.04"/>
    <n v="0"/>
    <n v="0"/>
    <n v="-431.21486299999998"/>
    <n v="-3748.2548630000001"/>
  </r>
  <r>
    <x v="122"/>
    <x v="10"/>
    <x v="3"/>
    <x v="0"/>
    <s v="KESR/0065/82-83"/>
    <s v="BHAT BHATENI SUPERMARKET &amp; DEPARTMENTAL STORE PVT. LTD."/>
    <x v="0"/>
    <x v="10"/>
    <n v="-0.71"/>
    <n v="-127"/>
    <n v="55.75"/>
    <n v="-7080.2500000000009"/>
    <n v="0"/>
    <n v="0"/>
    <n v="-920.431781"/>
    <n v="-8000.6817810000002"/>
  </r>
  <r>
    <x v="122"/>
    <x v="10"/>
    <x v="3"/>
    <x v="0"/>
    <s v="KESR/0065/82-83"/>
    <s v="BHAT BHATENI SUPERMARKET &amp; DEPARTMENTAL STORE PVT. LTD."/>
    <x v="0"/>
    <x v="0"/>
    <n v="-0.45"/>
    <n v="-81"/>
    <n v="56.99"/>
    <n v="-4616.1899999999996"/>
    <n v="0"/>
    <n v="0"/>
    <n v="-600.10423199999991"/>
    <n v="-5216.2942320000002"/>
  </r>
  <r>
    <x v="123"/>
    <x v="10"/>
    <x v="3"/>
    <x v="0"/>
    <s v="KEPL/01994/82-83"/>
    <s v="DINESH TRADING HOUSE"/>
    <x v="2"/>
    <x v="34"/>
    <n v="0.5"/>
    <n v="40"/>
    <n v="229.86"/>
    <n v="9194.4"/>
    <n v="-835.77"/>
    <n v="0"/>
    <n v="1086.6199999999999"/>
    <n v="9445.25"/>
  </r>
  <r>
    <x v="123"/>
    <x v="10"/>
    <x v="3"/>
    <x v="0"/>
    <s v="KEPL/01995/82-83"/>
    <s v="DINESH TRADING HOUSE"/>
    <x v="1"/>
    <x v="13"/>
    <n v="1"/>
    <n v="100"/>
    <n v="137.5"/>
    <n v="13750"/>
    <n v="-1249.8800000000001"/>
    <n v="0"/>
    <n v="0"/>
    <n v="12500.12"/>
  </r>
  <r>
    <x v="123"/>
    <x v="10"/>
    <x v="3"/>
    <x v="0"/>
    <s v="KEPL/01995/82-83"/>
    <s v="DINESH TRADING HOUSE"/>
    <x v="1"/>
    <x v="12"/>
    <n v="1"/>
    <n v="40"/>
    <n v="336.13"/>
    <n v="13445.199999999999"/>
    <n v="-1222.1699999999998"/>
    <n v="0"/>
    <n v="0"/>
    <n v="12223.03"/>
  </r>
  <r>
    <x v="124"/>
    <x v="10"/>
    <x v="3"/>
    <x v="0"/>
    <s v="KEPL/02001/82-83"/>
    <s v="THREE STAR KHADYA UDHYOG"/>
    <x v="1"/>
    <x v="6"/>
    <n v="0.01"/>
    <n v="1"/>
    <n v="189.3"/>
    <n v="189.3"/>
    <n v="-17.21"/>
    <n v="0"/>
    <n v="22.371693"/>
    <n v="194.461693"/>
  </r>
  <r>
    <x v="124"/>
    <x v="10"/>
    <x v="3"/>
    <x v="0"/>
    <s v="KEPL/02001/82-83"/>
    <s v="THREE STAR KHADYA UDHYOG"/>
    <x v="0"/>
    <x v="10"/>
    <n v="2.78"/>
    <n v="500"/>
    <n v="60.84"/>
    <n v="30420"/>
    <n v="-2765.1800000000003"/>
    <n v="0"/>
    <n v="3595.1254729999996"/>
    <n v="31249.945473"/>
  </r>
  <r>
    <x v="124"/>
    <x v="10"/>
    <x v="3"/>
    <x v="0"/>
    <s v="KEPL/02001/82-83"/>
    <s v="THREE STAR KHADYA UDHYOG"/>
    <x v="1"/>
    <x v="4"/>
    <n v="0.03"/>
    <n v="1"/>
    <n v="260.27999999999997"/>
    <n v="260.27999999999997"/>
    <n v="-23.66"/>
    <n v="0"/>
    <n v="30.760590000000001"/>
    <n v="267.38058999999998"/>
  </r>
  <r>
    <x v="124"/>
    <x v="10"/>
    <x v="3"/>
    <x v="0"/>
    <s v="KEPL/02001/82-83"/>
    <s v="THREE STAR KHADYA UDHYOG"/>
    <x v="0"/>
    <x v="9"/>
    <n v="0.56000000000000005"/>
    <n v="100"/>
    <n v="70.989999999999995"/>
    <n v="7099"/>
    <n v="-645.29999999999995"/>
    <n v="0"/>
    <n v="838.98073700000009"/>
    <n v="7292.6807369999997"/>
  </r>
  <r>
    <x v="124"/>
    <x v="10"/>
    <x v="3"/>
    <x v="0"/>
    <s v="KEPL/02001/82-83"/>
    <s v="THREE STAR KHADYA UDHYOG"/>
    <x v="1"/>
    <x v="4"/>
    <n v="0.48"/>
    <n v="19"/>
    <n v="260.27999999999997"/>
    <n v="4945.32"/>
    <n v="-449.53"/>
    <n v="0"/>
    <n v="584.45251699999994"/>
    <n v="5080.2425169999997"/>
  </r>
  <r>
    <x v="124"/>
    <x v="10"/>
    <x v="3"/>
    <x v="0"/>
    <s v="KEPL/02001/82-83"/>
    <s v="THREE STAR KHADYA UDHYOG"/>
    <x v="0"/>
    <x v="27"/>
    <n v="0.42"/>
    <n v="50"/>
    <n v="118.31"/>
    <n v="5915.5"/>
    <n v="-537.72"/>
    <n v="0"/>
    <n v="699.11118099999999"/>
    <n v="6076.891181"/>
  </r>
  <r>
    <x v="124"/>
    <x v="10"/>
    <x v="3"/>
    <x v="0"/>
    <s v="KEPL/02001/82-83"/>
    <s v="THREE STAR KHADYA UDHYOG"/>
    <x v="0"/>
    <x v="11"/>
    <n v="0.99"/>
    <n v="178"/>
    <n v="64.23"/>
    <n v="11432.94"/>
    <n v="-1039.25"/>
    <n v="0"/>
    <n v="1351.179277"/>
    <n v="11744.869277"/>
  </r>
  <r>
    <x v="124"/>
    <x v="10"/>
    <x v="3"/>
    <x v="0"/>
    <s v="KEPL/02001/82-83"/>
    <s v="THREE STAR KHADYA UDHYOG"/>
    <x v="2"/>
    <x v="7"/>
    <n v="1"/>
    <n v="120"/>
    <n v="152.11000000000001"/>
    <n v="18253.2"/>
    <n v="-1659.2199999999998"/>
    <n v="0"/>
    <n v="2157.2167239999999"/>
    <n v="18751.196724000001"/>
  </r>
  <r>
    <x v="124"/>
    <x v="10"/>
    <x v="3"/>
    <x v="0"/>
    <s v="KEPL/02001/82-83"/>
    <s v="THREE STAR KHADYA UDHYOG"/>
    <x v="1"/>
    <x v="3"/>
    <n v="0.25"/>
    <n v="10"/>
    <n v="459.72"/>
    <n v="4597.2"/>
    <n v="-417.89"/>
    <n v="0"/>
    <n v="543.31012999999996"/>
    <n v="4722.6201300000002"/>
  </r>
  <r>
    <x v="124"/>
    <x v="10"/>
    <x v="3"/>
    <x v="0"/>
    <s v="KEPL/02001/82-83"/>
    <s v="THREE STAR KHADYA UDHYOG"/>
    <x v="1"/>
    <x v="6"/>
    <n v="0.05"/>
    <n v="5"/>
    <n v="189.3"/>
    <n v="946.5"/>
    <n v="-86.04"/>
    <n v="0"/>
    <n v="111.859765"/>
    <n v="972.31976499999996"/>
  </r>
  <r>
    <x v="124"/>
    <x v="10"/>
    <x v="3"/>
    <x v="0"/>
    <s v="KEPL/02001/82-83"/>
    <s v="THREE STAR KHADYA UDHYOG"/>
    <x v="0"/>
    <x v="17"/>
    <n v="0.56000000000000005"/>
    <n v="100"/>
    <n v="121.69"/>
    <n v="12169"/>
    <n v="-1106.1600000000001"/>
    <n v="0"/>
    <n v="1438.1687489999999"/>
    <n v="12501.008749000001"/>
  </r>
  <r>
    <x v="124"/>
    <x v="10"/>
    <x v="3"/>
    <x v="0"/>
    <s v="KEPL/02001/82-83"/>
    <s v="THREE STAR KHADYA UDHYOG"/>
    <x v="0"/>
    <x v="11"/>
    <n v="0.12"/>
    <n v="22"/>
    <n v="64.23"/>
    <n v="1413.06"/>
    <n v="-128.44999999999999"/>
    <n v="0"/>
    <n v="166.99924799999999"/>
    <n v="1451.609248"/>
  </r>
  <r>
    <x v="124"/>
    <x v="10"/>
    <x v="3"/>
    <x v="0"/>
    <s v="KEPL/02001/82-83"/>
    <s v="THREE STAR KHADYA UDHYOG"/>
    <x v="1"/>
    <x v="3"/>
    <n v="0.38"/>
    <n v="15"/>
    <n v="459.72"/>
    <n v="6895.8"/>
    <n v="-626.83000000000004"/>
    <n v="0"/>
    <n v="814.96584499999994"/>
    <n v="7083.935845"/>
  </r>
  <r>
    <x v="124"/>
    <x v="10"/>
    <x v="3"/>
    <x v="0"/>
    <s v="KEPL/02001/82-83"/>
    <s v="THREE STAR KHADYA UDHYOG"/>
    <x v="1"/>
    <x v="6"/>
    <n v="0.04"/>
    <n v="4"/>
    <n v="189.3"/>
    <n v="757.2"/>
    <n v="-68.83"/>
    <n v="0"/>
    <n v="89.488072000000003"/>
    <n v="777.85807199999999"/>
  </r>
  <r>
    <x v="125"/>
    <x v="10"/>
    <x v="3"/>
    <x v="0"/>
    <s v="KEPL/02004/82-83"/>
    <s v="EMERALD TRADE LINK"/>
    <x v="2"/>
    <x v="23"/>
    <n v="1"/>
    <n v="180"/>
    <n v="158.87"/>
    <n v="28596.6"/>
    <n v="-2599.4300000000003"/>
    <n v="0"/>
    <n v="3379.6309190000002"/>
    <n v="29376.800919000001"/>
  </r>
  <r>
    <x v="125"/>
    <x v="10"/>
    <x v="3"/>
    <x v="0"/>
    <s v="KEPL/02004/82-83"/>
    <s v="EMERALD TRADE LINK"/>
    <x v="0"/>
    <x v="20"/>
    <n v="1"/>
    <n v="120"/>
    <n v="118.3"/>
    <n v="14195.999999999998"/>
    <n v="-1290.4199999999998"/>
    <n v="0"/>
    <n v="1677.7248140000002"/>
    <n v="14583.304813999999"/>
  </r>
  <r>
    <x v="125"/>
    <x v="10"/>
    <x v="3"/>
    <x v="0"/>
    <s v="KEPL/02004/82-83"/>
    <s v="EMERALD TRADE LINK"/>
    <x v="0"/>
    <x v="17"/>
    <n v="1"/>
    <n v="180"/>
    <n v="118.3"/>
    <n v="21294"/>
    <n v="-1935.62"/>
    <n v="0"/>
    <n v="2516.5885200000002"/>
    <n v="21874.968519999999"/>
  </r>
  <r>
    <x v="125"/>
    <x v="10"/>
    <x v="3"/>
    <x v="0"/>
    <s v="KEPL/02004/82-83"/>
    <s v="EMERALD TRADE LINK"/>
    <x v="0"/>
    <x v="10"/>
    <n v="1"/>
    <n v="180"/>
    <n v="60.84"/>
    <n v="10951.199999999999"/>
    <n v="-995.46"/>
    <n v="0"/>
    <n v="1294.245748"/>
    <n v="11249.985747999999"/>
  </r>
  <r>
    <x v="126"/>
    <x v="10"/>
    <x v="3"/>
    <x v="0"/>
    <s v="KEPL/02014/82-83"/>
    <s v="SUBHARAMBHA TRADING"/>
    <x v="0"/>
    <x v="41"/>
    <n v="0.17"/>
    <n v="20"/>
    <n v="158.86000000000001"/>
    <n v="3177.2"/>
    <n v="-288.81"/>
    <n v="0"/>
    <n v="375.49094000000002"/>
    <n v="3263.88094"/>
  </r>
  <r>
    <x v="126"/>
    <x v="10"/>
    <x v="3"/>
    <x v="0"/>
    <s v="KEPL/02014/82-83"/>
    <s v="SUBHARAMBHA TRADING"/>
    <x v="0"/>
    <x v="38"/>
    <n v="0.49"/>
    <n v="59"/>
    <n v="84.51"/>
    <n v="4986.09"/>
    <n v="-453.24"/>
    <n v="0"/>
    <n v="589.27087700000004"/>
    <n v="5122.1208770000003"/>
  </r>
  <r>
    <x v="126"/>
    <x v="10"/>
    <x v="3"/>
    <x v="0"/>
    <s v="KEPL/02014/82-83"/>
    <s v="SUBHARAMBHA TRADING"/>
    <x v="2"/>
    <x v="28"/>
    <n v="0.5"/>
    <n v="40"/>
    <n v="169.01"/>
    <n v="6760.4"/>
    <n v="-614.52"/>
    <n v="0"/>
    <n v="798.96491100000003"/>
    <n v="6944.8449110000001"/>
  </r>
  <r>
    <x v="126"/>
    <x v="10"/>
    <x v="3"/>
    <x v="0"/>
    <s v="KEPL/02014/82-83"/>
    <s v="SUBHARAMBHA TRADING"/>
    <x v="0"/>
    <x v="21"/>
    <n v="0.13"/>
    <n v="10"/>
    <n v="185.92"/>
    <n v="1859.2"/>
    <n v="-169"/>
    <n v="0"/>
    <n v="219.72614100000001"/>
    <n v="1909.9261409999999"/>
  </r>
  <r>
    <x v="126"/>
    <x v="10"/>
    <x v="3"/>
    <x v="0"/>
    <s v="KEPL/02014/82-83"/>
    <s v="SUBHARAMBHA TRADING"/>
    <x v="0"/>
    <x v="19"/>
    <n v="0.5"/>
    <n v="90"/>
    <n v="155.49"/>
    <n v="13994.1"/>
    <n v="-1272.0600000000002"/>
    <n v="0"/>
    <n v="1653.8662589999999"/>
    <n v="14375.906258999999"/>
  </r>
  <r>
    <x v="126"/>
    <x v="10"/>
    <x v="3"/>
    <x v="0"/>
    <s v="KEPL/02014/82-83"/>
    <s v="SUBHARAMBHA TRADING"/>
    <x v="0"/>
    <x v="10"/>
    <n v="0.5"/>
    <n v="90"/>
    <n v="60.84"/>
    <n v="5475.5999999999995"/>
    <n v="-497.73"/>
    <n v="0"/>
    <n v="647.123514"/>
    <n v="5624.9935139999998"/>
  </r>
  <r>
    <x v="126"/>
    <x v="10"/>
    <x v="3"/>
    <x v="0"/>
    <s v="KEPL/02014/82-83"/>
    <s v="SUBHARAMBHA TRADING"/>
    <x v="3"/>
    <x v="25"/>
    <n v="0.25"/>
    <n v="12"/>
    <n v="310.99"/>
    <n v="3731.8799999999997"/>
    <n v="-339.23"/>
    <n v="0"/>
    <n v="441.044782"/>
    <n v="3833.694782"/>
  </r>
  <r>
    <x v="126"/>
    <x v="10"/>
    <x v="3"/>
    <x v="0"/>
    <s v="KEPL/02014/82-83"/>
    <s v="SUBHARAMBHA TRADING"/>
    <x v="0"/>
    <x v="18"/>
    <n v="0.5"/>
    <n v="60"/>
    <n v="148.72999999999999"/>
    <n v="8923.8000000000011"/>
    <n v="-811.17"/>
    <n v="0"/>
    <n v="1054.6425750000001"/>
    <n v="9167.2725750000009"/>
  </r>
  <r>
    <x v="127"/>
    <x v="10"/>
    <x v="3"/>
    <x v="0"/>
    <s v="KEPL/02032/82-83"/>
    <s v="GORIN TRADING "/>
    <x v="2"/>
    <x v="23"/>
    <n v="2"/>
    <n v="360"/>
    <n v="182.53"/>
    <n v="65710.8"/>
    <n v="-5973.11"/>
    <n v="0"/>
    <n v="7765.9000000000005"/>
    <n v="67503.59"/>
  </r>
  <r>
    <x v="127"/>
    <x v="10"/>
    <x v="3"/>
    <x v="0"/>
    <s v="KEPL/02033/82-83"/>
    <s v="GORIN TRADING "/>
    <x v="0"/>
    <x v="18"/>
    <n v="1"/>
    <n v="120"/>
    <n v="148.72999999999999"/>
    <n v="17847.600000000002"/>
    <n v="-1622.3500000000001"/>
    <n v="0"/>
    <n v="2109.2837159999999"/>
    <n v="18334.533716000002"/>
  </r>
  <r>
    <x v="127"/>
    <x v="10"/>
    <x v="3"/>
    <x v="0"/>
    <s v="KEPL/02033/82-83"/>
    <s v="GORIN TRADING "/>
    <x v="0"/>
    <x v="10"/>
    <n v="0.5"/>
    <n v="90"/>
    <n v="60.84"/>
    <n v="5475.5999999999995"/>
    <n v="-497.73"/>
    <n v="0"/>
    <n v="647.12347299999999"/>
    <n v="5624.9934730000004"/>
  </r>
  <r>
    <x v="127"/>
    <x v="10"/>
    <x v="3"/>
    <x v="0"/>
    <s v="KEPL/02033/82-83"/>
    <s v="GORIN TRADING "/>
    <x v="2"/>
    <x v="5"/>
    <n v="0.5"/>
    <n v="90"/>
    <n v="81.14"/>
    <n v="7302.5999999999995"/>
    <n v="-663.81"/>
    <n v="0"/>
    <n v="863.04319699999996"/>
    <n v="7501.8331969999999"/>
  </r>
  <r>
    <x v="127"/>
    <x v="10"/>
    <x v="3"/>
    <x v="0"/>
    <s v="KEPL/02033/82-83"/>
    <s v="GORIN TRADING "/>
    <x v="0"/>
    <x v="39"/>
    <n v="0.5"/>
    <n v="90"/>
    <n v="83.82"/>
    <n v="7543.8"/>
    <n v="-685.7299999999999"/>
    <n v="0"/>
    <n v="891.54961399999991"/>
    <n v="7749.6196140000002"/>
  </r>
  <r>
    <x v="127"/>
    <x v="10"/>
    <x v="3"/>
    <x v="0"/>
    <s v="KEPL/02042/82-83"/>
    <s v="SHIVA SHAKTI CONCERN"/>
    <x v="1"/>
    <x v="6"/>
    <n v="2"/>
    <n v="200"/>
    <n v="162.26"/>
    <n v="32451.200000000001"/>
    <n v="-2949.8100000000004"/>
    <n v="0"/>
    <n v="3835.179286"/>
    <n v="33336.569285999998"/>
  </r>
  <r>
    <x v="127"/>
    <x v="10"/>
    <x v="3"/>
    <x v="0"/>
    <s v="KEPL/02042/82-83"/>
    <s v="SHIVA SHAKTI CONCERN"/>
    <x v="1"/>
    <x v="3"/>
    <n v="1"/>
    <n v="40"/>
    <n v="393.46"/>
    <n v="15738.4"/>
    <n v="-1430.6200000000001"/>
    <n v="0"/>
    <n v="1860.010714"/>
    <n v="16167.790714000001"/>
  </r>
  <r>
    <x v="128"/>
    <x v="10"/>
    <x v="3"/>
    <x v="0"/>
    <s v="KEPL/02053/82-83"/>
    <s v="SIMPEX SOLUTION PVT. LTD"/>
    <x v="2"/>
    <x v="5"/>
    <n v="0.1"/>
    <n v="18"/>
    <n v="84.96"/>
    <n v="1529.28"/>
    <n v="0"/>
    <n v="0"/>
    <n v="198.80500000000001"/>
    <n v="1728.085"/>
  </r>
  <r>
    <x v="128"/>
    <x v="10"/>
    <x v="3"/>
    <x v="0"/>
    <s v="KEPL/02053/82-83"/>
    <s v="SIMPEX SOLUTION PVT. LTD"/>
    <x v="0"/>
    <x v="9"/>
    <n v="7.0000000000000007E-2"/>
    <n v="12"/>
    <n v="74.34"/>
    <n v="892.08"/>
    <n v="0"/>
    <n v="0"/>
    <n v="115.969583"/>
    <n v="1008.049583"/>
  </r>
  <r>
    <x v="128"/>
    <x v="10"/>
    <x v="3"/>
    <x v="0"/>
    <s v="KEPL/02053/82-83"/>
    <s v="SIMPEX SOLUTION PVT. LTD"/>
    <x v="0"/>
    <x v="10"/>
    <n v="0.06"/>
    <n v="10"/>
    <n v="63.72"/>
    <n v="637.20000000000005"/>
    <n v="0"/>
    <n v="0"/>
    <n v="82.835416999999993"/>
    <n v="720.03541700000005"/>
  </r>
  <r>
    <x v="129"/>
    <x v="10"/>
    <x v="3"/>
    <x v="0"/>
    <s v="KEPL/02062/82-83"/>
    <s v="SHREE BHOLEY SHANKAR KIRANA STORE"/>
    <x v="0"/>
    <x v="15"/>
    <n v="2"/>
    <n v="360"/>
    <n v="114.93"/>
    <n v="41374.800000000003"/>
    <n v="-3760.97"/>
    <n v="0"/>
    <n v="4889.797732"/>
    <n v="42503.627732000001"/>
  </r>
  <r>
    <x v="129"/>
    <x v="10"/>
    <x v="3"/>
    <x v="0"/>
    <s v="KEPL/02062/82-83"/>
    <s v="SHREE BHOLEY SHANKAR KIRANA STORE"/>
    <x v="2"/>
    <x v="34"/>
    <n v="1"/>
    <n v="80"/>
    <n v="229.86"/>
    <n v="18388.8"/>
    <n v="-1671.54"/>
    <n v="0"/>
    <n v="2173.2437260000002"/>
    <n v="18890.503725999999"/>
  </r>
  <r>
    <x v="129"/>
    <x v="10"/>
    <x v="3"/>
    <x v="0"/>
    <s v="KEPL/02062/82-83"/>
    <s v="SHREE BHOLEY SHANKAR KIRANA STORE"/>
    <x v="2"/>
    <x v="23"/>
    <n v="10"/>
    <n v="1800"/>
    <n v="158.87"/>
    <n v="285966"/>
    <n v="-25994.31"/>
    <n v="0"/>
    <n v="33796.318542000001"/>
    <n v="293768.00854200003"/>
  </r>
  <r>
    <x v="130"/>
    <x v="10"/>
    <x v="3"/>
    <x v="0"/>
    <s v="KEPL/02075/82-83"/>
    <s v="SHIVA SHAKTI CONCERN"/>
    <x v="4"/>
    <x v="30"/>
    <n v="0.88"/>
    <n v="53"/>
    <n v="98.03"/>
    <n v="5195.5899999999992"/>
    <n v="-472.28"/>
    <n v="0"/>
    <n v="614.030439"/>
    <n v="5337.3404389999996"/>
  </r>
  <r>
    <x v="130"/>
    <x v="10"/>
    <x v="3"/>
    <x v="0"/>
    <s v="KEPL/02075/82-83"/>
    <s v="SHIVA SHAKTI CONCERN"/>
    <x v="2"/>
    <x v="5"/>
    <n v="2.33"/>
    <n v="420"/>
    <n v="94.65"/>
    <n v="39753"/>
    <n v="-3613.5499999999997"/>
    <n v="0"/>
    <n v="4698.1295609999997"/>
    <n v="40837.579560999999"/>
  </r>
  <r>
    <x v="130"/>
    <x v="10"/>
    <x v="3"/>
    <x v="0"/>
    <s v="KESR/0070/82-83"/>
    <s v="DURGA AND AAMOSH SUPPLIERS PVT.LTD"/>
    <x v="2"/>
    <x v="33"/>
    <n v="-0.94"/>
    <n v="-170"/>
    <n v="91.27"/>
    <n v="-15515.9"/>
    <n v="1410.4"/>
    <n v="0"/>
    <n v="-1833.7153450000001"/>
    <n v="-15939.215345000001"/>
  </r>
  <r>
    <x v="130"/>
    <x v="10"/>
    <x v="3"/>
    <x v="0"/>
    <s v="KESR/0070/82-83"/>
    <s v="DURGA AND AAMOSH SUPPLIERS PVT.LTD"/>
    <x v="3"/>
    <x v="25"/>
    <n v="-0.6"/>
    <n v="-29"/>
    <n v="310.99"/>
    <n v="-9018.7100000000009"/>
    <n v="819.8"/>
    <n v="0"/>
    <n v="-1065.8585009999999"/>
    <n v="-9264.7685010000005"/>
  </r>
  <r>
    <x v="130"/>
    <x v="10"/>
    <x v="3"/>
    <x v="0"/>
    <s v="KESR/0070/82-83"/>
    <s v="DURGA AND AAMOSH SUPPLIERS PVT.LTD"/>
    <x v="2"/>
    <x v="7"/>
    <n v="-1.08"/>
    <n v="-129"/>
    <n v="152.11000000000001"/>
    <n v="-19622.190000000002"/>
    <n v="1783.66"/>
    <n v="0"/>
    <n v="-2319.009337"/>
    <n v="-20157.539336999998"/>
  </r>
  <r>
    <x v="130"/>
    <x v="10"/>
    <x v="3"/>
    <x v="0"/>
    <s v="KESR/0070/82-83"/>
    <s v="DURGA AND AAMOSH SUPPLIERS PVT.LTD"/>
    <x v="3"/>
    <x v="26"/>
    <n v="-0.83"/>
    <n v="-60"/>
    <n v="131.83000000000001"/>
    <n v="-7909.8"/>
    <n v="719"/>
    <n v="0"/>
    <n v="-934.80417599999998"/>
    <n v="-8125.6041759999998"/>
  </r>
  <r>
    <x v="130"/>
    <x v="10"/>
    <x v="3"/>
    <x v="0"/>
    <s v="KESR/0070/82-83"/>
    <s v="DURGA AND AAMOSH SUPPLIERS PVT.LTD"/>
    <x v="0"/>
    <x v="0"/>
    <n v="-0.74"/>
    <n v="-133"/>
    <n v="64.23"/>
    <n v="-8542.59"/>
    <n v="776.52"/>
    <n v="0"/>
    <n v="-1009.58929"/>
    <n v="-8775.6592899999996"/>
  </r>
  <r>
    <x v="130"/>
    <x v="10"/>
    <x v="3"/>
    <x v="0"/>
    <s v="KESR/0070/82-83"/>
    <s v="DURGA AND AAMOSH SUPPLIERS PVT.LTD"/>
    <x v="0"/>
    <x v="11"/>
    <n v="-2.04"/>
    <n v="-367"/>
    <n v="64.23"/>
    <n v="-23572.41"/>
    <n v="905.18"/>
    <n v="0"/>
    <n v="-2946.7404550000001"/>
    <n v="-25613.970454999999"/>
  </r>
  <r>
    <x v="130"/>
    <x v="10"/>
    <x v="3"/>
    <x v="0"/>
    <s v="KESR/0070/82-83"/>
    <s v="DURGA AND AAMOSH SUPPLIERS PVT.LTD"/>
    <x v="2"/>
    <x v="8"/>
    <n v="-0.98"/>
    <n v="-118"/>
    <n v="57.46"/>
    <n v="-6780.2800000000007"/>
    <n v="616.32999999999993"/>
    <n v="0"/>
    <n v="-801.31365099999994"/>
    <n v="-6965.2636510000002"/>
  </r>
  <r>
    <x v="130"/>
    <x v="10"/>
    <x v="3"/>
    <x v="0"/>
    <s v="KESR/0070/82-83"/>
    <s v="DURGA AND AAMOSH SUPPLIERS PVT.LTD"/>
    <x v="0"/>
    <x v="2"/>
    <n v="-1.06"/>
    <n v="-191"/>
    <n v="64.23"/>
    <n v="-12267.93"/>
    <n v="1115.1500000000001"/>
    <n v="0"/>
    <n v="-1449.8616730000001"/>
    <n v="-12602.641673"/>
  </r>
  <r>
    <x v="130"/>
    <x v="10"/>
    <x v="3"/>
    <x v="0"/>
    <s v="KESR/0070/82-83"/>
    <s v="DURGA AND AAMOSH SUPPLIERS PVT.LTD"/>
    <x v="0"/>
    <x v="32"/>
    <n v="-0.57999999999999996"/>
    <n v="-70"/>
    <n v="64.23"/>
    <n v="-4496.0999999999995"/>
    <n v="408.7"/>
    <n v="0"/>
    <n v="-531.36209999999994"/>
    <n v="-4618.7620999999999"/>
  </r>
  <r>
    <x v="130"/>
    <x v="10"/>
    <x v="3"/>
    <x v="0"/>
    <s v="KESR/0070/82-83"/>
    <s v="DURGA AND AAMOSH SUPPLIERS PVT.LTD"/>
    <x v="3"/>
    <x v="31"/>
    <n v="-0.75"/>
    <n v="-54"/>
    <n v="148.72999999999999"/>
    <n v="-8031.4199999999992"/>
    <n v="730.06"/>
    <n v="0"/>
    <n v="-949.17697899999996"/>
    <n v="-8250.5369790000004"/>
  </r>
  <r>
    <x v="130"/>
    <x v="10"/>
    <x v="3"/>
    <x v="0"/>
    <s v="KESR/0070/82-83"/>
    <s v="DURGA AND AAMOSH SUPPLIERS PVT.LTD"/>
    <x v="1"/>
    <x v="6"/>
    <n v="-0.05"/>
    <n v="-5"/>
    <n v="189.3"/>
    <n v="-946.5"/>
    <n v="36.35"/>
    <n v="0"/>
    <n v="-118.31952199999999"/>
    <n v="-1028.4695220000001"/>
  </r>
  <r>
    <x v="130"/>
    <x v="10"/>
    <x v="3"/>
    <x v="0"/>
    <s v="KESR/0070/82-83"/>
    <s v="DURGA AND AAMOSH SUPPLIERS PVT.LTD"/>
    <x v="0"/>
    <x v="10"/>
    <n v="-0.73"/>
    <n v="-131"/>
    <n v="60.84"/>
    <n v="-7970.04"/>
    <n v="306.05"/>
    <n v="0"/>
    <n v="-996.31888800000002"/>
    <n v="-8660.3088879999996"/>
  </r>
  <r>
    <x v="130"/>
    <x v="10"/>
    <x v="3"/>
    <x v="0"/>
    <s v="KESR/0070/82-83"/>
    <s v="DURGA AND AAMOSH SUPPLIERS PVT.LTD"/>
    <x v="0"/>
    <x v="9"/>
    <n v="-0.61"/>
    <n v="-109"/>
    <n v="70.989999999999995"/>
    <n v="-7737.91"/>
    <n v="297.14"/>
    <n v="0"/>
    <n v="-967.30028200000004"/>
    <n v="-8408.0702820000006"/>
  </r>
  <r>
    <x v="130"/>
    <x v="10"/>
    <x v="3"/>
    <x v="0"/>
    <s v="KESR/0070/82-83"/>
    <s v="DURGA AND AAMOSH SUPPLIERS PVT.LTD"/>
    <x v="2"/>
    <x v="5"/>
    <n v="-2.33"/>
    <n v="-420"/>
    <n v="94.65"/>
    <n v="-39753"/>
    <n v="3613.5499999999997"/>
    <n v="0"/>
    <n v="-4698.1293850000002"/>
    <n v="-40837.579384999997"/>
  </r>
  <r>
    <x v="130"/>
    <x v="10"/>
    <x v="3"/>
    <x v="0"/>
    <s v="KESR/0070/82-83"/>
    <s v="DURGA AND AAMOSH SUPPLIERS PVT.LTD"/>
    <x v="4"/>
    <x v="30"/>
    <n v="-0.88"/>
    <n v="-53"/>
    <n v="98.03"/>
    <n v="-5195.5899999999992"/>
    <n v="472.28"/>
    <n v="0"/>
    <n v="-614.03041599999995"/>
    <n v="-5337.340416"/>
  </r>
  <r>
    <x v="131"/>
    <x v="10"/>
    <x v="3"/>
    <x v="0"/>
    <s v="KESR/0073/82-83"/>
    <s v="NEPAL SENA SUPATH MULYA CANTEEN"/>
    <x v="0"/>
    <x v="2"/>
    <n v="-0.02"/>
    <n v="-3"/>
    <n v="64.67"/>
    <n v="-194.01"/>
    <n v="0"/>
    <n v="0"/>
    <n v="-25.221532"/>
    <n v="-219.23153199999999"/>
  </r>
  <r>
    <x v="131"/>
    <x v="10"/>
    <x v="3"/>
    <x v="0"/>
    <s v="KESR/0073/82-83"/>
    <s v="NEPAL SENA SUPATH MULYA CANTEEN"/>
    <x v="0"/>
    <x v="17"/>
    <n v="-0.01"/>
    <n v="-1"/>
    <n v="122.53"/>
    <n v="-122.53"/>
    <n v="0"/>
    <n v="0"/>
    <n v="-15.929046"/>
    <n v="-138.459046"/>
  </r>
  <r>
    <x v="131"/>
    <x v="10"/>
    <x v="3"/>
    <x v="0"/>
    <s v="KESR/0073/82-83"/>
    <s v="NEPAL SENA SUPATH MULYA CANTEEN"/>
    <x v="0"/>
    <x v="16"/>
    <n v="-0.02"/>
    <n v="-2"/>
    <n v="122.53"/>
    <n v="-245.06"/>
    <n v="0"/>
    <n v="0"/>
    <n v="-31.858093"/>
    <n v="-276.918093"/>
  </r>
  <r>
    <x v="131"/>
    <x v="10"/>
    <x v="3"/>
    <x v="0"/>
    <s v="KESR/0073/82-83"/>
    <s v="NEPAL SENA SUPATH MULYA CANTEEN"/>
    <x v="0"/>
    <x v="0"/>
    <n v="-0.01"/>
    <n v="-1"/>
    <n v="64.67"/>
    <n v="-64.67"/>
    <n v="0"/>
    <n v="0"/>
    <n v="-8.4071770000000008"/>
    <n v="-73.077177000000006"/>
  </r>
  <r>
    <x v="131"/>
    <x v="10"/>
    <x v="3"/>
    <x v="0"/>
    <s v="KESR/0073/82-83"/>
    <s v="NEPAL SENA SUPATH MULYA CANTEEN"/>
    <x v="2"/>
    <x v="23"/>
    <n v="-0.01"/>
    <n v="-1"/>
    <n v="183.8"/>
    <n v="-183.8"/>
    <n v="0"/>
    <n v="0"/>
    <n v="-23.894220000000001"/>
    <n v="-207.69422"/>
  </r>
  <r>
    <x v="131"/>
    <x v="10"/>
    <x v="3"/>
    <x v="0"/>
    <s v="KESR/0073/82-83"/>
    <s v="NEPAL SENA SUPATH MULYA CANTEEN"/>
    <x v="2"/>
    <x v="5"/>
    <n v="-0.01"/>
    <n v="-1"/>
    <n v="95.3"/>
    <n v="-95.3"/>
    <n v="0"/>
    <n v="0"/>
    <n v="-12.389113999999999"/>
    <n v="-107.689114"/>
  </r>
  <r>
    <x v="131"/>
    <x v="10"/>
    <x v="3"/>
    <x v="0"/>
    <s v="KESR/0073/82-83"/>
    <s v="NEPAL SENA SUPATH MULYA CANTEEN"/>
    <x v="0"/>
    <x v="20"/>
    <n v="-0.02"/>
    <n v="-2"/>
    <n v="122.53"/>
    <n v="-245.06"/>
    <n v="0"/>
    <n v="0"/>
    <n v="-31.858093"/>
    <n v="-276.918093"/>
  </r>
  <r>
    <x v="131"/>
    <x v="10"/>
    <x v="3"/>
    <x v="0"/>
    <s v="KESR/0073/82-83"/>
    <s v="NEPAL SENA SUPATH MULYA CANTEEN"/>
    <x v="0"/>
    <x v="11"/>
    <n v="-0.01"/>
    <n v="-1"/>
    <n v="64.67"/>
    <n v="-64.67"/>
    <n v="0"/>
    <n v="0"/>
    <n v="-8.4071770000000008"/>
    <n v="-73.077177000000006"/>
  </r>
  <r>
    <x v="131"/>
    <x v="10"/>
    <x v="3"/>
    <x v="0"/>
    <s v="KESR/0073/82-83"/>
    <s v="NEPAL SENA SUPATH MULYA CANTEEN"/>
    <x v="0"/>
    <x v="14"/>
    <n v="-0.01"/>
    <n v="-2"/>
    <n v="136.15"/>
    <n v="-272.3"/>
    <n v="0"/>
    <n v="0"/>
    <n v="-35.399324999999997"/>
    <n v="-307.69932499999999"/>
  </r>
  <r>
    <x v="131"/>
    <x v="10"/>
    <x v="3"/>
    <x v="0"/>
    <s v="KESR/0073/82-83"/>
    <s v="NEPAL SENA SUPATH MULYA CANTEEN"/>
    <x v="0"/>
    <x v="15"/>
    <n v="-0.01"/>
    <n v="-1"/>
    <n v="115.72"/>
    <n v="-115.72"/>
    <n v="0"/>
    <n v="0"/>
    <n v="-15.043737999999999"/>
    <n v="-130.76373799999999"/>
  </r>
  <r>
    <x v="131"/>
    <x v="10"/>
    <x v="3"/>
    <x v="0"/>
    <s v="KESR/0073/82-83"/>
    <s v="NEPAL SENA SUPATH MULYA CANTEEN"/>
    <x v="0"/>
    <x v="9"/>
    <n v="-0.01"/>
    <n v="-1"/>
    <n v="71.48"/>
    <n v="-71.48"/>
    <n v="0"/>
    <n v="0"/>
    <n v="-9.2924849999999992"/>
    <n v="-80.772485000000003"/>
  </r>
  <r>
    <x v="132"/>
    <x v="10"/>
    <x v="3"/>
    <x v="0"/>
    <s v="KESR/0074/82-83"/>
    <s v="NEPAL SENA SUPATH MULYA CANTEEN"/>
    <x v="1"/>
    <x v="53"/>
    <n v="-0.02"/>
    <n v="-3"/>
    <n v="462.9"/>
    <n v="-1388.7"/>
    <n v="0"/>
    <n v="0"/>
    <n v="-180.53133500000001"/>
    <n v="-1569.2313349999999"/>
  </r>
  <r>
    <x v="132"/>
    <x v="10"/>
    <x v="3"/>
    <x v="0"/>
    <s v="KESR/0074/82-83"/>
    <s v="NEPAL SENA SUPATH MULYA CANTEEN"/>
    <x v="1"/>
    <x v="54"/>
    <n v="-0.03"/>
    <n v="-3"/>
    <n v="108.92"/>
    <n v="-326.76"/>
    <n v="0"/>
    <n v="0"/>
    <n v="-42.478879000000006"/>
    <n v="-369.238879"/>
  </r>
  <r>
    <x v="132"/>
    <x v="10"/>
    <x v="3"/>
    <x v="0"/>
    <s v="KESR/0074/82-83"/>
    <s v="NEPAL SENA SUPATH MULYA CANTEEN"/>
    <x v="1"/>
    <x v="55"/>
    <n v="-0.1"/>
    <n v="-4"/>
    <n v="262.08"/>
    <n v="-1048.32"/>
    <n v="0"/>
    <n v="0"/>
    <n v="-136.28185299999998"/>
    <n v="-1184.6018529999999"/>
  </r>
  <r>
    <x v="132"/>
    <x v="10"/>
    <x v="3"/>
    <x v="0"/>
    <s v="KESR/0074/82-83"/>
    <s v="NEPAL SENA SUPATH MULYA CANTEEN"/>
    <x v="1"/>
    <x v="6"/>
    <n v="-0.04"/>
    <n v="-4"/>
    <n v="190.61"/>
    <n v="-762.44"/>
    <n v="0"/>
    <n v="0"/>
    <n v="-99.117384000000001"/>
    <n v="-861.55738399999996"/>
  </r>
  <r>
    <x v="132"/>
    <x v="10"/>
    <x v="3"/>
    <x v="0"/>
    <s v="KESR/0074/82-83"/>
    <s v="NEPAL SENA SUPATH MULYA CANTEEN"/>
    <x v="1"/>
    <x v="12"/>
    <n v="-0.05"/>
    <n v="-2"/>
    <n v="311.54000000000002"/>
    <n v="-623.08000000000004"/>
    <n v="0"/>
    <n v="0"/>
    <n v="-81.000550000000004"/>
    <n v="-704.08055000000002"/>
  </r>
  <r>
    <x v="132"/>
    <x v="10"/>
    <x v="3"/>
    <x v="0"/>
    <s v="KESR/0075/82-83"/>
    <s v="NEPAL SENA SUPATH MULYA CANTEEN"/>
    <x v="2"/>
    <x v="8"/>
    <n v="-0.28000000000000003"/>
    <n v="-34"/>
    <n v="51.06"/>
    <n v="-1736.04"/>
    <n v="0"/>
    <n v="0"/>
    <n v="-225.69"/>
    <n v="-1961.73"/>
  </r>
  <r>
    <x v="133"/>
    <x v="10"/>
    <x v="3"/>
    <x v="0"/>
    <s v="KEPL/02149/82-83"/>
    <s v="SIMPEX SOLUTION PVT. LTD"/>
    <x v="1"/>
    <x v="6"/>
    <n v="0.06"/>
    <n v="6"/>
    <n v="169.91"/>
    <n v="1019.46"/>
    <n v="0"/>
    <n v="0"/>
    <n v="132.53006999999999"/>
    <n v="1151.9900700000001"/>
  </r>
  <r>
    <x v="133"/>
    <x v="10"/>
    <x v="3"/>
    <x v="0"/>
    <s v="KEPL/02149/82-83"/>
    <s v="SIMPEX SOLUTION PVT. LTD"/>
    <x v="0"/>
    <x v="17"/>
    <n v="0.06"/>
    <n v="10"/>
    <n v="123.89"/>
    <n v="1238.8999999999999"/>
    <n v="0"/>
    <n v="0"/>
    <n v="161.05732900000001"/>
    <n v="1399.9573290000001"/>
  </r>
  <r>
    <x v="133"/>
    <x v="10"/>
    <x v="3"/>
    <x v="0"/>
    <s v="KEPL/02149/82-83"/>
    <s v="SIMPEX SOLUTION PVT. LTD"/>
    <x v="0"/>
    <x v="20"/>
    <n v="0.08"/>
    <n v="10"/>
    <n v="123.89"/>
    <n v="1238.8999999999999"/>
    <n v="0"/>
    <n v="0"/>
    <n v="161.05732900000001"/>
    <n v="1399.9573290000001"/>
  </r>
  <r>
    <x v="133"/>
    <x v="10"/>
    <x v="3"/>
    <x v="0"/>
    <s v="KEPL/02149/82-83"/>
    <s v="SIMPEX SOLUTION PVT. LTD"/>
    <x v="4"/>
    <x v="30"/>
    <n v="0.17"/>
    <n v="10"/>
    <n v="102.65"/>
    <n v="1026.5"/>
    <n v="0"/>
    <n v="0"/>
    <n v="133.44527199999999"/>
    <n v="1159.9452719999999"/>
  </r>
  <r>
    <x v="134"/>
    <x v="10"/>
    <x v="3"/>
    <x v="0"/>
    <s v="KEPL/02257/82-83"/>
    <s v="NEPAL SENA SUPATH MULYA CANTEEN"/>
    <x v="1"/>
    <x v="12"/>
    <n v="1.25"/>
    <n v="50"/>
    <n v="338.46"/>
    <n v="16923"/>
    <s v=""/>
    <s v=""/>
    <s v=""/>
    <n v="16923"/>
  </r>
  <r>
    <x v="134"/>
    <x v="10"/>
    <x v="3"/>
    <x v="0"/>
    <s v="KEPL/02270/82-83"/>
    <s v="NEPAL SENA SUPATH MULYA CANTEEN"/>
    <x v="1"/>
    <x v="3"/>
    <n v="1.25"/>
    <n v="50"/>
    <n v="396.19"/>
    <n v="19809.5"/>
    <n v="0"/>
    <n v="0"/>
    <n v="2575.2349999999997"/>
    <n v="22384.735000000001"/>
  </r>
  <r>
    <x v="134"/>
    <x v="10"/>
    <x v="3"/>
    <x v="0"/>
    <s v="KEPL/02270/82-83"/>
    <s v="NEPAL SENA SUPATH MULYA CANTEEN"/>
    <x v="2"/>
    <x v="8"/>
    <n v="0.42"/>
    <n v="50"/>
    <n v="51.06"/>
    <n v="2552.9999999999995"/>
    <n v="0"/>
    <n v="0"/>
    <n v="331.89"/>
    <n v="2884.89"/>
  </r>
  <r>
    <x v="134"/>
    <x v="10"/>
    <x v="3"/>
    <x v="0"/>
    <s v="KEPL/02270/82-83"/>
    <s v="NEPAL SENA SUPATH MULYA CANTEEN"/>
    <x v="0"/>
    <x v="2"/>
    <n v="1.1100000000000001"/>
    <n v="200"/>
    <n v="64.67"/>
    <n v="12934"/>
    <n v="0"/>
    <n v="0"/>
    <n v="1681.42"/>
    <n v="14615.42"/>
  </r>
  <r>
    <x v="134"/>
    <x v="10"/>
    <x v="3"/>
    <x v="0"/>
    <s v="KEPL/02270/82-83"/>
    <s v="NEPAL SENA SUPATH MULYA CANTEEN"/>
    <x v="6"/>
    <x v="51"/>
    <n v="3.33"/>
    <n v="200"/>
    <n v="490.13"/>
    <n v="98026"/>
    <n v="0"/>
    <n v="0"/>
    <n v="12743.38"/>
    <n v="110769.38"/>
  </r>
  <r>
    <x v="134"/>
    <x v="10"/>
    <x v="3"/>
    <x v="0"/>
    <s v="KEPL/02270/82-83"/>
    <s v="NEPAL SENA SUPATH MULYA CANTEEN"/>
    <x v="0"/>
    <x v="9"/>
    <n v="1.1100000000000001"/>
    <n v="200"/>
    <n v="71.48"/>
    <n v="14296"/>
    <n v="0"/>
    <n v="0"/>
    <n v="1858.48"/>
    <n v="16154.48"/>
  </r>
  <r>
    <x v="134"/>
    <x v="10"/>
    <x v="3"/>
    <x v="0"/>
    <s v="KEPL/02270/82-83"/>
    <s v="NEPAL SENA SUPATH MULYA CANTEEN"/>
    <x v="1"/>
    <x v="4"/>
    <n v="1.25"/>
    <n v="50"/>
    <n v="262.08"/>
    <n v="13104"/>
    <n v="0"/>
    <n v="0"/>
    <n v="1703.52"/>
    <n v="14807.52"/>
  </r>
  <r>
    <x v="134"/>
    <x v="10"/>
    <x v="3"/>
    <x v="0"/>
    <s v="KEPL/02270/82-83"/>
    <s v="NEPAL SENA SUPATH MULYA CANTEEN"/>
    <x v="2"/>
    <x v="5"/>
    <n v="1.1100000000000001"/>
    <n v="200"/>
    <n v="81.69"/>
    <n v="16338"/>
    <n v="0"/>
    <n v="0"/>
    <n v="2123.94"/>
    <n v="18461.939999999999"/>
  </r>
  <r>
    <x v="134"/>
    <x v="10"/>
    <x v="3"/>
    <x v="0"/>
    <s v="KEPL/02270/82-83"/>
    <s v="NEPAL SENA SUPATH MULYA CANTEEN"/>
    <x v="0"/>
    <x v="37"/>
    <n v="0.28000000000000003"/>
    <n v="50"/>
    <n v="98.71"/>
    <n v="4935.5"/>
    <n v="0"/>
    <n v="0"/>
    <n v="641.61500000000001"/>
    <n v="5577.1149999999998"/>
  </r>
  <r>
    <x v="134"/>
    <x v="10"/>
    <x v="3"/>
    <x v="0"/>
    <s v="KEPL/02271/82-83"/>
    <s v="MEGA MART PVT.LTD"/>
    <x v="2"/>
    <x v="22"/>
    <n v="7"/>
    <n v="280"/>
    <n v="267.61"/>
    <n v="74930.8"/>
    <n v="0"/>
    <n v="0"/>
    <n v="9741.003748000001"/>
    <n v="84671.803748000006"/>
  </r>
  <r>
    <x v="134"/>
    <x v="10"/>
    <x v="3"/>
    <x v="0"/>
    <s v="KEPL/02271/82-83"/>
    <s v="MEGA MART PVT.LTD"/>
    <x v="0"/>
    <x v="14"/>
    <n v="0.67"/>
    <n v="120"/>
    <n v="127.43"/>
    <n v="15291.6"/>
    <n v="0"/>
    <n v="0"/>
    <n v="1987.9079489999999"/>
    <n v="17279.507948999999"/>
  </r>
  <r>
    <x v="134"/>
    <x v="10"/>
    <x v="3"/>
    <x v="0"/>
    <s v="KEPL/02271/82-83"/>
    <s v="MEGA MART PVT.LTD"/>
    <x v="2"/>
    <x v="8"/>
    <n v="3"/>
    <n v="360"/>
    <n v="47.79"/>
    <n v="17204.400000000001"/>
    <n v="0"/>
    <n v="0"/>
    <n v="2236.571942"/>
    <n v="19440.971942"/>
  </r>
  <r>
    <x v="134"/>
    <x v="10"/>
    <x v="3"/>
    <x v="0"/>
    <s v="KEPL/02271/82-83"/>
    <s v="MEGA MART PVT.LTD"/>
    <x v="0"/>
    <x v="20"/>
    <n v="1"/>
    <n v="120"/>
    <n v="111.5"/>
    <n v="13379.999999999998"/>
    <n v="0"/>
    <n v="0"/>
    <n v="1739.3999550000001"/>
    <n v="15119.399955000001"/>
  </r>
  <r>
    <x v="134"/>
    <x v="10"/>
    <x v="3"/>
    <x v="0"/>
    <s v="KEPL/02271/82-83"/>
    <s v="MEGA MART PVT.LTD"/>
    <x v="2"/>
    <x v="23"/>
    <n v="0.67"/>
    <n v="120"/>
    <n v="149.72999999999999"/>
    <n v="17967.600000000002"/>
    <n v="0"/>
    <n v="0"/>
    <n v="2335.7879400000002"/>
    <n v="20303.387940000001"/>
  </r>
  <r>
    <x v="134"/>
    <x v="10"/>
    <x v="3"/>
    <x v="0"/>
    <s v="KEPL/02271/82-83"/>
    <s v="MEGA MART PVT.LTD"/>
    <x v="3"/>
    <x v="31"/>
    <n v="4.67"/>
    <n v="336"/>
    <n v="140.18"/>
    <n v="47100.479999999996"/>
    <n v="0"/>
    <n v="0"/>
    <n v="6123.0622420000009"/>
    <n v="53223.542242000003"/>
  </r>
  <r>
    <x v="134"/>
    <x v="10"/>
    <x v="3"/>
    <x v="0"/>
    <s v="KEPL/02271/82-83"/>
    <s v="MEGA MART PVT.LTD"/>
    <x v="6"/>
    <x v="51"/>
    <n v="3.33"/>
    <n v="200"/>
    <n v="458.76"/>
    <n v="91752"/>
    <n v="0"/>
    <n v="0"/>
    <n v="11927.759692000001"/>
    <n v="103679.75969200001"/>
  </r>
  <r>
    <x v="134"/>
    <x v="10"/>
    <x v="3"/>
    <x v="0"/>
    <s v="KEPL/02271/82-83"/>
    <s v="MEGA MART PVT.LTD"/>
    <x v="3"/>
    <x v="25"/>
    <n v="3"/>
    <n v="144"/>
    <n v="280.35000000000002"/>
    <n v="40370.399999999994"/>
    <n v="0"/>
    <n v="0"/>
    <n v="5248.1518640000004"/>
    <n v="45618.551864000001"/>
  </r>
  <r>
    <x v="134"/>
    <x v="10"/>
    <x v="3"/>
    <x v="0"/>
    <s v="KEPL/02271/82-83"/>
    <s v="MEGA MART PVT.LTD"/>
    <x v="0"/>
    <x v="17"/>
    <n v="0.67"/>
    <n v="120"/>
    <n v="111.5"/>
    <n v="13379.999999999998"/>
    <n v="0"/>
    <n v="0"/>
    <n v="1739.3999550000001"/>
    <n v="15119.399955000001"/>
  </r>
  <r>
    <x v="134"/>
    <x v="10"/>
    <x v="3"/>
    <x v="0"/>
    <s v="KEPL/02271/82-83"/>
    <s v="MEGA MART PVT.LTD"/>
    <x v="0"/>
    <x v="16"/>
    <n v="2"/>
    <n v="240"/>
    <n v="111.5"/>
    <n v="26759.999999999996"/>
    <n v="0"/>
    <n v="0"/>
    <n v="3478.7999100000002"/>
    <n v="30238.799910000002"/>
  </r>
  <r>
    <x v="134"/>
    <x v="10"/>
    <x v="3"/>
    <x v="0"/>
    <s v="KEPL/02271/82-83"/>
    <s v="MEGA MART PVT.LTD"/>
    <x v="6"/>
    <x v="49"/>
    <n v="2.08"/>
    <n v="250"/>
    <n v="235.75"/>
    <n v="58937.5"/>
    <n v="0"/>
    <n v="0"/>
    <n v="7661.8748020000003"/>
    <n v="66599.374802000006"/>
  </r>
  <r>
    <x v="134"/>
    <x v="10"/>
    <x v="3"/>
    <x v="0"/>
    <s v="KEPL/02272/82-83"/>
    <s v="BHAT BHATENI SUPERMARKET &amp; DEPARTMENTAL STORE PVT. LTD."/>
    <x v="1"/>
    <x v="6"/>
    <n v="0.5"/>
    <n v="50"/>
    <n v="163.38"/>
    <n v="8169"/>
    <n v="0"/>
    <n v="0"/>
    <n v="1061.9701210000001"/>
    <n v="9230.9701210000003"/>
  </r>
  <r>
    <x v="134"/>
    <x v="10"/>
    <x v="3"/>
    <x v="0"/>
    <s v="KEPL/02272/82-83"/>
    <s v="BHAT BHATENI SUPERMARKET &amp; DEPARTMENTAL STORE PVT. LTD."/>
    <x v="2"/>
    <x v="22"/>
    <n v="2"/>
    <n v="80"/>
    <n v="285.91000000000003"/>
    <n v="22872.799999999999"/>
    <n v="0"/>
    <n v="0"/>
    <n v="2973.46434"/>
    <n v="25846.264340000002"/>
  </r>
  <r>
    <x v="134"/>
    <x v="10"/>
    <x v="3"/>
    <x v="0"/>
    <s v="KEPL/02272/82-83"/>
    <s v="BHAT BHATENI SUPERMARKET &amp; DEPARTMENTAL STORE PVT. LTD."/>
    <x v="1"/>
    <x v="1"/>
    <n v="0.5"/>
    <n v="50"/>
    <n v="108.92"/>
    <n v="5446.0000000000009"/>
    <n v="0"/>
    <n v="0"/>
    <n v="707.98008100000004"/>
    <n v="6153.9800809999997"/>
  </r>
  <r>
    <x v="134"/>
    <x v="10"/>
    <x v="3"/>
    <x v="0"/>
    <s v="KEPL/02272/82-83"/>
    <s v="BHAT BHATENI SUPERMARKET &amp; DEPARTMENTAL STORE PVT. LTD."/>
    <x v="1"/>
    <x v="4"/>
    <n v="0.5"/>
    <n v="20"/>
    <n v="262.08"/>
    <n v="5241.6000000000004"/>
    <n v="0"/>
    <n v="0"/>
    <n v="681.40807799999993"/>
    <n v="5923.0080779999998"/>
  </r>
  <r>
    <x v="134"/>
    <x v="10"/>
    <x v="3"/>
    <x v="0"/>
    <s v="KEPL/02272/82-83"/>
    <s v="BHAT BHATENI SUPERMARKET &amp; DEPARTMENTAL STORE PVT. LTD."/>
    <x v="2"/>
    <x v="5"/>
    <n v="0.28000000000000003"/>
    <n v="50"/>
    <n v="81.69"/>
    <n v="4084.5"/>
    <n v="0"/>
    <n v="0"/>
    <n v="530.98506099999997"/>
    <n v="4615.4850610000003"/>
  </r>
  <r>
    <x v="134"/>
    <x v="10"/>
    <x v="3"/>
    <x v="0"/>
    <s v="KEPL/02272/82-83"/>
    <s v="BHAT BHATENI SUPERMARKET &amp; DEPARTMENTAL STORE PVT. LTD."/>
    <x v="0"/>
    <x v="17"/>
    <n v="1"/>
    <n v="180"/>
    <n v="119.13"/>
    <n v="21443.399999999998"/>
    <n v="0"/>
    <n v="0"/>
    <n v="2787.642319"/>
    <n v="24231.042319"/>
  </r>
  <r>
    <x v="134"/>
    <x v="10"/>
    <x v="3"/>
    <x v="0"/>
    <s v="KEPL/02273/82-83"/>
    <s v="BHAT BHATENI SUPERMARKET &amp; DEPARTMENTAL STORE PVT. LTD."/>
    <x v="1"/>
    <x v="13"/>
    <n v="1.5"/>
    <n v="150"/>
    <n v="138"/>
    <n v="20700"/>
    <s v=""/>
    <s v=""/>
    <s v=""/>
    <n v="20700"/>
  </r>
  <r>
    <x v="134"/>
    <x v="10"/>
    <x v="3"/>
    <x v="0"/>
    <s v="KEPL/02273/82-83"/>
    <s v="BHAT BHATENI SUPERMARKET &amp; DEPARTMENTAL STORE PVT. LTD."/>
    <x v="1"/>
    <x v="12"/>
    <n v="3"/>
    <n v="120"/>
    <n v="336"/>
    <n v="40320"/>
    <s v=""/>
    <s v=""/>
    <s v=""/>
    <n v="40320"/>
  </r>
  <r>
    <x v="134"/>
    <x v="10"/>
    <x v="3"/>
    <x v="0"/>
    <s v="KEPL/02274/82-83"/>
    <s v="A N S STORE"/>
    <x v="2"/>
    <x v="8"/>
    <n v="5"/>
    <n v="600"/>
    <n v="50.7"/>
    <n v="30420"/>
    <n v="-2765.1800000000003"/>
    <n v="0"/>
    <n v="3595.1263220000001"/>
    <n v="31249.946322"/>
  </r>
  <r>
    <x v="134"/>
    <x v="10"/>
    <x v="3"/>
    <x v="0"/>
    <s v="KEPL/02274/82-83"/>
    <s v="A N S STORE"/>
    <x v="2"/>
    <x v="23"/>
    <n v="2"/>
    <n v="360"/>
    <n v="158.87"/>
    <n v="57193.2"/>
    <n v="-5198.8600000000006"/>
    <n v="0"/>
    <n v="6759.2636780000003"/>
    <n v="58753.603677999999"/>
  </r>
  <r>
    <x v="134"/>
    <x v="10"/>
    <x v="3"/>
    <x v="0"/>
    <s v="KEPL/02275/82-83"/>
    <s v="VHANDAR MERCHANDISE PVT LTD"/>
    <x v="4"/>
    <x v="30"/>
    <n v="0.5"/>
    <n v="30"/>
    <n v="74.37"/>
    <n v="2231.1"/>
    <n v="-202.81"/>
    <n v="0"/>
    <n v="263.677727"/>
    <n v="2291.9677270000002"/>
  </r>
  <r>
    <x v="134"/>
    <x v="10"/>
    <x v="3"/>
    <x v="0"/>
    <s v="KEPL/02275/82-83"/>
    <s v="VHANDAR MERCHANDISE PVT LTD"/>
    <x v="0"/>
    <x v="18"/>
    <n v="0.5"/>
    <n v="60"/>
    <n v="148.72999999999999"/>
    <n v="8923.8000000000011"/>
    <n v="-811.17"/>
    <n v="0"/>
    <n v="1054.642008"/>
    <n v="9167.2720079999999"/>
  </r>
  <r>
    <x v="134"/>
    <x v="10"/>
    <x v="3"/>
    <x v="0"/>
    <s v="KEPL/02275/82-83"/>
    <s v="VHANDAR MERCHANDISE PVT LTD"/>
    <x v="2"/>
    <x v="23"/>
    <n v="2"/>
    <n v="360"/>
    <n v="158.87"/>
    <n v="57193.2"/>
    <n v="-5198.8600000000006"/>
    <n v="0"/>
    <n v="6759.2648950000003"/>
    <n v="58753.604894999997"/>
  </r>
  <r>
    <x v="134"/>
    <x v="10"/>
    <x v="3"/>
    <x v="0"/>
    <s v="KEPL/02275/82-83"/>
    <s v="VHANDAR MERCHANDISE PVT LTD"/>
    <x v="0"/>
    <x v="19"/>
    <n v="0.5"/>
    <n v="90"/>
    <n v="155.49"/>
    <n v="13994.1"/>
    <n v="-1272.0600000000002"/>
    <n v="0"/>
    <n v="1653.86537"/>
    <n v="14375.90537"/>
  </r>
  <r>
    <x v="134"/>
    <x v="10"/>
    <x v="3"/>
    <x v="0"/>
    <s v="KEPL/02276/82-83"/>
    <s v="SUBHARAMBHA TRADING"/>
    <x v="4"/>
    <x v="29"/>
    <n v="2"/>
    <n v="240"/>
    <n v="57.46"/>
    <n v="13790.4"/>
    <n v="-1253.55"/>
    <n v="0"/>
    <n v="1629.7905000000001"/>
    <n v="14166.6405"/>
  </r>
  <r>
    <x v="134"/>
    <x v="10"/>
    <x v="3"/>
    <x v="0"/>
    <s v="KEPL/02276/82-83"/>
    <s v="SUBHARAMBHA TRADING"/>
    <x v="4"/>
    <x v="30"/>
    <n v="2"/>
    <n v="120"/>
    <n v="74.37"/>
    <n v="8924.4"/>
    <n v="-811.23"/>
    <n v="0"/>
    <n v="1054.7121"/>
    <n v="9167.8821000000007"/>
  </r>
  <r>
    <x v="134"/>
    <x v="10"/>
    <x v="3"/>
    <x v="0"/>
    <s v="KEPL/02276/82-83"/>
    <s v="SUBHARAMBHA TRADING"/>
    <x v="2"/>
    <x v="7"/>
    <n v="1"/>
    <n v="120"/>
    <n v="145.35"/>
    <n v="17442"/>
    <n v="-1585.48"/>
    <n v="0"/>
    <n v="2061.3476000000001"/>
    <n v="17917.867600000001"/>
  </r>
  <r>
    <x v="134"/>
    <x v="10"/>
    <x v="3"/>
    <x v="0"/>
    <s v="KEPL/02276/82-83"/>
    <s v="SUBHARAMBHA TRADING"/>
    <x v="3"/>
    <x v="31"/>
    <n v="1"/>
    <n v="72"/>
    <n v="148.72999999999999"/>
    <n v="10708.56"/>
    <n v="-973.41"/>
    <n v="0"/>
    <n v="1265.5694999999998"/>
    <n v="11000.719499999999"/>
  </r>
  <r>
    <x v="134"/>
    <x v="10"/>
    <x v="3"/>
    <x v="0"/>
    <s v="KEPL/02276/82-83"/>
    <s v="SUBHARAMBHA TRADING"/>
    <x v="5"/>
    <x v="43"/>
    <n v="0.5"/>
    <n v="30"/>
    <n v="148.72999999999999"/>
    <n v="4461.9000000000005"/>
    <n v="-405.59"/>
    <n v="0"/>
    <n v="527.32029999999997"/>
    <n v="4583.6302999999998"/>
  </r>
  <r>
    <x v="134"/>
    <x v="10"/>
    <x v="3"/>
    <x v="0"/>
    <s v="KEPL/02277/82-83"/>
    <s v="SHREE BHOLEY SHANKAR KIRANA STORE"/>
    <x v="2"/>
    <x v="8"/>
    <n v="5"/>
    <n v="600"/>
    <n v="50.7"/>
    <n v="30420"/>
    <n v="-2765.1800000000003"/>
    <n v="0"/>
    <n v="3595.1263039999999"/>
    <n v="31249.946304000001"/>
  </r>
  <r>
    <x v="134"/>
    <x v="10"/>
    <x v="3"/>
    <x v="0"/>
    <s v="KEPL/02277/82-83"/>
    <s v="SHREE BHOLEY SHANKAR KIRANA STORE"/>
    <x v="2"/>
    <x v="22"/>
    <n v="1"/>
    <n v="40"/>
    <n v="283.94"/>
    <n v="11357.599999999999"/>
    <n v="-1032.4099999999999"/>
    <n v="0"/>
    <n v="1342.2745890000001"/>
    <n v="11667.464588999999"/>
  </r>
  <r>
    <x v="134"/>
    <x v="10"/>
    <x v="3"/>
    <x v="0"/>
    <s v="KEPL/02277/82-83"/>
    <s v="SHREE BHOLEY SHANKAR KIRANA STORE"/>
    <x v="2"/>
    <x v="23"/>
    <n v="5"/>
    <n v="900"/>
    <n v="158.87"/>
    <n v="142983"/>
    <n v="-12997.15"/>
    <n v="0"/>
    <n v="16898.159106999999"/>
    <n v="146884.00910699999"/>
  </r>
  <r>
    <x v="134"/>
    <x v="10"/>
    <x v="3"/>
    <x v="0"/>
    <s v="KEPL/02278/82-83"/>
    <s v="EMERALD TRADE LINK"/>
    <x v="2"/>
    <x v="7"/>
    <n v="1"/>
    <n v="120"/>
    <n v="145.35"/>
    <n v="17442"/>
    <n v="-1585.48"/>
    <n v="0"/>
    <n v="2061.3472750000001"/>
    <n v="17917.867275000001"/>
  </r>
  <r>
    <x v="134"/>
    <x v="10"/>
    <x v="3"/>
    <x v="0"/>
    <s v="KEPL/02278/82-83"/>
    <s v="EMERALD TRADE LINK"/>
    <x v="2"/>
    <x v="5"/>
    <n v="1"/>
    <n v="180"/>
    <n v="81.14"/>
    <n v="14605.199999999999"/>
    <n v="-1327.61"/>
    <n v="0"/>
    <n v="1726.0864279999998"/>
    <n v="15003.676428000001"/>
  </r>
  <r>
    <x v="134"/>
    <x v="10"/>
    <x v="3"/>
    <x v="0"/>
    <s v="KEPL/02278/82-83"/>
    <s v="EMERALD TRADE LINK"/>
    <x v="4"/>
    <x v="29"/>
    <n v="2"/>
    <n v="240"/>
    <n v="57.46"/>
    <n v="13790.4"/>
    <n v="-1253.55"/>
    <n v="0"/>
    <n v="1629.7902429999999"/>
    <n v="14166.640243"/>
  </r>
  <r>
    <x v="134"/>
    <x v="10"/>
    <x v="3"/>
    <x v="0"/>
    <s v="KEPL/02278/82-83"/>
    <s v="EMERALD TRADE LINK"/>
    <x v="2"/>
    <x v="22"/>
    <n v="1"/>
    <n v="40"/>
    <n v="283.94"/>
    <n v="11357.599999999999"/>
    <n v="-1032.4099999999999"/>
    <n v="0"/>
    <n v="1342.274488"/>
    <n v="11667.464488"/>
  </r>
  <r>
    <x v="134"/>
    <x v="10"/>
    <x v="3"/>
    <x v="0"/>
    <s v="KEPL/02278/82-83"/>
    <s v="EMERALD TRADE LINK"/>
    <x v="3"/>
    <x v="47"/>
    <n v="1"/>
    <n v="100"/>
    <n v="70.989999999999995"/>
    <n v="7099"/>
    <n v="-645.29999999999995"/>
    <n v="0"/>
    <n v="838.98086799999999"/>
    <n v="7292.6808680000004"/>
  </r>
  <r>
    <x v="134"/>
    <x v="10"/>
    <x v="3"/>
    <x v="0"/>
    <s v="KEPL/02278/82-83"/>
    <s v="EMERALD TRADE LINK"/>
    <x v="2"/>
    <x v="8"/>
    <n v="1"/>
    <n v="120"/>
    <n v="50.7"/>
    <n v="6084"/>
    <n v="-553.04"/>
    <n v="0"/>
    <n v="719.02468699999997"/>
    <n v="6249.9846870000001"/>
  </r>
  <r>
    <x v="134"/>
    <x v="10"/>
    <x v="3"/>
    <x v="0"/>
    <s v="KEPL/02278/82-83"/>
    <s v="EMERALD TRADE LINK"/>
    <x v="7"/>
    <x v="56"/>
    <n v="1"/>
    <n v="600"/>
    <n v="13.52"/>
    <n v="8112"/>
    <n v="-737.38"/>
    <n v="0"/>
    <n v="958.70044900000005"/>
    <n v="8333.3204490000007"/>
  </r>
  <r>
    <x v="134"/>
    <x v="10"/>
    <x v="3"/>
    <x v="0"/>
    <s v="KEPL/02278/82-83"/>
    <s v="EMERALD TRADE LINK"/>
    <x v="0"/>
    <x v="9"/>
    <n v="1"/>
    <n v="180"/>
    <n v="70.989999999999995"/>
    <n v="12778.2"/>
    <n v="-1161.54"/>
    <n v="0"/>
    <n v="1510.1655619999999"/>
    <n v="13126.825562"/>
  </r>
  <r>
    <x v="134"/>
    <x v="10"/>
    <x v="3"/>
    <x v="0"/>
    <s v="KEPL/02279/82-83"/>
    <s v="EMERALD TRADE LINK"/>
    <x v="7"/>
    <x v="57"/>
    <n v="1"/>
    <n v="600"/>
    <n v="15.28"/>
    <n v="9168"/>
    <n v="-833.36999999999989"/>
    <n v="0"/>
    <n v="0"/>
    <n v="8334.62999999999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743F7D-99B5-43A0-97B5-D81E89FFD1E6}" name="PivotTable1"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N78" firstHeaderRow="1" firstDataRow="3" firstDataCol="1"/>
  <pivotFields count="19">
    <pivotField numFmtId="14" showAll="0">
      <items count="136">
        <item x="0"/>
        <item x="1"/>
        <item x="2"/>
        <item x="3"/>
        <item x="5"/>
        <item x="6"/>
        <item x="13"/>
        <item x="15"/>
        <item x="16"/>
        <item x="18"/>
        <item x="19"/>
        <item x="21"/>
        <item x="22"/>
        <item x="23"/>
        <item x="24"/>
        <item x="26"/>
        <item x="27"/>
        <item x="28"/>
        <item x="30"/>
        <item x="31"/>
        <item x="32"/>
        <item x="33"/>
        <item x="34"/>
        <item x="35"/>
        <item x="36"/>
        <item x="39"/>
        <item x="40"/>
        <item x="41"/>
        <item x="42"/>
        <item x="43"/>
        <item x="46"/>
        <item x="47"/>
        <item x="48"/>
        <item x="50"/>
        <item x="51"/>
        <item x="52"/>
        <item x="53"/>
        <item x="54"/>
        <item x="55"/>
        <item x="56"/>
        <item x="57"/>
        <item x="58"/>
        <item x="59"/>
        <item x="61"/>
        <item x="63"/>
        <item x="64"/>
        <item x="65"/>
        <item x="66"/>
        <item x="67"/>
        <item x="68"/>
        <item x="69"/>
        <item x="71"/>
        <item x="72"/>
        <item x="73"/>
        <item x="74"/>
        <item x="75"/>
        <item x="76"/>
        <item x="77"/>
        <item x="78"/>
        <item x="79"/>
        <item x="81"/>
        <item x="82"/>
        <item x="83"/>
        <item x="85"/>
        <item x="86"/>
        <item x="87"/>
        <item x="89"/>
        <item x="90"/>
        <item x="91"/>
        <item x="92"/>
        <item x="94"/>
        <item x="95"/>
        <item x="97"/>
        <item x="99"/>
        <item x="100"/>
        <item x="102"/>
        <item x="103"/>
        <item x="104"/>
        <item x="105"/>
        <item x="106"/>
        <item x="107"/>
        <item x="110"/>
        <item x="111"/>
        <item x="114"/>
        <item x="115"/>
        <item x="116"/>
        <item x="117"/>
        <item x="118"/>
        <item x="119"/>
        <item x="120"/>
        <item x="4"/>
        <item x="7"/>
        <item x="8"/>
        <item x="9"/>
        <item x="10"/>
        <item x="11"/>
        <item x="12"/>
        <item x="14"/>
        <item x="17"/>
        <item x="20"/>
        <item x="25"/>
        <item x="29"/>
        <item x="37"/>
        <item x="38"/>
        <item x="44"/>
        <item x="45"/>
        <item x="49"/>
        <item x="60"/>
        <item x="62"/>
        <item x="70"/>
        <item x="80"/>
        <item x="84"/>
        <item x="88"/>
        <item x="93"/>
        <item x="96"/>
        <item x="98"/>
        <item x="101"/>
        <item x="108"/>
        <item x="109"/>
        <item x="112"/>
        <item x="113"/>
        <item x="121"/>
        <item x="122"/>
        <item x="123"/>
        <item x="124"/>
        <item x="125"/>
        <item x="126"/>
        <item x="127"/>
        <item x="128"/>
        <item x="129"/>
        <item x="130"/>
        <item x="131"/>
        <item x="132"/>
        <item x="133"/>
        <item x="134"/>
        <item t="default"/>
      </items>
    </pivotField>
    <pivotField axis="axisCol" showAll="0">
      <items count="12">
        <item x="0"/>
        <item x="1"/>
        <item x="2"/>
        <item x="3"/>
        <item x="4"/>
        <item x="5"/>
        <item x="6"/>
        <item x="7"/>
        <item x="8"/>
        <item x="9"/>
        <item x="10"/>
        <item t="default"/>
      </items>
    </pivotField>
    <pivotField showAll="0">
      <items count="5">
        <item x="0"/>
        <item x="1"/>
        <item x="2"/>
        <item x="3"/>
        <item t="default"/>
      </items>
    </pivotField>
    <pivotField axis="axisCol" showAll="0">
      <items count="2">
        <item x="0"/>
        <item t="default"/>
      </items>
    </pivotField>
    <pivotField showAll="0"/>
    <pivotField showAll="0"/>
    <pivotField axis="axisRow" showAll="0">
      <items count="9">
        <item x="0"/>
        <item x="5"/>
        <item x="4"/>
        <item x="6"/>
        <item x="7"/>
        <item x="3"/>
        <item x="1"/>
        <item x="2"/>
        <item t="default"/>
      </items>
    </pivotField>
    <pivotField axis="axisRow" showAll="0">
      <items count="59">
        <item x="26"/>
        <item x="5"/>
        <item x="10"/>
        <item x="18"/>
        <item x="22"/>
        <item x="19"/>
        <item x="2"/>
        <item x="16"/>
        <item x="20"/>
        <item x="14"/>
        <item x="23"/>
        <item x="28"/>
        <item x="0"/>
        <item x="9"/>
        <item x="13"/>
        <item x="25"/>
        <item x="7"/>
        <item x="8"/>
        <item x="17"/>
        <item x="31"/>
        <item x="11"/>
        <item x="30"/>
        <item x="12"/>
        <item x="24"/>
        <item x="21"/>
        <item x="54"/>
        <item x="55"/>
        <item x="1"/>
        <item x="3"/>
        <item x="4"/>
        <item x="6"/>
        <item x="15"/>
        <item x="27"/>
        <item x="29"/>
        <item x="32"/>
        <item x="33"/>
        <item x="34"/>
        <item x="35"/>
        <item x="36"/>
        <item x="37"/>
        <item x="38"/>
        <item x="39"/>
        <item x="40"/>
        <item x="41"/>
        <item x="42"/>
        <item x="43"/>
        <item x="44"/>
        <item x="45"/>
        <item x="46"/>
        <item x="47"/>
        <item x="48"/>
        <item x="53"/>
        <item x="49"/>
        <item x="50"/>
        <item x="51"/>
        <item x="52"/>
        <item x="56"/>
        <item x="57"/>
        <item t="default"/>
      </items>
    </pivotField>
    <pivotField dataField="1" numFmtId="164" showAll="0"/>
    <pivotField numFmtId="164" showAll="0"/>
    <pivotField numFmtId="164" showAll="0"/>
    <pivotField numFmtId="164" showAll="0"/>
    <pivotField numFmtId="164" showAll="0"/>
    <pivotField numFmtId="164" showAll="0"/>
    <pivotField numFmtId="164" showAll="0"/>
    <pivotField numFmtId="164" showAll="0"/>
    <pivotField showAll="0" defaultSubtotal="0"/>
    <pivotField showAll="0" defaultSubtotal="0"/>
    <pivotField showAll="0" defaultSubtotal="0">
      <items count="4">
        <item x="1"/>
        <item x="2"/>
        <item x="0"/>
        <item x="3"/>
      </items>
    </pivotField>
  </pivotFields>
  <rowFields count="2">
    <field x="6"/>
    <field x="7"/>
  </rowFields>
  <rowItems count="67">
    <i>
      <x/>
    </i>
    <i r="1">
      <x v="2"/>
    </i>
    <i r="1">
      <x v="3"/>
    </i>
    <i r="1">
      <x v="5"/>
    </i>
    <i r="1">
      <x v="6"/>
    </i>
    <i r="1">
      <x v="7"/>
    </i>
    <i r="1">
      <x v="8"/>
    </i>
    <i r="1">
      <x v="9"/>
    </i>
    <i r="1">
      <x v="12"/>
    </i>
    <i r="1">
      <x v="13"/>
    </i>
    <i r="1">
      <x v="18"/>
    </i>
    <i r="1">
      <x v="20"/>
    </i>
    <i r="1">
      <x v="24"/>
    </i>
    <i r="1">
      <x v="31"/>
    </i>
    <i r="1">
      <x v="32"/>
    </i>
    <i r="1">
      <x v="34"/>
    </i>
    <i r="1">
      <x v="37"/>
    </i>
    <i r="1">
      <x v="38"/>
    </i>
    <i r="1">
      <x v="39"/>
    </i>
    <i r="1">
      <x v="40"/>
    </i>
    <i r="1">
      <x v="41"/>
    </i>
    <i r="1">
      <x v="42"/>
    </i>
    <i r="1">
      <x v="43"/>
    </i>
    <i r="1">
      <x v="44"/>
    </i>
    <i r="1">
      <x v="46"/>
    </i>
    <i r="1">
      <x v="47"/>
    </i>
    <i r="1">
      <x v="50"/>
    </i>
    <i>
      <x v="1"/>
    </i>
    <i r="1">
      <x v="45"/>
    </i>
    <i>
      <x v="2"/>
    </i>
    <i r="1">
      <x v="21"/>
    </i>
    <i r="1">
      <x v="33"/>
    </i>
    <i>
      <x v="3"/>
    </i>
    <i r="1">
      <x v="52"/>
    </i>
    <i r="1">
      <x v="53"/>
    </i>
    <i r="1">
      <x v="54"/>
    </i>
    <i>
      <x v="4"/>
    </i>
    <i r="1">
      <x v="56"/>
    </i>
    <i r="1">
      <x v="57"/>
    </i>
    <i>
      <x v="5"/>
    </i>
    <i r="1">
      <x/>
    </i>
    <i r="1">
      <x v="15"/>
    </i>
    <i r="1">
      <x v="19"/>
    </i>
    <i r="1">
      <x v="48"/>
    </i>
    <i r="1">
      <x v="49"/>
    </i>
    <i r="1">
      <x v="55"/>
    </i>
    <i>
      <x v="6"/>
    </i>
    <i r="1">
      <x v="14"/>
    </i>
    <i r="1">
      <x v="22"/>
    </i>
    <i r="1">
      <x v="25"/>
    </i>
    <i r="1">
      <x v="26"/>
    </i>
    <i r="1">
      <x v="27"/>
    </i>
    <i r="1">
      <x v="28"/>
    </i>
    <i r="1">
      <x v="29"/>
    </i>
    <i r="1">
      <x v="30"/>
    </i>
    <i r="1">
      <x v="51"/>
    </i>
    <i>
      <x v="7"/>
    </i>
    <i r="1">
      <x v="1"/>
    </i>
    <i r="1">
      <x v="4"/>
    </i>
    <i r="1">
      <x v="10"/>
    </i>
    <i r="1">
      <x v="11"/>
    </i>
    <i r="1">
      <x v="16"/>
    </i>
    <i r="1">
      <x v="17"/>
    </i>
    <i r="1">
      <x v="23"/>
    </i>
    <i r="1">
      <x v="35"/>
    </i>
    <i r="1">
      <x v="36"/>
    </i>
    <i t="grand">
      <x/>
    </i>
  </rowItems>
  <colFields count="2">
    <field x="3"/>
    <field x="1"/>
  </colFields>
  <colItems count="13">
    <i>
      <x/>
      <x/>
    </i>
    <i r="1">
      <x v="1"/>
    </i>
    <i r="1">
      <x v="2"/>
    </i>
    <i r="1">
      <x v="3"/>
    </i>
    <i r="1">
      <x v="4"/>
    </i>
    <i r="1">
      <x v="5"/>
    </i>
    <i r="1">
      <x v="6"/>
    </i>
    <i r="1">
      <x v="7"/>
    </i>
    <i r="1">
      <x v="8"/>
    </i>
    <i r="1">
      <x v="9"/>
    </i>
    <i r="1">
      <x v="10"/>
    </i>
    <i t="default">
      <x/>
    </i>
    <i t="grand">
      <x/>
    </i>
  </colItems>
  <dataFields count="1">
    <dataField name="Sum of Alt Qty" fld="8" baseField="0" baseItem="0" numFmtId="164"/>
  </dataFields>
  <formats count="13">
    <format dxfId="52">
      <pivotArea type="all" dataOnly="0" outline="0" fieldPosition="0"/>
    </format>
    <format dxfId="53">
      <pivotArea outline="0" collapsedLevelsAreSubtotals="1" fieldPosition="0"/>
    </format>
    <format dxfId="54">
      <pivotArea type="origin" dataOnly="0" labelOnly="1" outline="0" fieldPosition="0"/>
    </format>
    <format dxfId="55">
      <pivotArea field="3" type="button" dataOnly="0" labelOnly="1" outline="0" axis="axisCol" fieldPosition="0"/>
    </format>
    <format dxfId="56">
      <pivotArea field="1" type="button" dataOnly="0" labelOnly="1" outline="0" axis="axisCol" fieldPosition="1"/>
    </format>
    <format dxfId="57">
      <pivotArea type="topRight" dataOnly="0" labelOnly="1" outline="0" fieldPosition="0"/>
    </format>
    <format dxfId="58">
      <pivotArea field="7" type="button" dataOnly="0" labelOnly="1" outline="0" axis="axisRow" fieldPosition="1"/>
    </format>
    <format dxfId="59">
      <pivotArea dataOnly="0" labelOnly="1" fieldPosition="0">
        <references count="1">
          <reference field="7" count="0"/>
        </references>
      </pivotArea>
    </format>
    <format dxfId="60">
      <pivotArea dataOnly="0" labelOnly="1" grandRow="1" outline="0" fieldPosition="0"/>
    </format>
    <format dxfId="61">
      <pivotArea dataOnly="0" labelOnly="1" fieldPosition="0">
        <references count="1">
          <reference field="3" count="0"/>
        </references>
      </pivotArea>
    </format>
    <format dxfId="62">
      <pivotArea dataOnly="0" labelOnly="1" fieldPosition="0">
        <references count="1">
          <reference field="3" count="0" defaultSubtotal="1"/>
        </references>
      </pivotArea>
    </format>
    <format dxfId="63">
      <pivotArea dataOnly="0" labelOnly="1" grandCol="1" outline="0" fieldPosition="0"/>
    </format>
    <format dxfId="64">
      <pivotArea dataOnly="0" labelOnly="1" fieldPosition="0">
        <references count="2">
          <reference field="1" count="8">
            <x v="0"/>
            <x v="1"/>
            <x v="2"/>
            <x v="3"/>
            <x v="4"/>
            <x v="5"/>
            <x v="6"/>
            <x v="7"/>
          </reference>
          <reference field="3"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CD386D-FFC9-4BFB-B1E3-2AE6B853BBA9}" name="PivotTable1"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N79" firstHeaderRow="1" firstDataRow="3" firstDataCol="1"/>
  <pivotFields count="19">
    <pivotField numFmtId="14" showAll="0">
      <items count="136">
        <item x="0"/>
        <item x="1"/>
        <item x="2"/>
        <item x="3"/>
        <item x="5"/>
        <item x="6"/>
        <item x="13"/>
        <item x="15"/>
        <item x="16"/>
        <item x="18"/>
        <item x="19"/>
        <item x="21"/>
        <item x="22"/>
        <item x="23"/>
        <item x="24"/>
        <item x="26"/>
        <item x="27"/>
        <item x="28"/>
        <item x="30"/>
        <item x="31"/>
        <item x="32"/>
        <item x="33"/>
        <item x="34"/>
        <item x="35"/>
        <item x="36"/>
        <item x="39"/>
        <item x="40"/>
        <item x="41"/>
        <item x="42"/>
        <item x="43"/>
        <item x="46"/>
        <item x="47"/>
        <item x="48"/>
        <item x="50"/>
        <item x="51"/>
        <item x="52"/>
        <item x="53"/>
        <item x="54"/>
        <item x="55"/>
        <item x="56"/>
        <item x="57"/>
        <item x="58"/>
        <item x="59"/>
        <item x="61"/>
        <item x="63"/>
        <item x="64"/>
        <item x="65"/>
        <item x="66"/>
        <item x="67"/>
        <item x="68"/>
        <item x="69"/>
        <item x="71"/>
        <item x="72"/>
        <item x="73"/>
        <item x="74"/>
        <item x="75"/>
        <item x="76"/>
        <item x="77"/>
        <item x="78"/>
        <item x="79"/>
        <item x="81"/>
        <item x="82"/>
        <item x="83"/>
        <item x="85"/>
        <item x="86"/>
        <item x="87"/>
        <item x="89"/>
        <item x="90"/>
        <item x="91"/>
        <item x="92"/>
        <item x="94"/>
        <item x="95"/>
        <item x="97"/>
        <item x="99"/>
        <item x="100"/>
        <item x="102"/>
        <item x="103"/>
        <item x="104"/>
        <item x="105"/>
        <item x="106"/>
        <item x="107"/>
        <item x="110"/>
        <item x="111"/>
        <item x="114"/>
        <item x="115"/>
        <item x="116"/>
        <item x="117"/>
        <item x="118"/>
        <item x="119"/>
        <item x="120"/>
        <item x="4"/>
        <item x="7"/>
        <item x="8"/>
        <item x="9"/>
        <item x="10"/>
        <item x="11"/>
        <item x="12"/>
        <item x="14"/>
        <item x="17"/>
        <item x="20"/>
        <item x="25"/>
        <item x="29"/>
        <item x="37"/>
        <item x="38"/>
        <item x="44"/>
        <item x="45"/>
        <item x="49"/>
        <item x="60"/>
        <item x="62"/>
        <item x="70"/>
        <item x="80"/>
        <item x="84"/>
        <item x="88"/>
        <item x="93"/>
        <item x="96"/>
        <item x="98"/>
        <item x="101"/>
        <item x="108"/>
        <item x="109"/>
        <item x="112"/>
        <item x="113"/>
        <item x="121"/>
        <item x="122"/>
        <item x="123"/>
        <item x="124"/>
        <item x="125"/>
        <item x="126"/>
        <item x="127"/>
        <item x="128"/>
        <item x="129"/>
        <item x="130"/>
        <item x="131"/>
        <item x="132"/>
        <item x="133"/>
        <item x="134"/>
        <item t="default"/>
      </items>
    </pivotField>
    <pivotField axis="axisCol" showAll="0">
      <items count="12">
        <item x="0"/>
        <item x="3"/>
        <item x="4"/>
        <item x="1"/>
        <item x="2"/>
        <item x="6"/>
        <item x="7"/>
        <item x="5"/>
        <item x="8"/>
        <item x="9"/>
        <item x="10"/>
        <item t="default"/>
      </items>
    </pivotField>
    <pivotField showAll="0">
      <items count="5">
        <item x="0"/>
        <item x="1"/>
        <item x="2"/>
        <item x="3"/>
        <item t="default"/>
      </items>
    </pivotField>
    <pivotField axis="axisCol" showAll="0">
      <items count="2">
        <item x="0"/>
        <item t="default"/>
      </items>
    </pivotField>
    <pivotField showAll="0"/>
    <pivotField showAll="0"/>
    <pivotField axis="axisRow" showAll="0">
      <items count="9">
        <item x="0"/>
        <item x="5"/>
        <item x="4"/>
        <item x="6"/>
        <item x="7"/>
        <item x="3"/>
        <item x="1"/>
        <item x="2"/>
        <item t="default"/>
      </items>
    </pivotField>
    <pivotField axis="axisRow" showAll="0">
      <items count="59">
        <item x="26"/>
        <item x="5"/>
        <item x="10"/>
        <item x="18"/>
        <item x="22"/>
        <item x="19"/>
        <item x="2"/>
        <item x="16"/>
        <item x="20"/>
        <item x="14"/>
        <item x="23"/>
        <item x="28"/>
        <item x="0"/>
        <item x="9"/>
        <item x="13"/>
        <item x="25"/>
        <item x="7"/>
        <item x="8"/>
        <item x="17"/>
        <item x="31"/>
        <item x="11"/>
        <item x="30"/>
        <item x="12"/>
        <item x="24"/>
        <item x="21"/>
        <item x="54"/>
        <item x="55"/>
        <item x="1"/>
        <item x="3"/>
        <item x="4"/>
        <item x="6"/>
        <item x="15"/>
        <item x="27"/>
        <item x="29"/>
        <item x="32"/>
        <item x="33"/>
        <item x="34"/>
        <item x="35"/>
        <item x="36"/>
        <item x="37"/>
        <item x="38"/>
        <item x="39"/>
        <item x="40"/>
        <item x="41"/>
        <item x="42"/>
        <item x="43"/>
        <item x="44"/>
        <item x="45"/>
        <item x="46"/>
        <item x="47"/>
        <item x="48"/>
        <item x="53"/>
        <item x="49"/>
        <item x="50"/>
        <item x="51"/>
        <item x="52"/>
        <item x="56"/>
        <item x="57"/>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showAll="0" defaultSubtotal="0"/>
    <pivotField showAll="0" defaultSubtotal="0"/>
    <pivotField showAll="0" defaultSubtotal="0">
      <items count="4">
        <item x="1"/>
        <item x="2"/>
        <item x="0"/>
        <item x="3"/>
      </items>
    </pivotField>
  </pivotFields>
  <rowFields count="2">
    <field x="6"/>
    <field x="7"/>
  </rowFields>
  <rowItems count="67">
    <i>
      <x/>
    </i>
    <i r="1">
      <x v="2"/>
    </i>
    <i r="1">
      <x v="3"/>
    </i>
    <i r="1">
      <x v="5"/>
    </i>
    <i r="1">
      <x v="6"/>
    </i>
    <i r="1">
      <x v="7"/>
    </i>
    <i r="1">
      <x v="8"/>
    </i>
    <i r="1">
      <x v="9"/>
    </i>
    <i r="1">
      <x v="12"/>
    </i>
    <i r="1">
      <x v="13"/>
    </i>
    <i r="1">
      <x v="18"/>
    </i>
    <i r="1">
      <x v="20"/>
    </i>
    <i r="1">
      <x v="24"/>
    </i>
    <i r="1">
      <x v="31"/>
    </i>
    <i r="1">
      <x v="32"/>
    </i>
    <i r="1">
      <x v="34"/>
    </i>
    <i r="1">
      <x v="37"/>
    </i>
    <i r="1">
      <x v="38"/>
    </i>
    <i r="1">
      <x v="39"/>
    </i>
    <i r="1">
      <x v="40"/>
    </i>
    <i r="1">
      <x v="41"/>
    </i>
    <i r="1">
      <x v="42"/>
    </i>
    <i r="1">
      <x v="43"/>
    </i>
    <i r="1">
      <x v="44"/>
    </i>
    <i r="1">
      <x v="46"/>
    </i>
    <i r="1">
      <x v="47"/>
    </i>
    <i r="1">
      <x v="50"/>
    </i>
    <i>
      <x v="1"/>
    </i>
    <i r="1">
      <x v="45"/>
    </i>
    <i>
      <x v="2"/>
    </i>
    <i r="1">
      <x v="21"/>
    </i>
    <i r="1">
      <x v="33"/>
    </i>
    <i>
      <x v="3"/>
    </i>
    <i r="1">
      <x v="52"/>
    </i>
    <i r="1">
      <x v="53"/>
    </i>
    <i r="1">
      <x v="54"/>
    </i>
    <i>
      <x v="4"/>
    </i>
    <i r="1">
      <x v="56"/>
    </i>
    <i r="1">
      <x v="57"/>
    </i>
    <i>
      <x v="5"/>
    </i>
    <i r="1">
      <x/>
    </i>
    <i r="1">
      <x v="15"/>
    </i>
    <i r="1">
      <x v="19"/>
    </i>
    <i r="1">
      <x v="48"/>
    </i>
    <i r="1">
      <x v="49"/>
    </i>
    <i r="1">
      <x v="55"/>
    </i>
    <i>
      <x v="6"/>
    </i>
    <i r="1">
      <x v="14"/>
    </i>
    <i r="1">
      <x v="22"/>
    </i>
    <i r="1">
      <x v="25"/>
    </i>
    <i r="1">
      <x v="26"/>
    </i>
    <i r="1">
      <x v="27"/>
    </i>
    <i r="1">
      <x v="28"/>
    </i>
    <i r="1">
      <x v="29"/>
    </i>
    <i r="1">
      <x v="30"/>
    </i>
    <i r="1">
      <x v="51"/>
    </i>
    <i>
      <x v="7"/>
    </i>
    <i r="1">
      <x v="1"/>
    </i>
    <i r="1">
      <x v="4"/>
    </i>
    <i r="1">
      <x v="10"/>
    </i>
    <i r="1">
      <x v="11"/>
    </i>
    <i r="1">
      <x v="16"/>
    </i>
    <i r="1">
      <x v="17"/>
    </i>
    <i r="1">
      <x v="23"/>
    </i>
    <i r="1">
      <x v="35"/>
    </i>
    <i r="1">
      <x v="36"/>
    </i>
    <i t="grand">
      <x/>
    </i>
  </rowItems>
  <colFields count="2">
    <field x="3"/>
    <field x="1"/>
  </colFields>
  <colItems count="13">
    <i>
      <x/>
      <x/>
    </i>
    <i r="1">
      <x v="1"/>
    </i>
    <i r="1">
      <x v="2"/>
    </i>
    <i r="1">
      <x v="3"/>
    </i>
    <i r="1">
      <x v="4"/>
    </i>
    <i r="1">
      <x v="5"/>
    </i>
    <i r="1">
      <x v="6"/>
    </i>
    <i r="1">
      <x v="7"/>
    </i>
    <i r="1">
      <x v="8"/>
    </i>
    <i r="1">
      <x v="9"/>
    </i>
    <i r="1">
      <x v="10"/>
    </i>
    <i t="default">
      <x/>
    </i>
    <i t="grand">
      <x/>
    </i>
  </colItems>
  <dataFields count="1">
    <dataField name="Sum of Total Amount" fld="15" baseField="0" baseItem="0" numFmtId="164"/>
  </dataFields>
  <formats count="13">
    <format dxfId="337">
      <pivotArea type="all" dataOnly="0" outline="0" fieldPosition="0"/>
    </format>
    <format dxfId="336">
      <pivotArea outline="0" collapsedLevelsAreSubtotals="1" fieldPosition="0"/>
    </format>
    <format dxfId="335">
      <pivotArea type="origin" dataOnly="0" labelOnly="1" outline="0" fieldPosition="0"/>
    </format>
    <format dxfId="334">
      <pivotArea field="3" type="button" dataOnly="0" labelOnly="1" outline="0" axis="axisCol" fieldPosition="0"/>
    </format>
    <format dxfId="333">
      <pivotArea field="1" type="button" dataOnly="0" labelOnly="1" outline="0" axis="axisCol" fieldPosition="1"/>
    </format>
    <format dxfId="332">
      <pivotArea type="topRight" dataOnly="0" labelOnly="1" outline="0" fieldPosition="0"/>
    </format>
    <format dxfId="331">
      <pivotArea field="7" type="button" dataOnly="0" labelOnly="1" outline="0" axis="axisRow" fieldPosition="1"/>
    </format>
    <format dxfId="330">
      <pivotArea dataOnly="0" labelOnly="1" fieldPosition="0">
        <references count="1">
          <reference field="7" count="0"/>
        </references>
      </pivotArea>
    </format>
    <format dxfId="329">
      <pivotArea dataOnly="0" labelOnly="1" grandRow="1" outline="0" fieldPosition="0"/>
    </format>
    <format dxfId="328">
      <pivotArea dataOnly="0" labelOnly="1" fieldPosition="0">
        <references count="1">
          <reference field="3" count="0"/>
        </references>
      </pivotArea>
    </format>
    <format dxfId="327">
      <pivotArea dataOnly="0" labelOnly="1" fieldPosition="0">
        <references count="1">
          <reference field="3" count="0" defaultSubtotal="1"/>
        </references>
      </pivotArea>
    </format>
    <format dxfId="326">
      <pivotArea dataOnly="0" labelOnly="1" grandCol="1" outline="0" fieldPosition="0"/>
    </format>
    <format dxfId="325">
      <pivotArea dataOnly="0" labelOnly="1" fieldPosition="0">
        <references count="2">
          <reference field="1" count="8">
            <x v="0"/>
            <x v="1"/>
            <x v="2"/>
            <x v="3"/>
            <x v="4"/>
            <x v="5"/>
            <x v="6"/>
            <x v="7"/>
          </reference>
          <reference field="3"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4D869A-49C9-4B98-A997-BC1A52CB006C}" name="PivotTable3"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 firstHeaderRow="1" firstDataRow="1" firstDataCol="1" rowPageCount="2" colPageCount="1"/>
  <pivotFields count="19">
    <pivotField numFmtId="14" showAll="0">
      <items count="480">
        <item m="1" x="333"/>
        <item m="1" x="431"/>
        <item m="1" x="224"/>
        <item m="1" x="376"/>
        <item m="1" x="174"/>
        <item m="1" x="323"/>
        <item m="1" x="271"/>
        <item m="1" x="356"/>
        <item m="1" x="313"/>
        <item m="1" x="253"/>
        <item m="1" x="399"/>
        <item m="1" x="195"/>
        <item m="1" x="144"/>
        <item m="1" x="234"/>
        <item m="1" x="386"/>
        <item m="1" x="329"/>
        <item m="1" x="127"/>
        <item m="1" x="282"/>
        <item m="1" x="217"/>
        <item m="1" x="370"/>
        <item m="1" x="169"/>
        <item m="1" x="317"/>
        <item m="1" x="467"/>
        <item m="1" x="261"/>
        <item m="1" x="203"/>
        <item m="1" x="352"/>
        <item m="1" x="157"/>
        <item m="1" x="306"/>
        <item m="1" x="421"/>
        <item m="1" x="214"/>
        <item m="1" x="365"/>
        <item m="1" x="461"/>
        <item m="1" x="255"/>
        <item m="1" x="405"/>
        <item m="1" x="199"/>
        <item m="1" x="347"/>
        <item m="1" x="149"/>
        <item m="1" x="448"/>
        <item m="1" x="240"/>
        <item m="1" x="185"/>
        <item m="1" x="334"/>
        <item m="1" x="432"/>
        <item m="1" x="225"/>
        <item m="1" x="377"/>
        <item m="1" x="175"/>
        <item m="1" x="324"/>
        <item m="1" x="444"/>
        <item m="1" x="235"/>
        <item m="1" x="387"/>
        <item m="1" x="184"/>
        <item m="1" x="283"/>
        <item m="1" x="427"/>
        <item m="1" x="218"/>
        <item m="1" x="371"/>
        <item m="1" x="170"/>
        <item m="1" x="262"/>
        <item m="1" x="409"/>
        <item m="1" x="353"/>
        <item m="1" x="158"/>
        <item m="1" x="307"/>
        <item m="1" x="394"/>
        <item m="1" x="189"/>
        <item m="1" x="340"/>
        <item m="1" x="137"/>
        <item m="1" x="291"/>
        <item m="1" x="231"/>
        <item m="1" x="462"/>
        <item m="1" x="406"/>
        <item m="1" x="150"/>
        <item m="1" x="301"/>
        <item m="1" x="449"/>
        <item m="1" x="241"/>
        <item m="1" x="389"/>
        <item m="1" x="186"/>
        <item m="1" x="131"/>
        <item m="1" x="287"/>
        <item m="1" x="433"/>
        <item m="1" x="226"/>
        <item m="1" x="378"/>
        <item m="1" x="176"/>
        <item m="1" x="474"/>
        <item m="1" x="272"/>
        <item m="1" x="415"/>
        <item m="1" x="209"/>
        <item m="1" x="357"/>
        <item m="1" x="400"/>
        <item m="1" x="428"/>
        <item m="1" x="468"/>
        <item m="1" x="263"/>
        <item m="1" x="410"/>
        <item m="1" x="204"/>
        <item m="1" x="247"/>
        <item m="1" x="395"/>
        <item m="1" x="190"/>
        <item m="1" x="138"/>
        <item m="1" x="438"/>
        <item m="1" x="232"/>
        <item m="1" x="381"/>
        <item m="1" x="182"/>
        <item m="1" x="121"/>
        <item m="1" x="277"/>
        <item m="1" x="422"/>
        <item m="1" x="166"/>
        <item m="1" x="335"/>
        <item m="1" x="132"/>
        <item m="1" x="288"/>
        <item m="1" x="434"/>
        <item m="1" x="177"/>
        <item m="1" x="325"/>
        <item m="1" x="475"/>
        <item m="1" x="273"/>
        <item m="1" x="416"/>
        <item m="1" x="358"/>
        <item m="1" x="163"/>
        <item m="1" x="314"/>
        <item m="1" x="401"/>
        <item m="1" x="145"/>
        <item m="1" x="297"/>
        <item m="1" x="445"/>
        <item m="1" x="236"/>
        <item m="1" x="388"/>
        <item m="1" x="330"/>
        <item m="1" x="159"/>
        <item m="1" x="308"/>
        <item m="1" x="191"/>
        <item m="1" x="341"/>
        <item m="1" x="139"/>
        <item m="1" x="439"/>
        <item m="1" x="382"/>
        <item m="1" x="423"/>
        <item m="1" x="366"/>
        <item m="1" x="167"/>
        <item m="1" x="316"/>
        <item m="1" x="463"/>
        <item m="1" x="256"/>
        <item m="1" x="348"/>
        <item m="1" x="151"/>
        <item m="1" x="302"/>
        <item m="1" x="450"/>
        <item m="1" x="417"/>
        <item m="1" x="210"/>
        <item m="1" x="359"/>
        <item m="1" x="402"/>
        <item m="1" x="196"/>
        <item m="1" x="343"/>
        <item m="1" x="146"/>
        <item m="1" x="298"/>
        <item m="1" x="237"/>
        <item m="1" x="331"/>
        <item m="1" x="128"/>
        <item m="1" x="219"/>
        <item m="1" x="171"/>
        <item m="1" x="318"/>
        <item m="1" x="469"/>
        <item m="1" x="264"/>
        <item m="1" x="292"/>
        <item m="1" x="383"/>
        <item m="1" x="122"/>
        <item m="1" x="278"/>
        <item m="1" x="424"/>
        <item m="1" x="215"/>
        <item m="1" x="367"/>
        <item m="1" x="464"/>
        <item m="1" x="257"/>
        <item m="1" x="407"/>
        <item m="1" x="200"/>
        <item m="1" x="349"/>
        <item m="1" x="152"/>
        <item m="1" x="451"/>
        <item m="1" x="242"/>
        <item m="1" x="390"/>
        <item m="1" x="187"/>
        <item m="1" x="336"/>
        <item m="1" x="133"/>
        <item m="1" x="227"/>
        <item m="1" x="458"/>
        <item m="1" x="147"/>
        <item m="1" x="299"/>
        <item m="1" x="446"/>
        <item m="1" x="220"/>
        <item m="1" x="372"/>
        <item m="1" x="172"/>
        <item m="1" x="265"/>
        <item m="1" x="411"/>
        <item m="1" x="205"/>
        <item m="1" x="354"/>
        <item m="1" x="160"/>
        <item m="1" x="455"/>
        <item m="1" x="248"/>
        <item m="1" x="396"/>
        <item m="1" x="192"/>
        <item m="1" x="153"/>
        <item m="1" x="452"/>
        <item m="1" x="391"/>
        <item m="1" x="337"/>
        <item m="1" x="134"/>
        <item m="1" x="228"/>
        <item m="1" x="379"/>
        <item m="1" x="476"/>
        <item m="1" x="274"/>
        <item m="1" x="418"/>
        <item m="1" x="211"/>
        <item m="1" x="360"/>
        <item m="1" x="284"/>
        <item m="1" x="429"/>
        <item m="1" x="373"/>
        <item m="1" x="319"/>
        <item m="1" x="470"/>
        <item m="1" x="266"/>
        <item m="1" x="355"/>
        <item m="1" x="309"/>
        <item m="1" x="456"/>
        <item m="1" x="249"/>
        <item m="1" x="397"/>
        <item m="1" x="140"/>
        <item m="1" x="293"/>
        <item m="1" x="440"/>
        <item m="1" x="233"/>
        <item m="1" x="327"/>
        <item m="1" x="123"/>
        <item m="1" x="279"/>
        <item m="1" x="425"/>
        <item m="1" x="368"/>
        <item m="1" x="465"/>
        <item m="1" x="258"/>
        <item m="1" x="201"/>
        <item m="1" x="350"/>
        <item m="1" x="303"/>
        <item m="1" x="453"/>
        <item m="1" x="243"/>
        <item m="1" x="392"/>
        <item m="1" x="338"/>
        <item m="1" x="289"/>
        <item m="1" x="435"/>
        <item m="1" x="229"/>
        <item m="1" x="380"/>
        <item m="1" x="178"/>
        <item m="1" x="275"/>
        <item m="1" x="419"/>
        <item m="1" x="212"/>
        <item m="1" x="361"/>
        <item m="1" x="164"/>
        <item m="1" x="315"/>
        <item m="1" x="332"/>
        <item m="1" x="285"/>
        <item m="1" x="430"/>
        <item m="1" x="221"/>
        <item m="1" x="320"/>
        <item m="1" x="471"/>
        <item m="1" x="267"/>
        <item m="1" x="412"/>
        <item m="1" x="206"/>
        <item m="1" x="161"/>
        <item m="1" x="310"/>
        <item m="1" x="250"/>
        <item m="1" x="398"/>
        <item m="1" x="193"/>
        <item m="1" x="141"/>
        <item m="1" x="294"/>
        <item m="1" x="441"/>
        <item m="1" x="183"/>
        <item m="1" x="154"/>
        <item m="1" x="454"/>
        <item m="1" x="244"/>
        <item m="1" x="188"/>
        <item m="1" x="135"/>
        <item m="1" x="290"/>
        <item m="1" x="436"/>
        <item m="1" x="230"/>
        <item m="1" x="179"/>
        <item m="1" x="477"/>
        <item m="1" x="276"/>
        <item m="1" x="420"/>
        <item m="1" x="213"/>
        <item m="1" x="362"/>
        <item m="1" x="165"/>
        <item m="1" x="459"/>
        <item m="1" x="254"/>
        <item m="1" x="403"/>
        <item m="1" x="197"/>
        <item m="1" x="344"/>
        <item m="1" x="148"/>
        <item m="1" x="447"/>
        <item m="1" x="238"/>
        <item m="1" x="321"/>
        <item m="1" x="268"/>
        <item m="1" x="413"/>
        <item x="0"/>
        <item x="1"/>
        <item x="2"/>
        <item m="1" x="457"/>
        <item m="1" x="251"/>
        <item x="3"/>
        <item m="1" x="442"/>
        <item x="5"/>
        <item m="1" x="384"/>
        <item x="6"/>
        <item m="1" x="408"/>
        <item x="13"/>
        <item m="1" x="180"/>
        <item x="15"/>
        <item x="16"/>
        <item m="1" x="363"/>
        <item m="1" x="460"/>
        <item m="1" x="345"/>
        <item x="18"/>
        <item x="19"/>
        <item x="21"/>
        <item m="1" x="129"/>
        <item m="1" x="286"/>
        <item m="1" x="222"/>
        <item m="1" x="374"/>
        <item m="1" x="252"/>
        <item x="22"/>
        <item m="1" x="342"/>
        <item m="1" x="142"/>
        <item x="23"/>
        <item m="1" x="385"/>
        <item x="24"/>
        <item m="1" x="124"/>
        <item m="1" x="280"/>
        <item m="1" x="216"/>
        <item m="1" x="369"/>
        <item m="1" x="168"/>
        <item x="26"/>
        <item m="1" x="466"/>
        <item m="1" x="259"/>
        <item x="27"/>
        <item m="1" x="351"/>
        <item m="1" x="155"/>
        <item m="1" x="305"/>
        <item x="28"/>
        <item m="1" x="245"/>
        <item x="30"/>
        <item m="1" x="364"/>
        <item x="31"/>
        <item x="32"/>
        <item x="33"/>
        <item x="34"/>
        <item m="1" x="198"/>
        <item m="1" x="346"/>
        <item x="35"/>
        <item m="1" x="239"/>
        <item x="36"/>
        <item m="1" x="375"/>
        <item x="39"/>
        <item x="40"/>
        <item m="1" x="472"/>
        <item m="1" x="269"/>
        <item m="1" x="207"/>
        <item x="41"/>
        <item x="42"/>
        <item m="1" x="311"/>
        <item x="43"/>
        <item m="1" x="125"/>
        <item m="1" x="426"/>
        <item x="46"/>
        <item x="47"/>
        <item x="48"/>
        <item m="1" x="260"/>
        <item m="1" x="202"/>
        <item x="50"/>
        <item x="51"/>
        <item x="52"/>
        <item m="1" x="246"/>
        <item m="1" x="393"/>
        <item x="53"/>
        <item m="1" x="339"/>
        <item m="1" x="136"/>
        <item x="54"/>
        <item m="1" x="181"/>
        <item m="1" x="326"/>
        <item m="1" x="478"/>
        <item x="55"/>
        <item x="56"/>
        <item m="1" x="300"/>
        <item x="57"/>
        <item x="58"/>
        <item x="59"/>
        <item m="1" x="130"/>
        <item m="1" x="173"/>
        <item x="61"/>
        <item m="1" x="414"/>
        <item m="1" x="208"/>
        <item x="63"/>
        <item x="64"/>
        <item x="65"/>
        <item x="66"/>
        <item x="67"/>
        <item m="1" x="194"/>
        <item m="1" x="295"/>
        <item m="1" x="156"/>
        <item x="68"/>
        <item x="69"/>
        <item x="71"/>
        <item x="72"/>
        <item x="73"/>
        <item m="1" x="437"/>
        <item x="74"/>
        <item x="75"/>
        <item x="76"/>
        <item m="1" x="404"/>
        <item x="77"/>
        <item m="1" x="223"/>
        <item x="78"/>
        <item x="79"/>
        <item m="1" x="322"/>
        <item m="1" x="473"/>
        <item m="1" x="270"/>
        <item m="1" x="162"/>
        <item m="1" x="312"/>
        <item x="81"/>
        <item x="82"/>
        <item m="1" x="143"/>
        <item m="1" x="296"/>
        <item m="1" x="443"/>
        <item x="83"/>
        <item m="1" x="328"/>
        <item m="1" x="126"/>
        <item m="1" x="281"/>
        <item x="85"/>
        <item x="86"/>
        <item x="87"/>
        <item m="1" x="304"/>
        <item x="4"/>
        <item x="7"/>
        <item x="8"/>
        <item x="9"/>
        <item x="10"/>
        <item x="11"/>
        <item x="12"/>
        <item x="14"/>
        <item x="17"/>
        <item x="20"/>
        <item x="25"/>
        <item x="29"/>
        <item x="37"/>
        <item x="38"/>
        <item x="44"/>
        <item x="45"/>
        <item x="49"/>
        <item x="60"/>
        <item x="62"/>
        <item x="70"/>
        <item x="80"/>
        <item x="84"/>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axis="axisPage" multipleItemSelectionAllowed="1" showAll="0">
      <items count="27">
        <item m="1" x="25"/>
        <item x="0"/>
        <item m="1" x="16"/>
        <item x="4"/>
        <item m="1" x="18"/>
        <item h="1" m="1" x="12"/>
        <item m="1" x="24"/>
        <item h="1" m="1" x="21"/>
        <item m="1" x="23"/>
        <item h="1" m="1" x="20"/>
        <item m="1" x="14"/>
        <item x="3"/>
        <item m="1" x="17"/>
        <item x="2"/>
        <item m="1" x="15"/>
        <item h="1" m="1" x="10"/>
        <item m="1" x="19"/>
        <item x="1"/>
        <item m="1" x="11"/>
        <item x="7"/>
        <item m="1" x="13"/>
        <item x="6"/>
        <item m="1" x="22"/>
        <item x="5"/>
        <item h="1" x="8"/>
        <item h="1" x="9"/>
        <item t="default"/>
      </items>
    </pivotField>
    <pivotField showAll="0"/>
    <pivotField axis="axisPage" multipleItemSelectionAllowed="1" showAll="0">
      <items count="4">
        <item h="1" m="1" x="2"/>
        <item m="1" x="1"/>
        <item h="1" x="0"/>
        <item t="default"/>
      </items>
    </pivotField>
    <pivotField showAll="0"/>
    <pivotField showAll="0"/>
    <pivotField showAll="0"/>
    <pivotField axis="axisRow" showAll="0">
      <items count="82">
        <item m="1" x="76"/>
        <item m="1" x="80"/>
        <item m="1" x="67"/>
        <item m="1" x="58"/>
        <item m="1" x="75"/>
        <item m="1" x="74"/>
        <item m="1" x="60"/>
        <item m="1" x="63"/>
        <item m="1" x="71"/>
        <item m="1" x="54"/>
        <item m="1" x="57"/>
        <item m="1" x="65"/>
        <item m="1" x="56"/>
        <item m="1" x="62"/>
        <item m="1" x="53"/>
        <item m="1" x="66"/>
        <item m="1" x="77"/>
        <item m="1" x="55"/>
        <item m="1" x="68"/>
        <item m="1" x="64"/>
        <item m="1" x="59"/>
        <item m="1" x="78"/>
        <item m="1" x="72"/>
        <item m="1" x="61"/>
        <item x="26"/>
        <item x="5"/>
        <item x="10"/>
        <item x="18"/>
        <item x="22"/>
        <item x="19"/>
        <item x="2"/>
        <item x="16"/>
        <item x="20"/>
        <item x="14"/>
        <item x="23"/>
        <item x="28"/>
        <item x="0"/>
        <item x="9"/>
        <item x="13"/>
        <item x="25"/>
        <item x="7"/>
        <item x="8"/>
        <item x="17"/>
        <item x="31"/>
        <item x="11"/>
        <item x="30"/>
        <item x="12"/>
        <item x="24"/>
        <item m="1" x="69"/>
        <item x="21"/>
        <item m="1" x="70"/>
        <item m="1" x="79"/>
        <item x="1"/>
        <item x="3"/>
        <item x="4"/>
        <item x="6"/>
        <item x="15"/>
        <item x="27"/>
        <item x="29"/>
        <item x="32"/>
        <item x="33"/>
        <item x="34"/>
        <item x="35"/>
        <item x="36"/>
        <item x="37"/>
        <item x="38"/>
        <item x="39"/>
        <item x="40"/>
        <item x="41"/>
        <item x="42"/>
        <item x="43"/>
        <item x="44"/>
        <item x="45"/>
        <item x="46"/>
        <item x="47"/>
        <item x="48"/>
        <item m="1" x="73"/>
        <item x="49"/>
        <item x="50"/>
        <item x="51"/>
        <item x="52"/>
        <item t="default"/>
      </items>
    </pivotField>
    <pivotField numFmtId="164" showAll="0"/>
    <pivotField numFmtId="164" showAll="0"/>
    <pivotField numFmtId="164" showAll="0"/>
    <pivotField numFmtId="164" showAll="0"/>
    <pivotField numFmtId="164" showAll="0"/>
    <pivotField numFmtId="164" showAll="0"/>
    <pivotField numFmtId="164" showAll="0"/>
    <pivotField dataField="1" numFmtId="164" showAll="0"/>
    <pivotField showAll="0" defaultSubtotal="0"/>
    <pivotField showAll="0" defaultSubtotal="0"/>
    <pivotField showAll="0" defaultSubtotal="0">
      <items count="4">
        <item x="1"/>
        <item x="2"/>
        <item x="0"/>
        <item x="3"/>
      </items>
    </pivotField>
  </pivotFields>
  <rowFields count="1">
    <field x="7"/>
  </rowFields>
  <rowItems count="1">
    <i t="grand">
      <x/>
    </i>
  </rowItems>
  <colItems count="1">
    <i/>
  </colItems>
  <pageFields count="2">
    <pageField fld="3" hier="-1"/>
    <pageField fld="1" hier="-1"/>
  </pageFields>
  <dataFields count="1">
    <dataField name="Sum of Total Amount"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 xr10:uid="{D5837A6E-05A9-4608-88E0-161D1B86D812}" sourceName="QTR">
  <pivotTables>
    <pivotTable tabId="4" name="PivotTable1"/>
  </pivotTables>
  <data>
    <tabular pivotCacheId="196544452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 xr10:uid="{0B814C6D-5067-49A5-A1D0-53840E99CC88}" sourceName="FY">
  <pivotTables>
    <pivotTable tabId="4" name="PivotTable1"/>
  </pivotTables>
  <data>
    <tabular pivotCacheId="1965444522">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TR1" xr10:uid="{BA298DAD-DA30-4B49-9D02-C4B6FEF4B95E}" sourceName="QTR">
  <pivotTables>
    <pivotTable tabId="3" name="PivotTable1"/>
  </pivotTables>
  <data>
    <tabular pivotCacheId="1965444522">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1" xr10:uid="{D35DBE3C-01D1-4290-ADF3-DA2BF3854152}" sourceName="FY">
  <pivotTables>
    <pivotTable tabId="3" name="PivotTable1"/>
  </pivotTables>
  <data>
    <tabular pivotCacheId="1965444522">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 1" xr10:uid="{DDC4E482-60CE-4AA1-9570-DEEEDADDE6C1}" cache="Slicer_QTR1" caption="QTR" columnCount="4" rowHeight="209550"/>
  <slicer name="FY 1" xr10:uid="{5F891D41-FFB3-4717-942B-7702B049B07D}" cache="Slicer_FY1" caption="FY" columnCount="3"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TR" xr10:uid="{FFDBA7C5-6D63-42FF-B6D0-6D67E1D84278}" cache="Slicer_QTR" caption="QTR" columnCount="4" rowHeight="209550"/>
  <slicer name="FY" xr10:uid="{DDB37178-7370-4758-A11D-7ECA320AD07B}" cache="Slicer_FY" caption="FY" columnCount="3"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5ED40-D429-4355-BC38-10FAAADADDA8}">
  <dimension ref="A9:O79"/>
  <sheetViews>
    <sheetView tabSelected="1" zoomScale="115" zoomScaleNormal="115" workbookViewId="0">
      <pane xSplit="1" ySplit="11" topLeftCell="B75" activePane="bottomRight" state="frozen"/>
      <selection pane="topRight" activeCell="B1" sqref="B1"/>
      <selection pane="bottomLeft" activeCell="A12" sqref="A12"/>
      <selection pane="bottomRight" activeCell="I78" sqref="I78"/>
    </sheetView>
  </sheetViews>
  <sheetFormatPr defaultRowHeight="11.5" x14ac:dyDescent="0.25"/>
  <cols>
    <col min="1" max="1" width="52.69921875" customWidth="1"/>
    <col min="2" max="2" width="16.59765625" bestFit="1" customWidth="1"/>
    <col min="3" max="3" width="9.09765625" bestFit="1" customWidth="1"/>
    <col min="4" max="4" width="8.8984375" bestFit="1" customWidth="1"/>
    <col min="5" max="5" width="8.19921875" bestFit="1" customWidth="1"/>
    <col min="6" max="6" width="9.09765625" bestFit="1" customWidth="1"/>
    <col min="7" max="7" width="9" bestFit="1" customWidth="1"/>
    <col min="8" max="8" width="8.59765625" bestFit="1" customWidth="1"/>
    <col min="9" max="9" width="9.09765625" bestFit="1" customWidth="1"/>
    <col min="10" max="10" width="9" bestFit="1" customWidth="1"/>
    <col min="11" max="11" width="8.796875" bestFit="1" customWidth="1"/>
    <col min="12" max="12" width="8.8984375" bestFit="1" customWidth="1"/>
    <col min="13" max="13" width="12.5" bestFit="1" customWidth="1"/>
    <col min="14" max="14" width="11.09765625" bestFit="1" customWidth="1"/>
    <col min="15" max="15" width="8.8984375" bestFit="1" customWidth="1"/>
    <col min="16" max="16" width="8.59765625" bestFit="1" customWidth="1"/>
    <col min="17" max="17" width="8.3984375" bestFit="1" customWidth="1"/>
    <col min="18" max="18" width="8.8984375" bestFit="1" customWidth="1"/>
    <col min="19" max="19" width="12" bestFit="1" customWidth="1"/>
    <col min="20" max="20" width="9.3984375" bestFit="1" customWidth="1"/>
    <col min="21" max="28" width="8.8984375" bestFit="1" customWidth="1"/>
    <col min="29" max="29" width="12" bestFit="1" customWidth="1"/>
    <col min="30" max="30" width="10.296875" bestFit="1" customWidth="1"/>
  </cols>
  <sheetData>
    <row r="9" spans="1:15" x14ac:dyDescent="0.25">
      <c r="A9" s="3" t="s">
        <v>25</v>
      </c>
      <c r="B9" s="3" t="s">
        <v>26</v>
      </c>
      <c r="C9" s="4"/>
      <c r="D9" s="4"/>
      <c r="E9" s="4"/>
      <c r="F9" s="4"/>
      <c r="G9" s="4"/>
      <c r="H9" s="4"/>
      <c r="I9" s="4"/>
      <c r="J9" s="4"/>
      <c r="K9" s="4"/>
      <c r="L9" s="4"/>
      <c r="M9" s="4"/>
      <c r="N9" s="4"/>
    </row>
    <row r="10" spans="1:15" x14ac:dyDescent="0.25">
      <c r="A10" s="4"/>
      <c r="B10" s="4" t="s">
        <v>28</v>
      </c>
      <c r="C10" s="4"/>
      <c r="D10" s="4"/>
      <c r="E10" s="4"/>
      <c r="F10" s="4"/>
      <c r="G10" s="4"/>
      <c r="H10" s="4"/>
      <c r="I10" s="4"/>
      <c r="J10" s="4"/>
      <c r="K10" s="4"/>
      <c r="L10" s="4"/>
      <c r="M10" s="4" t="s">
        <v>30</v>
      </c>
      <c r="N10" s="4" t="s">
        <v>24</v>
      </c>
    </row>
    <row r="11" spans="1:15" x14ac:dyDescent="0.25">
      <c r="A11" s="3" t="s">
        <v>23</v>
      </c>
      <c r="B11" s="4" t="s">
        <v>31</v>
      </c>
      <c r="C11" s="4" t="s">
        <v>33</v>
      </c>
      <c r="D11" s="4" t="s">
        <v>32</v>
      </c>
      <c r="E11" s="4" t="s">
        <v>453</v>
      </c>
      <c r="F11" s="4" t="s">
        <v>454</v>
      </c>
      <c r="G11" s="4" t="s">
        <v>455</v>
      </c>
      <c r="H11" s="4" t="s">
        <v>456</v>
      </c>
      <c r="I11" s="4" t="s">
        <v>457</v>
      </c>
      <c r="J11" s="4" t="s">
        <v>458</v>
      </c>
      <c r="K11" s="4" t="s">
        <v>37</v>
      </c>
      <c r="L11" s="4" t="s">
        <v>500</v>
      </c>
      <c r="M11" s="4"/>
      <c r="N11" s="4"/>
      <c r="O11" s="18" t="s">
        <v>501</v>
      </c>
    </row>
    <row r="12" spans="1:15" x14ac:dyDescent="0.25">
      <c r="A12" s="5" t="s">
        <v>503</v>
      </c>
      <c r="B12" s="6">
        <v>84.04</v>
      </c>
      <c r="C12" s="6">
        <v>39.880000000000003</v>
      </c>
      <c r="D12" s="6">
        <v>121.35000000000001</v>
      </c>
      <c r="E12" s="6">
        <v>137.44000000000003</v>
      </c>
      <c r="F12" s="6">
        <v>122.22</v>
      </c>
      <c r="G12" s="6">
        <v>87.799999999999983</v>
      </c>
      <c r="H12" s="6">
        <v>47.71</v>
      </c>
      <c r="I12" s="6">
        <v>18.860000000000003</v>
      </c>
      <c r="J12" s="6">
        <v>97.26</v>
      </c>
      <c r="K12" s="6">
        <v>130.57999999999998</v>
      </c>
      <c r="L12" s="6">
        <v>10.790000000000001</v>
      </c>
      <c r="M12" s="6">
        <v>897.93</v>
      </c>
      <c r="N12" s="6">
        <v>897.93</v>
      </c>
      <c r="O12">
        <f>N12/10</f>
        <v>89.792999999999992</v>
      </c>
    </row>
    <row r="13" spans="1:15" x14ac:dyDescent="0.25">
      <c r="A13" s="21" t="s">
        <v>41</v>
      </c>
      <c r="B13" s="6">
        <v>8.14</v>
      </c>
      <c r="C13" s="6">
        <v>0.21000000000000008</v>
      </c>
      <c r="D13" s="6">
        <v>9.5</v>
      </c>
      <c r="E13" s="6">
        <v>3.17</v>
      </c>
      <c r="F13" s="6">
        <v>5.6099999999999994</v>
      </c>
      <c r="G13" s="6">
        <v>1.25</v>
      </c>
      <c r="H13" s="6">
        <v>1.0900000000000001</v>
      </c>
      <c r="I13" s="6">
        <v>0.06</v>
      </c>
      <c r="J13" s="6">
        <v>3.51</v>
      </c>
      <c r="K13" s="6">
        <v>5.5</v>
      </c>
      <c r="L13" s="6">
        <v>3.4</v>
      </c>
      <c r="M13" s="6">
        <v>41.44</v>
      </c>
      <c r="N13" s="6">
        <v>41.44</v>
      </c>
      <c r="O13">
        <f t="shared" ref="O13:O70" si="0">N13/10</f>
        <v>4.1440000000000001</v>
      </c>
    </row>
    <row r="14" spans="1:15" x14ac:dyDescent="0.25">
      <c r="A14" s="21" t="s">
        <v>42</v>
      </c>
      <c r="B14" s="6">
        <v>4.21</v>
      </c>
      <c r="C14" s="6">
        <v>0.75</v>
      </c>
      <c r="D14" s="6">
        <v>1</v>
      </c>
      <c r="E14" s="6">
        <v>9</v>
      </c>
      <c r="F14" s="6">
        <v>3</v>
      </c>
      <c r="G14" s="6">
        <v>7.89</v>
      </c>
      <c r="H14" s="6">
        <v>3.09</v>
      </c>
      <c r="I14" s="6">
        <v>2.08</v>
      </c>
      <c r="J14" s="6">
        <v>2.7</v>
      </c>
      <c r="K14" s="6">
        <v>8.75</v>
      </c>
      <c r="L14" s="6">
        <v>2.5</v>
      </c>
      <c r="M14" s="6">
        <v>44.970000000000006</v>
      </c>
      <c r="N14" s="6">
        <v>44.970000000000006</v>
      </c>
      <c r="O14">
        <f t="shared" si="0"/>
        <v>4.4970000000000008</v>
      </c>
    </row>
    <row r="15" spans="1:15" x14ac:dyDescent="0.25">
      <c r="A15" s="21" t="s">
        <v>44</v>
      </c>
      <c r="B15" s="6">
        <v>3.1500000000000004</v>
      </c>
      <c r="C15" s="6">
        <v>4</v>
      </c>
      <c r="D15" s="6">
        <v>5.83</v>
      </c>
      <c r="E15" s="6">
        <v>3.5300000000000002</v>
      </c>
      <c r="F15" s="6">
        <v>5.33</v>
      </c>
      <c r="G15" s="6">
        <v>-0.28000000000000003</v>
      </c>
      <c r="H15" s="6">
        <v>0.56000000000000005</v>
      </c>
      <c r="I15" s="6"/>
      <c r="J15" s="6">
        <v>2.98</v>
      </c>
      <c r="K15" s="6">
        <v>5.89</v>
      </c>
      <c r="L15" s="6">
        <v>1.5</v>
      </c>
      <c r="M15" s="6">
        <v>32.49</v>
      </c>
      <c r="N15" s="6">
        <v>32.49</v>
      </c>
      <c r="O15">
        <f t="shared" si="0"/>
        <v>3.2490000000000001</v>
      </c>
    </row>
    <row r="16" spans="1:15" x14ac:dyDescent="0.25">
      <c r="A16" s="21" t="s">
        <v>45</v>
      </c>
      <c r="B16" s="6">
        <v>14.7</v>
      </c>
      <c r="C16" s="6">
        <v>4.68</v>
      </c>
      <c r="D16" s="6">
        <v>10.67</v>
      </c>
      <c r="E16" s="6">
        <v>1.1599999999999999</v>
      </c>
      <c r="F16" s="6">
        <v>20.23</v>
      </c>
      <c r="G16" s="6">
        <v>10.55</v>
      </c>
      <c r="H16" s="6">
        <v>2.2599999999999998</v>
      </c>
      <c r="I16" s="6">
        <v>3.65</v>
      </c>
      <c r="J16" s="6">
        <v>7.9</v>
      </c>
      <c r="K16" s="6">
        <v>7.23</v>
      </c>
      <c r="L16" s="6">
        <v>-1.2499999999999998</v>
      </c>
      <c r="M16" s="6">
        <v>81.780000000000015</v>
      </c>
      <c r="N16" s="6">
        <v>81.780000000000015</v>
      </c>
      <c r="O16">
        <f t="shared" si="0"/>
        <v>8.1780000000000008</v>
      </c>
    </row>
    <row r="17" spans="1:15" x14ac:dyDescent="0.25">
      <c r="A17" s="21" t="s">
        <v>46</v>
      </c>
      <c r="B17" s="6">
        <v>4.04</v>
      </c>
      <c r="C17" s="6">
        <v>2.42</v>
      </c>
      <c r="D17" s="6">
        <v>5.5</v>
      </c>
      <c r="E17" s="6">
        <v>7.7</v>
      </c>
      <c r="F17" s="6">
        <v>2.75</v>
      </c>
      <c r="G17" s="6">
        <v>3.29</v>
      </c>
      <c r="H17" s="6">
        <v>1.79</v>
      </c>
      <c r="I17" s="6"/>
      <c r="J17" s="6">
        <v>3.7199999999999998</v>
      </c>
      <c r="K17" s="6">
        <v>8.58</v>
      </c>
      <c r="L17" s="6">
        <v>1.98</v>
      </c>
      <c r="M17" s="6">
        <v>41.769999999999996</v>
      </c>
      <c r="N17" s="6">
        <v>41.769999999999996</v>
      </c>
      <c r="O17">
        <f t="shared" si="0"/>
        <v>4.1769999999999996</v>
      </c>
    </row>
    <row r="18" spans="1:15" x14ac:dyDescent="0.25">
      <c r="A18" s="21" t="s">
        <v>47</v>
      </c>
      <c r="B18" s="6">
        <v>4.04</v>
      </c>
      <c r="C18" s="6">
        <v>4.9400000000000004</v>
      </c>
      <c r="D18" s="6">
        <v>9.5</v>
      </c>
      <c r="E18" s="6">
        <v>9.2200000000000006</v>
      </c>
      <c r="F18" s="6">
        <v>1.08</v>
      </c>
      <c r="G18" s="6">
        <v>4.5199999999999996</v>
      </c>
      <c r="H18" s="6">
        <v>0.58000000000000007</v>
      </c>
      <c r="I18" s="6">
        <v>1.08</v>
      </c>
      <c r="J18" s="6">
        <v>6.98</v>
      </c>
      <c r="K18" s="6">
        <v>10.5</v>
      </c>
      <c r="L18" s="6">
        <v>2.06</v>
      </c>
      <c r="M18" s="6">
        <v>54.5</v>
      </c>
      <c r="N18" s="6">
        <v>54.5</v>
      </c>
      <c r="O18">
        <f t="shared" si="0"/>
        <v>5.45</v>
      </c>
    </row>
    <row r="19" spans="1:15" x14ac:dyDescent="0.25">
      <c r="A19" s="21" t="s">
        <v>48</v>
      </c>
      <c r="B19" s="6">
        <v>2.71</v>
      </c>
      <c r="C19" s="6">
        <v>1.5</v>
      </c>
      <c r="D19" s="6">
        <v>9.5</v>
      </c>
      <c r="E19" s="6">
        <v>8.0299999999999994</v>
      </c>
      <c r="F19" s="6">
        <v>3.1100000000000003</v>
      </c>
      <c r="G19" s="6">
        <v>3.5</v>
      </c>
      <c r="H19" s="6">
        <v>0.22</v>
      </c>
      <c r="I19" s="6"/>
      <c r="J19" s="6">
        <v>6.49</v>
      </c>
      <c r="K19" s="6">
        <v>7.2299999999999995</v>
      </c>
      <c r="L19" s="6">
        <v>0.66</v>
      </c>
      <c r="M19" s="6">
        <v>42.949999999999996</v>
      </c>
      <c r="N19" s="6">
        <v>42.949999999999996</v>
      </c>
      <c r="O19">
        <f t="shared" si="0"/>
        <v>4.2949999999999999</v>
      </c>
    </row>
    <row r="20" spans="1:15" x14ac:dyDescent="0.25">
      <c r="A20" s="21" t="s">
        <v>51</v>
      </c>
      <c r="B20" s="6">
        <v>8.7000000000000011</v>
      </c>
      <c r="C20" s="6">
        <v>2.5300000000000002</v>
      </c>
      <c r="D20" s="6">
        <v>9.56</v>
      </c>
      <c r="E20" s="6">
        <v>7.07</v>
      </c>
      <c r="F20" s="6">
        <v>2.33</v>
      </c>
      <c r="G20" s="6">
        <v>4.28</v>
      </c>
      <c r="H20" s="6">
        <v>1.03</v>
      </c>
      <c r="I20" s="6">
        <v>0.09</v>
      </c>
      <c r="J20" s="6">
        <v>4.5199999999999996</v>
      </c>
      <c r="K20" s="6">
        <v>7.4399999999999995</v>
      </c>
      <c r="L20" s="6">
        <v>-1.1399999999999999</v>
      </c>
      <c r="M20" s="6">
        <v>46.41</v>
      </c>
      <c r="N20" s="6">
        <v>46.41</v>
      </c>
      <c r="O20">
        <f t="shared" si="0"/>
        <v>4.641</v>
      </c>
    </row>
    <row r="21" spans="1:15" x14ac:dyDescent="0.25">
      <c r="A21" s="21" t="s">
        <v>52</v>
      </c>
      <c r="B21" s="6">
        <v>8.7000000000000011</v>
      </c>
      <c r="C21" s="6">
        <v>1.56</v>
      </c>
      <c r="D21" s="6">
        <v>9.5</v>
      </c>
      <c r="E21" s="6">
        <v>6.97</v>
      </c>
      <c r="F21" s="6">
        <v>6.7800000000000011</v>
      </c>
      <c r="G21" s="6">
        <v>4.5</v>
      </c>
      <c r="H21" s="6">
        <v>1.25</v>
      </c>
      <c r="I21" s="6">
        <v>1.1200000000000001</v>
      </c>
      <c r="J21" s="6">
        <v>7.62</v>
      </c>
      <c r="K21" s="6">
        <v>8.73</v>
      </c>
      <c r="L21" s="6">
        <v>0.41000000000000014</v>
      </c>
      <c r="M21" s="6">
        <v>57.14</v>
      </c>
      <c r="N21" s="6">
        <v>57.14</v>
      </c>
      <c r="O21">
        <f t="shared" si="0"/>
        <v>5.7140000000000004</v>
      </c>
    </row>
    <row r="22" spans="1:15" x14ac:dyDescent="0.25">
      <c r="A22" s="21" t="s">
        <v>57</v>
      </c>
      <c r="B22" s="6">
        <v>4.7000000000000011</v>
      </c>
      <c r="C22" s="6">
        <v>3.56</v>
      </c>
      <c r="D22" s="6">
        <v>9.56</v>
      </c>
      <c r="E22" s="6">
        <v>3.02</v>
      </c>
      <c r="F22" s="6">
        <v>17.09</v>
      </c>
      <c r="G22" s="6">
        <v>2.86</v>
      </c>
      <c r="H22" s="6">
        <v>1.28</v>
      </c>
      <c r="I22" s="6">
        <v>1.34</v>
      </c>
      <c r="J22" s="6">
        <v>7.02</v>
      </c>
      <c r="K22" s="6">
        <v>8.17</v>
      </c>
      <c r="L22" s="6">
        <v>2.98</v>
      </c>
      <c r="M22" s="6">
        <v>61.580000000000005</v>
      </c>
      <c r="N22" s="6">
        <v>61.580000000000005</v>
      </c>
      <c r="O22">
        <f t="shared" si="0"/>
        <v>6.1580000000000004</v>
      </c>
    </row>
    <row r="23" spans="1:15" x14ac:dyDescent="0.25">
      <c r="A23" s="21" t="s">
        <v>59</v>
      </c>
      <c r="B23" s="6">
        <v>9.7000000000000011</v>
      </c>
      <c r="C23" s="6">
        <v>6.6</v>
      </c>
      <c r="D23" s="6">
        <v>9.64</v>
      </c>
      <c r="E23" s="6">
        <v>8.16</v>
      </c>
      <c r="F23" s="6">
        <v>7.97</v>
      </c>
      <c r="G23" s="6">
        <v>10.299999999999999</v>
      </c>
      <c r="H23" s="6">
        <v>2.25</v>
      </c>
      <c r="I23" s="6">
        <v>3.6100000000000003</v>
      </c>
      <c r="J23" s="6">
        <v>7.3400000000000007</v>
      </c>
      <c r="K23" s="6">
        <v>1.5</v>
      </c>
      <c r="L23" s="6">
        <v>-2.88</v>
      </c>
      <c r="M23" s="6">
        <v>64.19</v>
      </c>
      <c r="N23" s="6">
        <v>64.19</v>
      </c>
      <c r="O23">
        <f t="shared" si="0"/>
        <v>6.4189999999999996</v>
      </c>
    </row>
    <row r="24" spans="1:15" x14ac:dyDescent="0.25">
      <c r="A24" s="21" t="s">
        <v>63</v>
      </c>
      <c r="B24" s="6">
        <v>4.3100000000000005</v>
      </c>
      <c r="C24" s="6">
        <v>1.63</v>
      </c>
      <c r="D24" s="6">
        <v>2</v>
      </c>
      <c r="E24" s="6">
        <v>7.05</v>
      </c>
      <c r="F24" s="6">
        <v>2</v>
      </c>
      <c r="G24" s="6">
        <v>2.69</v>
      </c>
      <c r="H24" s="6">
        <v>2.5</v>
      </c>
      <c r="I24" s="6"/>
      <c r="J24" s="6">
        <v>2.1100000000000003</v>
      </c>
      <c r="K24" s="6">
        <v>3.63</v>
      </c>
      <c r="L24" s="6">
        <v>-0.3</v>
      </c>
      <c r="M24" s="6">
        <v>27.62</v>
      </c>
      <c r="N24" s="6">
        <v>27.62</v>
      </c>
      <c r="O24">
        <f t="shared" si="0"/>
        <v>2.762</v>
      </c>
    </row>
    <row r="25" spans="1:15" x14ac:dyDescent="0.25">
      <c r="A25" s="21" t="s">
        <v>87</v>
      </c>
      <c r="B25" s="6">
        <v>1.7100000000000002</v>
      </c>
      <c r="C25" s="6">
        <v>1.5</v>
      </c>
      <c r="D25" s="6">
        <v>6.09</v>
      </c>
      <c r="E25" s="6">
        <v>3.51</v>
      </c>
      <c r="F25" s="6"/>
      <c r="G25" s="6">
        <v>1.67</v>
      </c>
      <c r="H25" s="6">
        <v>1.17</v>
      </c>
      <c r="I25" s="6">
        <v>0.06</v>
      </c>
      <c r="J25" s="6">
        <v>6.379999999999999</v>
      </c>
      <c r="K25" s="6">
        <v>4.7799999999999994</v>
      </c>
      <c r="L25" s="6">
        <v>1.55</v>
      </c>
      <c r="M25" s="6">
        <v>28.419999999999998</v>
      </c>
      <c r="N25" s="6">
        <v>28.419999999999998</v>
      </c>
      <c r="O25">
        <f t="shared" si="0"/>
        <v>2.8419999999999996</v>
      </c>
    </row>
    <row r="26" spans="1:15" x14ac:dyDescent="0.25">
      <c r="A26" s="21" t="s">
        <v>89</v>
      </c>
      <c r="B26" s="6">
        <v>5.23</v>
      </c>
      <c r="C26" s="6">
        <v>4</v>
      </c>
      <c r="D26" s="6">
        <v>12.5</v>
      </c>
      <c r="E26" s="6">
        <v>3.21</v>
      </c>
      <c r="F26" s="6">
        <v>1</v>
      </c>
      <c r="G26" s="6">
        <v>0.75</v>
      </c>
      <c r="H26" s="6">
        <v>0.28999999999999998</v>
      </c>
      <c r="I26" s="6">
        <v>1.1200000000000001</v>
      </c>
      <c r="J26" s="6">
        <v>4.53</v>
      </c>
      <c r="K26" s="6">
        <v>4</v>
      </c>
      <c r="L26" s="6">
        <v>0.42</v>
      </c>
      <c r="M26" s="6">
        <v>37.050000000000004</v>
      </c>
      <c r="N26" s="6">
        <v>37.050000000000004</v>
      </c>
      <c r="O26">
        <f t="shared" si="0"/>
        <v>3.7050000000000005</v>
      </c>
    </row>
    <row r="27" spans="1:15" x14ac:dyDescent="0.25">
      <c r="A27" s="21" t="s">
        <v>166</v>
      </c>
      <c r="B27" s="6"/>
      <c r="C27" s="6"/>
      <c r="D27" s="6">
        <v>1</v>
      </c>
      <c r="E27" s="6">
        <v>21.09</v>
      </c>
      <c r="F27" s="6">
        <v>6.67</v>
      </c>
      <c r="G27" s="6">
        <v>6.25</v>
      </c>
      <c r="H27" s="6">
        <v>3.67</v>
      </c>
      <c r="I27" s="6">
        <v>1</v>
      </c>
      <c r="J27" s="6">
        <v>3.25</v>
      </c>
      <c r="K27" s="6">
        <v>6.75</v>
      </c>
      <c r="L27" s="6">
        <v>-1.56</v>
      </c>
      <c r="M27" s="6">
        <v>48.12</v>
      </c>
      <c r="N27" s="6">
        <v>48.12</v>
      </c>
      <c r="O27">
        <f t="shared" si="0"/>
        <v>4.8119999999999994</v>
      </c>
    </row>
    <row r="28" spans="1:15" x14ac:dyDescent="0.25">
      <c r="A28" s="21" t="s">
        <v>170</v>
      </c>
      <c r="B28" s="6"/>
      <c r="C28" s="6"/>
      <c r="D28" s="6">
        <v>1</v>
      </c>
      <c r="E28" s="6">
        <v>3.9299999999999997</v>
      </c>
      <c r="F28" s="6"/>
      <c r="G28" s="6">
        <v>1</v>
      </c>
      <c r="H28" s="6">
        <v>2.5099999999999998</v>
      </c>
      <c r="I28" s="6">
        <v>1</v>
      </c>
      <c r="J28" s="6">
        <v>1.26</v>
      </c>
      <c r="K28" s="6">
        <v>1.37</v>
      </c>
      <c r="L28" s="6"/>
      <c r="M28" s="6">
        <v>12.07</v>
      </c>
      <c r="N28" s="6">
        <v>12.07</v>
      </c>
      <c r="O28">
        <f t="shared" si="0"/>
        <v>1.2070000000000001</v>
      </c>
    </row>
    <row r="29" spans="1:15" x14ac:dyDescent="0.25">
      <c r="A29" s="21" t="s">
        <v>171</v>
      </c>
      <c r="B29" s="6"/>
      <c r="C29" s="6"/>
      <c r="D29" s="6">
        <v>1</v>
      </c>
      <c r="E29" s="6">
        <v>3.9299999999999997</v>
      </c>
      <c r="F29" s="6">
        <v>0.88</v>
      </c>
      <c r="G29" s="6">
        <v>1</v>
      </c>
      <c r="H29" s="6">
        <v>2.88</v>
      </c>
      <c r="I29" s="6"/>
      <c r="J29" s="6">
        <v>3.39</v>
      </c>
      <c r="K29" s="6">
        <v>1.75</v>
      </c>
      <c r="L29" s="6"/>
      <c r="M29" s="6">
        <v>14.83</v>
      </c>
      <c r="N29" s="6">
        <v>14.83</v>
      </c>
      <c r="O29">
        <f t="shared" si="0"/>
        <v>1.4830000000000001</v>
      </c>
    </row>
    <row r="30" spans="1:15" x14ac:dyDescent="0.25">
      <c r="A30" s="21" t="s">
        <v>172</v>
      </c>
      <c r="B30" s="6"/>
      <c r="C30" s="6"/>
      <c r="D30" s="6">
        <v>1</v>
      </c>
      <c r="E30" s="6">
        <v>7</v>
      </c>
      <c r="F30" s="6">
        <v>2</v>
      </c>
      <c r="G30" s="6">
        <v>5.03</v>
      </c>
      <c r="H30" s="6">
        <v>2.34</v>
      </c>
      <c r="I30" s="6"/>
      <c r="J30" s="6">
        <v>1.1400000000000001</v>
      </c>
      <c r="K30" s="6">
        <v>2.7800000000000002</v>
      </c>
      <c r="L30" s="6">
        <v>0.28000000000000003</v>
      </c>
      <c r="M30" s="6">
        <v>21.570000000000004</v>
      </c>
      <c r="N30" s="6">
        <v>21.570000000000004</v>
      </c>
      <c r="O30">
        <f t="shared" si="0"/>
        <v>2.1570000000000005</v>
      </c>
    </row>
    <row r="31" spans="1:15" x14ac:dyDescent="0.25">
      <c r="A31" s="21" t="s">
        <v>173</v>
      </c>
      <c r="B31" s="6"/>
      <c r="C31" s="6"/>
      <c r="D31" s="6">
        <v>1</v>
      </c>
      <c r="E31" s="6">
        <v>4</v>
      </c>
      <c r="F31" s="6">
        <v>2</v>
      </c>
      <c r="G31" s="6">
        <v>1</v>
      </c>
      <c r="H31" s="6">
        <v>0.92</v>
      </c>
      <c r="I31" s="6"/>
      <c r="J31" s="6">
        <v>3.17</v>
      </c>
      <c r="K31" s="6">
        <v>2.42</v>
      </c>
      <c r="L31" s="6">
        <v>0.49</v>
      </c>
      <c r="M31" s="6">
        <v>15</v>
      </c>
      <c r="N31" s="6">
        <v>15</v>
      </c>
      <c r="O31">
        <f t="shared" si="0"/>
        <v>1.5</v>
      </c>
    </row>
    <row r="32" spans="1:15" x14ac:dyDescent="0.25">
      <c r="A32" s="21" t="s">
        <v>174</v>
      </c>
      <c r="B32" s="6"/>
      <c r="C32" s="6"/>
      <c r="D32" s="6">
        <v>1</v>
      </c>
      <c r="E32" s="6">
        <v>4</v>
      </c>
      <c r="F32" s="6">
        <v>2</v>
      </c>
      <c r="G32" s="6">
        <v>2.2000000000000002</v>
      </c>
      <c r="H32" s="6">
        <v>3.83</v>
      </c>
      <c r="I32" s="6">
        <v>0.06</v>
      </c>
      <c r="J32" s="6">
        <v>1.17</v>
      </c>
      <c r="K32" s="6">
        <v>2</v>
      </c>
      <c r="L32" s="6">
        <v>0.5</v>
      </c>
      <c r="M32" s="6">
        <v>16.759999999999998</v>
      </c>
      <c r="N32" s="6">
        <v>16.759999999999998</v>
      </c>
      <c r="O32">
        <f t="shared" si="0"/>
        <v>1.6759999999999997</v>
      </c>
    </row>
    <row r="33" spans="1:15" x14ac:dyDescent="0.25">
      <c r="A33" s="21" t="s">
        <v>175</v>
      </c>
      <c r="B33" s="6"/>
      <c r="C33" s="6"/>
      <c r="D33" s="6">
        <v>1</v>
      </c>
      <c r="E33" s="6">
        <v>4</v>
      </c>
      <c r="F33" s="6">
        <v>2</v>
      </c>
      <c r="G33" s="6">
        <v>0.75</v>
      </c>
      <c r="H33" s="6">
        <v>1.75</v>
      </c>
      <c r="I33" s="6">
        <v>0.5</v>
      </c>
      <c r="J33" s="6">
        <v>1</v>
      </c>
      <c r="K33" s="6">
        <v>1.25</v>
      </c>
      <c r="L33" s="6"/>
      <c r="M33" s="6">
        <v>12.25</v>
      </c>
      <c r="N33" s="6">
        <v>12.25</v>
      </c>
      <c r="O33">
        <f t="shared" si="0"/>
        <v>1.2250000000000001</v>
      </c>
    </row>
    <row r="34" spans="1:15" x14ac:dyDescent="0.25">
      <c r="A34" s="21" t="s">
        <v>176</v>
      </c>
      <c r="B34" s="6"/>
      <c r="C34" s="6"/>
      <c r="D34" s="6">
        <v>1</v>
      </c>
      <c r="E34" s="6">
        <v>3.69</v>
      </c>
      <c r="F34" s="6"/>
      <c r="G34" s="6">
        <v>1</v>
      </c>
      <c r="H34" s="6">
        <v>3.5</v>
      </c>
      <c r="I34" s="6"/>
      <c r="J34" s="6">
        <v>2.02</v>
      </c>
      <c r="K34" s="6">
        <v>3.25</v>
      </c>
      <c r="L34" s="6">
        <v>0.17</v>
      </c>
      <c r="M34" s="6">
        <v>14.629999999999999</v>
      </c>
      <c r="N34" s="6">
        <v>14.629999999999999</v>
      </c>
      <c r="O34">
        <f t="shared" si="0"/>
        <v>1.4629999999999999</v>
      </c>
    </row>
    <row r="35" spans="1:15" x14ac:dyDescent="0.25">
      <c r="A35" s="21" t="s">
        <v>177</v>
      </c>
      <c r="B35" s="6"/>
      <c r="C35" s="6"/>
      <c r="D35" s="6">
        <v>1</v>
      </c>
      <c r="E35" s="6">
        <v>0.05</v>
      </c>
      <c r="F35" s="6">
        <v>7.67</v>
      </c>
      <c r="G35" s="6">
        <v>5.21</v>
      </c>
      <c r="H35" s="6">
        <v>2.41</v>
      </c>
      <c r="I35" s="6">
        <v>1.08</v>
      </c>
      <c r="J35" s="6">
        <v>1.6800000000000002</v>
      </c>
      <c r="K35" s="6">
        <v>8.41</v>
      </c>
      <c r="L35" s="6">
        <v>-0.98</v>
      </c>
      <c r="M35" s="6">
        <v>26.53</v>
      </c>
      <c r="N35" s="6">
        <v>26.53</v>
      </c>
      <c r="O35">
        <f t="shared" si="0"/>
        <v>2.653</v>
      </c>
    </row>
    <row r="36" spans="1:15" x14ac:dyDescent="0.25">
      <c r="A36" s="21" t="s">
        <v>179</v>
      </c>
      <c r="B36" s="6"/>
      <c r="C36" s="6"/>
      <c r="D36" s="6">
        <v>1</v>
      </c>
      <c r="E36" s="6">
        <v>0.02</v>
      </c>
      <c r="F36" s="6">
        <v>7.22</v>
      </c>
      <c r="G36" s="6">
        <v>2.21</v>
      </c>
      <c r="H36" s="6">
        <v>0.78</v>
      </c>
      <c r="I36" s="6"/>
      <c r="J36" s="6">
        <v>2.2800000000000002</v>
      </c>
      <c r="K36" s="6">
        <v>2.2199999999999998</v>
      </c>
      <c r="L36" s="6"/>
      <c r="M36" s="6">
        <v>15.729999999999997</v>
      </c>
      <c r="N36" s="6">
        <v>15.729999999999997</v>
      </c>
      <c r="O36">
        <f t="shared" si="0"/>
        <v>1.5729999999999997</v>
      </c>
    </row>
    <row r="37" spans="1:15" x14ac:dyDescent="0.25">
      <c r="A37" s="21" t="s">
        <v>180</v>
      </c>
      <c r="B37" s="6"/>
      <c r="C37" s="6"/>
      <c r="D37" s="6">
        <v>1</v>
      </c>
      <c r="E37" s="6">
        <v>3.9299999999999997</v>
      </c>
      <c r="F37" s="6">
        <v>1.5</v>
      </c>
      <c r="G37" s="6">
        <v>0.88</v>
      </c>
      <c r="H37" s="6">
        <v>2.6399999999999997</v>
      </c>
      <c r="I37" s="6">
        <v>1.01</v>
      </c>
      <c r="J37" s="6">
        <v>1.77</v>
      </c>
      <c r="K37" s="6">
        <v>2</v>
      </c>
      <c r="L37" s="6"/>
      <c r="M37" s="6">
        <v>14.729999999999999</v>
      </c>
      <c r="N37" s="6">
        <v>14.729999999999999</v>
      </c>
      <c r="O37">
        <f t="shared" si="0"/>
        <v>1.4729999999999999</v>
      </c>
    </row>
    <row r="38" spans="1:15" x14ac:dyDescent="0.25">
      <c r="A38" s="21" t="s">
        <v>190</v>
      </c>
      <c r="B38" s="6"/>
      <c r="C38" s="6"/>
      <c r="D38" s="6"/>
      <c r="E38" s="6">
        <v>1</v>
      </c>
      <c r="F38" s="6">
        <v>12</v>
      </c>
      <c r="G38" s="6">
        <v>3.5</v>
      </c>
      <c r="H38" s="6">
        <v>1.1199999999999999</v>
      </c>
      <c r="I38" s="6"/>
      <c r="J38" s="6">
        <v>1.33</v>
      </c>
      <c r="K38" s="6">
        <v>4.45</v>
      </c>
      <c r="L38" s="6"/>
      <c r="M38" s="6">
        <v>23.400000000000002</v>
      </c>
      <c r="N38" s="6">
        <v>23.400000000000002</v>
      </c>
      <c r="O38">
        <f t="shared" si="0"/>
        <v>2.3400000000000003</v>
      </c>
    </row>
    <row r="39" spans="1:15" x14ac:dyDescent="0.25">
      <c r="A39" s="5" t="s">
        <v>508</v>
      </c>
      <c r="B39" s="6"/>
      <c r="C39" s="6"/>
      <c r="D39" s="6">
        <v>1</v>
      </c>
      <c r="E39" s="6">
        <v>0.1</v>
      </c>
      <c r="F39" s="6">
        <v>5.66</v>
      </c>
      <c r="G39" s="6">
        <v>3.17</v>
      </c>
      <c r="H39" s="6"/>
      <c r="I39" s="6"/>
      <c r="J39" s="6">
        <v>10.02</v>
      </c>
      <c r="K39" s="6">
        <v>2</v>
      </c>
      <c r="L39" s="6">
        <v>0.5</v>
      </c>
      <c r="M39" s="6">
        <v>22.45</v>
      </c>
      <c r="N39" s="6">
        <v>22.45</v>
      </c>
      <c r="O39">
        <f t="shared" si="0"/>
        <v>2.2450000000000001</v>
      </c>
    </row>
    <row r="40" spans="1:15" x14ac:dyDescent="0.25">
      <c r="A40" s="21" t="s">
        <v>178</v>
      </c>
      <c r="B40" s="6"/>
      <c r="C40" s="6"/>
      <c r="D40" s="6">
        <v>1</v>
      </c>
      <c r="E40" s="6">
        <v>0.1</v>
      </c>
      <c r="F40" s="6">
        <v>5.66</v>
      </c>
      <c r="G40" s="6">
        <v>3.17</v>
      </c>
      <c r="H40" s="6"/>
      <c r="I40" s="6"/>
      <c r="J40" s="6">
        <v>10.02</v>
      </c>
      <c r="K40" s="6">
        <v>2</v>
      </c>
      <c r="L40" s="6">
        <v>0.5</v>
      </c>
      <c r="M40" s="6">
        <v>22.45</v>
      </c>
      <c r="N40" s="6">
        <v>22.45</v>
      </c>
      <c r="O40">
        <f t="shared" si="0"/>
        <v>2.2450000000000001</v>
      </c>
    </row>
    <row r="41" spans="1:15" x14ac:dyDescent="0.25">
      <c r="A41" s="5" t="s">
        <v>507</v>
      </c>
      <c r="B41" s="6">
        <v>14.120000000000001</v>
      </c>
      <c r="C41" s="6">
        <v>0.31000000000000005</v>
      </c>
      <c r="D41" s="6">
        <v>9.129999999999999</v>
      </c>
      <c r="E41" s="6">
        <v>28.939999999999998</v>
      </c>
      <c r="F41" s="6">
        <v>14.83</v>
      </c>
      <c r="G41" s="6">
        <v>33.690000000000005</v>
      </c>
      <c r="H41" s="6">
        <v>9.23</v>
      </c>
      <c r="I41" s="6">
        <v>25.939999999999998</v>
      </c>
      <c r="J41" s="6">
        <v>17.809999999999999</v>
      </c>
      <c r="K41" s="6">
        <v>0.2</v>
      </c>
      <c r="L41" s="6">
        <v>6.67</v>
      </c>
      <c r="M41" s="6">
        <v>160.87</v>
      </c>
      <c r="N41" s="6">
        <v>160.87</v>
      </c>
      <c r="O41">
        <f t="shared" si="0"/>
        <v>16.087</v>
      </c>
    </row>
    <row r="42" spans="1:15" x14ac:dyDescent="0.25">
      <c r="A42" s="21" t="s">
        <v>60</v>
      </c>
      <c r="B42" s="6">
        <v>9.91</v>
      </c>
      <c r="C42" s="6">
        <v>-0.3899999999999999</v>
      </c>
      <c r="D42" s="6">
        <v>7.13</v>
      </c>
      <c r="E42" s="6">
        <v>20.909999999999997</v>
      </c>
      <c r="F42" s="6">
        <v>10.92</v>
      </c>
      <c r="G42" s="6">
        <v>19.380000000000003</v>
      </c>
      <c r="H42" s="6">
        <v>7.67</v>
      </c>
      <c r="I42" s="6">
        <v>16.939999999999998</v>
      </c>
      <c r="J42" s="6">
        <v>16.52</v>
      </c>
      <c r="K42" s="6">
        <v>0.2</v>
      </c>
      <c r="L42" s="6">
        <v>2.67</v>
      </c>
      <c r="M42" s="6">
        <v>111.86</v>
      </c>
      <c r="N42" s="6">
        <v>111.86</v>
      </c>
      <c r="O42">
        <f t="shared" si="0"/>
        <v>11.186</v>
      </c>
    </row>
    <row r="43" spans="1:15" x14ac:dyDescent="0.25">
      <c r="A43" s="21" t="s">
        <v>90</v>
      </c>
      <c r="B43" s="6">
        <v>4.21</v>
      </c>
      <c r="C43" s="6">
        <v>0.7</v>
      </c>
      <c r="D43" s="6">
        <v>2</v>
      </c>
      <c r="E43" s="6">
        <v>8.0300000000000011</v>
      </c>
      <c r="F43" s="6">
        <v>3.91</v>
      </c>
      <c r="G43" s="6">
        <v>14.31</v>
      </c>
      <c r="H43" s="6">
        <v>1.56</v>
      </c>
      <c r="I43" s="6">
        <v>9</v>
      </c>
      <c r="J43" s="6">
        <v>1.29</v>
      </c>
      <c r="K43" s="6"/>
      <c r="L43" s="6">
        <v>4</v>
      </c>
      <c r="M43" s="6">
        <v>49.010000000000005</v>
      </c>
      <c r="N43" s="6">
        <v>49.010000000000005</v>
      </c>
      <c r="O43">
        <f t="shared" si="0"/>
        <v>4.9010000000000007</v>
      </c>
    </row>
    <row r="44" spans="1:15" x14ac:dyDescent="0.25">
      <c r="A44" s="5" t="s">
        <v>509</v>
      </c>
      <c r="B44" s="6"/>
      <c r="C44" s="6"/>
      <c r="D44" s="6"/>
      <c r="E44" s="6"/>
      <c r="F44" s="6"/>
      <c r="G44" s="6"/>
      <c r="H44" s="6">
        <v>14.649999999999999</v>
      </c>
      <c r="I44" s="6">
        <v>4</v>
      </c>
      <c r="J44" s="6">
        <v>6.1899999999999995</v>
      </c>
      <c r="K44" s="6"/>
      <c r="L44" s="6">
        <v>8.74</v>
      </c>
      <c r="M44" s="6">
        <v>33.58</v>
      </c>
      <c r="N44" s="6">
        <v>33.58</v>
      </c>
      <c r="O44">
        <f t="shared" si="0"/>
        <v>3.3579999999999997</v>
      </c>
    </row>
    <row r="45" spans="1:15" x14ac:dyDescent="0.25">
      <c r="A45" s="21" t="s">
        <v>283</v>
      </c>
      <c r="B45" s="6"/>
      <c r="C45" s="6"/>
      <c r="D45" s="6"/>
      <c r="E45" s="6"/>
      <c r="F45" s="6"/>
      <c r="G45" s="6"/>
      <c r="H45" s="6">
        <v>5.75</v>
      </c>
      <c r="I45" s="6">
        <v>0.5</v>
      </c>
      <c r="J45" s="6">
        <v>3.59</v>
      </c>
      <c r="K45" s="6"/>
      <c r="L45" s="6">
        <v>2.08</v>
      </c>
      <c r="M45" s="6">
        <v>11.92</v>
      </c>
      <c r="N45" s="6">
        <v>11.92</v>
      </c>
      <c r="O45">
        <f t="shared" si="0"/>
        <v>1.1919999999999999</v>
      </c>
    </row>
    <row r="46" spans="1:15" x14ac:dyDescent="0.25">
      <c r="A46" s="21" t="s">
        <v>284</v>
      </c>
      <c r="B46" s="6"/>
      <c r="C46" s="6"/>
      <c r="D46" s="6"/>
      <c r="E46" s="6"/>
      <c r="F46" s="6"/>
      <c r="G46" s="6"/>
      <c r="H46" s="6">
        <v>5.8999999999999995</v>
      </c>
      <c r="I46" s="6">
        <v>1.5</v>
      </c>
      <c r="J46" s="6">
        <v>2.6</v>
      </c>
      <c r="K46" s="6"/>
      <c r="L46" s="6"/>
      <c r="M46" s="6">
        <v>10</v>
      </c>
      <c r="N46" s="6">
        <v>10</v>
      </c>
      <c r="O46">
        <f t="shared" si="0"/>
        <v>1</v>
      </c>
    </row>
    <row r="47" spans="1:15" x14ac:dyDescent="0.25">
      <c r="A47" s="21" t="s">
        <v>285</v>
      </c>
      <c r="B47" s="6"/>
      <c r="C47" s="6"/>
      <c r="D47" s="6"/>
      <c r="E47" s="6"/>
      <c r="F47" s="6"/>
      <c r="G47" s="6"/>
      <c r="H47" s="6">
        <v>3</v>
      </c>
      <c r="I47" s="6">
        <v>2</v>
      </c>
      <c r="J47" s="6"/>
      <c r="K47" s="6"/>
      <c r="L47" s="6">
        <v>6.66</v>
      </c>
      <c r="M47" s="6">
        <v>11.66</v>
      </c>
      <c r="N47" s="6">
        <v>11.66</v>
      </c>
      <c r="O47">
        <f t="shared" si="0"/>
        <v>1.1659999999999999</v>
      </c>
    </row>
    <row r="48" spans="1:15" x14ac:dyDescent="0.25">
      <c r="A48" s="5" t="s">
        <v>510</v>
      </c>
      <c r="B48" s="6"/>
      <c r="C48" s="6"/>
      <c r="D48" s="6"/>
      <c r="E48" s="6"/>
      <c r="F48" s="6"/>
      <c r="G48" s="6"/>
      <c r="H48" s="6"/>
      <c r="I48" s="6"/>
      <c r="J48" s="6"/>
      <c r="K48" s="6"/>
      <c r="L48" s="6">
        <v>2</v>
      </c>
      <c r="M48" s="6">
        <v>2</v>
      </c>
      <c r="N48" s="6">
        <v>2</v>
      </c>
      <c r="O48">
        <f t="shared" si="0"/>
        <v>0.2</v>
      </c>
    </row>
    <row r="49" spans="1:15" x14ac:dyDescent="0.25">
      <c r="A49" s="21" t="s">
        <v>497</v>
      </c>
      <c r="B49" s="6"/>
      <c r="C49" s="6"/>
      <c r="D49" s="6"/>
      <c r="E49" s="6"/>
      <c r="F49" s="6"/>
      <c r="G49" s="6"/>
      <c r="H49" s="6"/>
      <c r="I49" s="6"/>
      <c r="J49" s="6"/>
      <c r="K49" s="6"/>
      <c r="L49" s="6">
        <v>1</v>
      </c>
      <c r="M49" s="6">
        <v>1</v>
      </c>
      <c r="N49" s="6">
        <v>1</v>
      </c>
      <c r="O49">
        <f t="shared" si="0"/>
        <v>0.1</v>
      </c>
    </row>
    <row r="50" spans="1:15" x14ac:dyDescent="0.25">
      <c r="A50" s="21" t="s">
        <v>499</v>
      </c>
      <c r="B50" s="6"/>
      <c r="C50" s="6"/>
      <c r="D50" s="6"/>
      <c r="E50" s="6"/>
      <c r="F50" s="6"/>
      <c r="G50" s="6"/>
      <c r="H50" s="6"/>
      <c r="I50" s="6"/>
      <c r="J50" s="6"/>
      <c r="K50" s="6"/>
      <c r="L50" s="6">
        <v>1</v>
      </c>
      <c r="M50" s="6">
        <v>1</v>
      </c>
      <c r="N50" s="6">
        <v>1</v>
      </c>
      <c r="O50">
        <f t="shared" si="0"/>
        <v>0.1</v>
      </c>
    </row>
    <row r="51" spans="1:15" x14ac:dyDescent="0.25">
      <c r="A51" s="5" t="s">
        <v>506</v>
      </c>
      <c r="B51" s="6">
        <v>25.22</v>
      </c>
      <c r="C51" s="6">
        <v>4.5900000000000007</v>
      </c>
      <c r="D51" s="6">
        <v>10</v>
      </c>
      <c r="E51" s="6">
        <v>38.71</v>
      </c>
      <c r="F51" s="6">
        <v>38.39</v>
      </c>
      <c r="G51" s="6">
        <v>64.789999999999992</v>
      </c>
      <c r="H51" s="6">
        <v>41.67</v>
      </c>
      <c r="I51" s="6">
        <v>44.779999999999994</v>
      </c>
      <c r="J51" s="6">
        <v>47.38</v>
      </c>
      <c r="K51" s="6">
        <v>23.64</v>
      </c>
      <c r="L51" s="6">
        <v>7.59</v>
      </c>
      <c r="M51" s="6">
        <v>346.76000000000005</v>
      </c>
      <c r="N51" s="6">
        <v>346.76000000000005</v>
      </c>
      <c r="O51">
        <f t="shared" si="0"/>
        <v>34.676000000000002</v>
      </c>
    </row>
    <row r="52" spans="1:15" x14ac:dyDescent="0.25">
      <c r="A52" s="21" t="s">
        <v>39</v>
      </c>
      <c r="B52" s="6">
        <v>8.3500000000000014</v>
      </c>
      <c r="C52" s="6">
        <v>1.5700000000000003</v>
      </c>
      <c r="D52" s="6">
        <v>3</v>
      </c>
      <c r="E52" s="6">
        <v>11.670000000000002</v>
      </c>
      <c r="F52" s="6">
        <v>5.39</v>
      </c>
      <c r="G52" s="6">
        <v>10.58</v>
      </c>
      <c r="H52" s="6">
        <v>21.94</v>
      </c>
      <c r="I52" s="6">
        <v>9.11</v>
      </c>
      <c r="J52" s="6">
        <v>12.67</v>
      </c>
      <c r="K52" s="6">
        <v>5.5</v>
      </c>
      <c r="L52" s="6">
        <v>-0.98</v>
      </c>
      <c r="M52" s="6">
        <v>88.8</v>
      </c>
      <c r="N52" s="6">
        <v>88.8</v>
      </c>
      <c r="O52">
        <f t="shared" si="0"/>
        <v>8.879999999999999</v>
      </c>
    </row>
    <row r="53" spans="1:15" x14ac:dyDescent="0.25">
      <c r="A53" s="21" t="s">
        <v>54</v>
      </c>
      <c r="B53" s="6">
        <v>9.52</v>
      </c>
      <c r="C53" s="6">
        <v>0.37000000000000011</v>
      </c>
      <c r="D53" s="6">
        <v>4</v>
      </c>
      <c r="E53" s="6">
        <v>6.07</v>
      </c>
      <c r="F53" s="6">
        <v>5.94</v>
      </c>
      <c r="G53" s="6">
        <v>25.85</v>
      </c>
      <c r="H53" s="6">
        <v>8.01</v>
      </c>
      <c r="I53" s="6">
        <v>13.629999999999999</v>
      </c>
      <c r="J53" s="6">
        <v>0.77</v>
      </c>
      <c r="K53" s="6">
        <v>0</v>
      </c>
      <c r="L53" s="6">
        <v>2.65</v>
      </c>
      <c r="M53" s="6">
        <v>76.81</v>
      </c>
      <c r="N53" s="6">
        <v>76.81</v>
      </c>
      <c r="O53">
        <f t="shared" si="0"/>
        <v>7.681</v>
      </c>
    </row>
    <row r="54" spans="1:15" x14ac:dyDescent="0.25">
      <c r="A54" s="21" t="s">
        <v>58</v>
      </c>
      <c r="B54" s="6">
        <v>7.35</v>
      </c>
      <c r="C54" s="6">
        <v>2.6500000000000004</v>
      </c>
      <c r="D54" s="6">
        <v>2</v>
      </c>
      <c r="E54" s="6">
        <v>11.81</v>
      </c>
      <c r="F54" s="6">
        <v>12.06</v>
      </c>
      <c r="G54" s="6">
        <v>25.009999999999998</v>
      </c>
      <c r="H54" s="6">
        <v>8.92</v>
      </c>
      <c r="I54" s="6">
        <v>19.239999999999998</v>
      </c>
      <c r="J54" s="6">
        <v>19.990000000000002</v>
      </c>
      <c r="K54" s="6">
        <v>10.16</v>
      </c>
      <c r="L54" s="6">
        <v>4.92</v>
      </c>
      <c r="M54" s="6">
        <v>124.11</v>
      </c>
      <c r="N54" s="6">
        <v>124.11</v>
      </c>
      <c r="O54">
        <f t="shared" si="0"/>
        <v>12.411</v>
      </c>
    </row>
    <row r="55" spans="1:15" x14ac:dyDescent="0.25">
      <c r="A55" s="21" t="s">
        <v>181</v>
      </c>
      <c r="B55" s="6"/>
      <c r="C55" s="6"/>
      <c r="D55" s="6">
        <v>1</v>
      </c>
      <c r="E55" s="6">
        <v>7.08</v>
      </c>
      <c r="F55" s="6">
        <v>4</v>
      </c>
      <c r="G55" s="6">
        <v>1.85</v>
      </c>
      <c r="H55" s="6"/>
      <c r="I55" s="6">
        <v>0.8</v>
      </c>
      <c r="J55" s="6">
        <v>1.67</v>
      </c>
      <c r="K55" s="6">
        <v>3</v>
      </c>
      <c r="L55" s="6"/>
      <c r="M55" s="6">
        <v>19.399999999999999</v>
      </c>
      <c r="N55" s="6">
        <v>19.399999999999999</v>
      </c>
      <c r="O55">
        <f t="shared" si="0"/>
        <v>1.94</v>
      </c>
    </row>
    <row r="56" spans="1:15" x14ac:dyDescent="0.25">
      <c r="A56" s="21" t="s">
        <v>189</v>
      </c>
      <c r="B56" s="6"/>
      <c r="C56" s="6"/>
      <c r="D56" s="6"/>
      <c r="E56" s="6">
        <v>2.08</v>
      </c>
      <c r="F56" s="6">
        <v>11</v>
      </c>
      <c r="G56" s="6">
        <v>1.5</v>
      </c>
      <c r="H56" s="6">
        <v>2.8</v>
      </c>
      <c r="I56" s="6">
        <v>2</v>
      </c>
      <c r="J56" s="6">
        <v>6.2</v>
      </c>
      <c r="K56" s="6">
        <v>2.4</v>
      </c>
      <c r="L56" s="6">
        <v>1</v>
      </c>
      <c r="M56" s="6">
        <v>28.979999999999997</v>
      </c>
      <c r="N56" s="6">
        <v>28.979999999999997</v>
      </c>
      <c r="O56">
        <f t="shared" si="0"/>
        <v>2.8979999999999997</v>
      </c>
    </row>
    <row r="57" spans="1:15" x14ac:dyDescent="0.25">
      <c r="A57" s="21" t="s">
        <v>351</v>
      </c>
      <c r="B57" s="6"/>
      <c r="C57" s="6"/>
      <c r="D57" s="6"/>
      <c r="E57" s="6"/>
      <c r="F57" s="6"/>
      <c r="G57" s="6"/>
      <c r="H57" s="6"/>
      <c r="I57" s="6"/>
      <c r="J57" s="6">
        <v>6.08</v>
      </c>
      <c r="K57" s="6">
        <v>2.58</v>
      </c>
      <c r="L57" s="6"/>
      <c r="M57" s="6">
        <v>8.66</v>
      </c>
      <c r="N57" s="6">
        <v>8.66</v>
      </c>
      <c r="O57">
        <f t="shared" si="0"/>
        <v>0.86599999999999999</v>
      </c>
    </row>
    <row r="58" spans="1:15" x14ac:dyDescent="0.25">
      <c r="A58" s="5" t="s">
        <v>504</v>
      </c>
      <c r="B58" s="6">
        <v>53.79</v>
      </c>
      <c r="C58" s="6">
        <v>-11.380000000000003</v>
      </c>
      <c r="D58" s="6">
        <v>6.2600000000000007</v>
      </c>
      <c r="E58" s="6">
        <v>40.549999999999997</v>
      </c>
      <c r="F58" s="6">
        <v>8.82</v>
      </c>
      <c r="G58" s="6">
        <v>35.25</v>
      </c>
      <c r="H58" s="6">
        <v>13.65</v>
      </c>
      <c r="I58" s="6">
        <v>32.22</v>
      </c>
      <c r="J58" s="6">
        <v>54.62</v>
      </c>
      <c r="K58" s="6">
        <v>44.09</v>
      </c>
      <c r="L58" s="6">
        <v>14.209999999999999</v>
      </c>
      <c r="M58" s="6">
        <v>292.08000000000004</v>
      </c>
      <c r="N58" s="6">
        <v>292.08000000000004</v>
      </c>
      <c r="O58">
        <f t="shared" si="0"/>
        <v>29.208000000000006</v>
      </c>
    </row>
    <row r="59" spans="1:15" x14ac:dyDescent="0.25">
      <c r="A59" s="21" t="s">
        <v>53</v>
      </c>
      <c r="B59" s="6">
        <v>8.25</v>
      </c>
      <c r="C59" s="6">
        <v>-1.5</v>
      </c>
      <c r="D59" s="6">
        <v>0.43000000000000005</v>
      </c>
      <c r="E59" s="6">
        <v>7.9499999999999993</v>
      </c>
      <c r="F59" s="6">
        <v>1.25</v>
      </c>
      <c r="G59" s="6">
        <v>8.9499999999999993</v>
      </c>
      <c r="H59" s="6"/>
      <c r="I59" s="6">
        <v>6</v>
      </c>
      <c r="J59" s="6">
        <v>12.76</v>
      </c>
      <c r="K59" s="6">
        <v>8.15</v>
      </c>
      <c r="L59" s="6">
        <v>2.5</v>
      </c>
      <c r="M59" s="6">
        <v>54.739999999999995</v>
      </c>
      <c r="N59" s="6">
        <v>54.739999999999995</v>
      </c>
      <c r="O59">
        <f t="shared" si="0"/>
        <v>5.4739999999999993</v>
      </c>
    </row>
    <row r="60" spans="1:15" x14ac:dyDescent="0.25">
      <c r="A60" s="21" t="s">
        <v>61</v>
      </c>
      <c r="B60" s="6">
        <v>9.68</v>
      </c>
      <c r="C60" s="6">
        <v>-2.64</v>
      </c>
      <c r="D60" s="6">
        <v>1.0499999999999998</v>
      </c>
      <c r="E60" s="6">
        <v>6.61</v>
      </c>
      <c r="F60" s="6">
        <v>0.87</v>
      </c>
      <c r="G60" s="6">
        <v>6</v>
      </c>
      <c r="H60" s="6"/>
      <c r="I60" s="6">
        <v>8.6</v>
      </c>
      <c r="J60" s="6">
        <v>12.399999999999999</v>
      </c>
      <c r="K60" s="6">
        <v>6.75</v>
      </c>
      <c r="L60" s="6">
        <v>5.2</v>
      </c>
      <c r="M60" s="6">
        <v>54.52</v>
      </c>
      <c r="N60" s="6">
        <v>54.52</v>
      </c>
      <c r="O60">
        <f t="shared" si="0"/>
        <v>5.452</v>
      </c>
    </row>
    <row r="61" spans="1:15" x14ac:dyDescent="0.25">
      <c r="A61" s="21" t="s">
        <v>483</v>
      </c>
      <c r="B61" s="6"/>
      <c r="C61" s="6"/>
      <c r="D61" s="6"/>
      <c r="E61" s="6"/>
      <c r="F61" s="6"/>
      <c r="G61" s="6"/>
      <c r="H61" s="6"/>
      <c r="I61" s="6"/>
      <c r="J61" s="6"/>
      <c r="K61" s="6"/>
      <c r="L61" s="6">
        <v>-0.03</v>
      </c>
      <c r="M61" s="6">
        <v>-0.03</v>
      </c>
      <c r="N61" s="6">
        <v>-0.03</v>
      </c>
      <c r="O61">
        <f t="shared" si="0"/>
        <v>-3.0000000000000001E-3</v>
      </c>
    </row>
    <row r="62" spans="1:15" x14ac:dyDescent="0.25">
      <c r="A62" s="21" t="s">
        <v>484</v>
      </c>
      <c r="B62" s="6"/>
      <c r="C62" s="6"/>
      <c r="D62" s="6"/>
      <c r="E62" s="6"/>
      <c r="F62" s="6"/>
      <c r="G62" s="6"/>
      <c r="H62" s="6"/>
      <c r="I62" s="6"/>
      <c r="J62" s="6"/>
      <c r="K62" s="6"/>
      <c r="L62" s="6">
        <v>-0.1</v>
      </c>
      <c r="M62" s="6">
        <v>-0.1</v>
      </c>
      <c r="N62" s="6">
        <v>-0.1</v>
      </c>
      <c r="O62">
        <f t="shared" si="0"/>
        <v>-0.01</v>
      </c>
    </row>
    <row r="63" spans="1:15" x14ac:dyDescent="0.25">
      <c r="A63" s="21" t="s">
        <v>66</v>
      </c>
      <c r="B63" s="6">
        <v>8.25</v>
      </c>
      <c r="C63" s="6">
        <v>-1.4</v>
      </c>
      <c r="D63" s="6">
        <v>1.3900000000000001</v>
      </c>
      <c r="E63" s="6">
        <v>6.74</v>
      </c>
      <c r="F63" s="6">
        <v>3.95</v>
      </c>
      <c r="G63" s="6">
        <v>2.4</v>
      </c>
      <c r="H63" s="6">
        <v>2.2999999999999998</v>
      </c>
      <c r="I63" s="6">
        <v>5</v>
      </c>
      <c r="J63" s="6">
        <v>5.13</v>
      </c>
      <c r="K63" s="6">
        <v>9.07</v>
      </c>
      <c r="L63" s="6">
        <v>-0.25</v>
      </c>
      <c r="M63" s="6">
        <v>42.58</v>
      </c>
      <c r="N63" s="6">
        <v>42.58</v>
      </c>
      <c r="O63">
        <f t="shared" si="0"/>
        <v>4.258</v>
      </c>
    </row>
    <row r="64" spans="1:15" x14ac:dyDescent="0.25">
      <c r="A64" s="21" t="s">
        <v>67</v>
      </c>
      <c r="B64" s="6">
        <v>9.68</v>
      </c>
      <c r="C64" s="6">
        <v>-2.64</v>
      </c>
      <c r="D64" s="6">
        <v>1.1200000000000001</v>
      </c>
      <c r="E64" s="6">
        <v>6.6099999999999994</v>
      </c>
      <c r="F64" s="6">
        <v>-0.1</v>
      </c>
      <c r="G64" s="6">
        <v>6</v>
      </c>
      <c r="H64" s="6">
        <v>4</v>
      </c>
      <c r="I64" s="6">
        <v>4.05</v>
      </c>
      <c r="J64" s="6">
        <v>7.62</v>
      </c>
      <c r="K64" s="6">
        <v>4.95</v>
      </c>
      <c r="L64" s="6">
        <v>2.88</v>
      </c>
      <c r="M64" s="6">
        <v>44.170000000000009</v>
      </c>
      <c r="N64" s="6">
        <v>44.170000000000009</v>
      </c>
      <c r="O64">
        <f t="shared" si="0"/>
        <v>4.4170000000000007</v>
      </c>
    </row>
    <row r="65" spans="1:15" x14ac:dyDescent="0.25">
      <c r="A65" s="21" t="s">
        <v>68</v>
      </c>
      <c r="B65" s="6">
        <v>9.68</v>
      </c>
      <c r="C65" s="6">
        <v>-2.7</v>
      </c>
      <c r="D65" s="6">
        <v>2.12</v>
      </c>
      <c r="E65" s="6">
        <v>5.6</v>
      </c>
      <c r="F65" s="6">
        <v>-0.1</v>
      </c>
      <c r="G65" s="6">
        <v>2</v>
      </c>
      <c r="H65" s="6">
        <v>4.25</v>
      </c>
      <c r="I65" s="6">
        <v>4.5</v>
      </c>
      <c r="J65" s="6">
        <v>6.57</v>
      </c>
      <c r="K65" s="6">
        <v>8</v>
      </c>
      <c r="L65" s="6">
        <v>2.2599999999999998</v>
      </c>
      <c r="M65" s="6">
        <v>42.18</v>
      </c>
      <c r="N65" s="6">
        <v>42.18</v>
      </c>
      <c r="O65">
        <f t="shared" si="0"/>
        <v>4.218</v>
      </c>
    </row>
    <row r="66" spans="1:15" x14ac:dyDescent="0.25">
      <c r="A66" s="21" t="s">
        <v>69</v>
      </c>
      <c r="B66" s="6">
        <v>8.25</v>
      </c>
      <c r="C66" s="6">
        <v>-0.5</v>
      </c>
      <c r="D66" s="6">
        <v>0.15000000000000002</v>
      </c>
      <c r="E66" s="6">
        <v>7.04</v>
      </c>
      <c r="F66" s="6">
        <v>2.95</v>
      </c>
      <c r="G66" s="6">
        <v>9.9</v>
      </c>
      <c r="H66" s="6">
        <v>3.1</v>
      </c>
      <c r="I66" s="6">
        <v>4.07</v>
      </c>
      <c r="J66" s="6">
        <v>10.14</v>
      </c>
      <c r="K66" s="6">
        <v>7.17</v>
      </c>
      <c r="L66" s="6">
        <v>1.77</v>
      </c>
      <c r="M66" s="6">
        <v>54.040000000000006</v>
      </c>
      <c r="N66" s="6">
        <v>54.040000000000006</v>
      </c>
      <c r="O66">
        <f t="shared" si="0"/>
        <v>5.4040000000000008</v>
      </c>
    </row>
    <row r="67" spans="1:15" x14ac:dyDescent="0.25">
      <c r="A67" s="21" t="s">
        <v>482</v>
      </c>
      <c r="B67" s="6"/>
      <c r="C67" s="6"/>
      <c r="D67" s="6"/>
      <c r="E67" s="6"/>
      <c r="F67" s="6"/>
      <c r="G67" s="6"/>
      <c r="H67" s="6"/>
      <c r="I67" s="6"/>
      <c r="J67" s="6"/>
      <c r="K67" s="6"/>
      <c r="L67" s="6">
        <v>-0.02</v>
      </c>
      <c r="M67" s="6">
        <v>-0.02</v>
      </c>
      <c r="N67" s="6">
        <v>-0.02</v>
      </c>
      <c r="O67">
        <f t="shared" si="0"/>
        <v>-2E-3</v>
      </c>
    </row>
    <row r="68" spans="1:15" x14ac:dyDescent="0.25">
      <c r="A68" s="5" t="s">
        <v>505</v>
      </c>
      <c r="B68" s="6">
        <v>61.110000000000007</v>
      </c>
      <c r="C68" s="6">
        <v>9.98</v>
      </c>
      <c r="D68" s="6">
        <v>30.940000000000005</v>
      </c>
      <c r="E68" s="6">
        <v>71.490000000000009</v>
      </c>
      <c r="F68" s="6">
        <v>41.74</v>
      </c>
      <c r="G68" s="6">
        <v>29.04</v>
      </c>
      <c r="H68" s="6">
        <v>30.96</v>
      </c>
      <c r="I68" s="6">
        <v>34.730000000000004</v>
      </c>
      <c r="J68" s="6">
        <v>71.390000000000015</v>
      </c>
      <c r="K68" s="6">
        <v>41.710000000000008</v>
      </c>
      <c r="L68" s="6">
        <v>53.89</v>
      </c>
      <c r="M68" s="6">
        <v>476.97999999999996</v>
      </c>
      <c r="N68" s="6">
        <v>476.97999999999996</v>
      </c>
      <c r="O68">
        <f t="shared" si="0"/>
        <v>47.697999999999993</v>
      </c>
    </row>
    <row r="69" spans="1:15" x14ac:dyDescent="0.25">
      <c r="A69" s="21" t="s">
        <v>40</v>
      </c>
      <c r="B69" s="6">
        <v>14.7</v>
      </c>
      <c r="C69" s="6">
        <v>4.59</v>
      </c>
      <c r="D69" s="6">
        <v>12.770000000000001</v>
      </c>
      <c r="E69" s="6">
        <v>0.32</v>
      </c>
      <c r="F69" s="6">
        <v>13.23</v>
      </c>
      <c r="G69" s="6">
        <v>8.66</v>
      </c>
      <c r="H69" s="6">
        <v>3.46</v>
      </c>
      <c r="I69" s="6">
        <v>2.7199999999999998</v>
      </c>
      <c r="J69" s="6">
        <v>8.24</v>
      </c>
      <c r="K69" s="6">
        <v>6</v>
      </c>
      <c r="L69" s="6">
        <v>2.16</v>
      </c>
      <c r="M69" s="6">
        <v>76.849999999999994</v>
      </c>
      <c r="N69" s="6">
        <v>76.849999999999994</v>
      </c>
      <c r="O69">
        <f t="shared" si="0"/>
        <v>7.6849999999999996</v>
      </c>
    </row>
    <row r="70" spans="1:15" x14ac:dyDescent="0.25">
      <c r="A70" s="21" t="s">
        <v>43</v>
      </c>
      <c r="B70" s="6">
        <v>2.6799999999999997</v>
      </c>
      <c r="C70" s="6"/>
      <c r="D70" s="6">
        <v>2</v>
      </c>
      <c r="E70" s="6">
        <v>10.530000000000001</v>
      </c>
      <c r="F70" s="6">
        <v>2.75</v>
      </c>
      <c r="G70" s="6">
        <v>3</v>
      </c>
      <c r="H70" s="6">
        <v>5.5</v>
      </c>
      <c r="I70" s="6">
        <v>13</v>
      </c>
      <c r="J70" s="6">
        <v>14.75</v>
      </c>
      <c r="K70" s="6">
        <v>0.98</v>
      </c>
      <c r="L70" s="6">
        <v>11</v>
      </c>
      <c r="M70" s="6">
        <v>66.19</v>
      </c>
      <c r="N70" s="6">
        <v>66.19</v>
      </c>
      <c r="O70">
        <f t="shared" si="0"/>
        <v>6.6189999999999998</v>
      </c>
    </row>
    <row r="71" spans="1:15" x14ac:dyDescent="0.25">
      <c r="A71" s="21" t="s">
        <v>49</v>
      </c>
      <c r="B71" s="6">
        <v>10.71</v>
      </c>
      <c r="C71" s="6">
        <v>1.28</v>
      </c>
      <c r="D71" s="6">
        <v>4.5</v>
      </c>
      <c r="E71" s="6">
        <v>24.02</v>
      </c>
      <c r="F71" s="6">
        <v>2</v>
      </c>
      <c r="G71" s="6">
        <v>3.22</v>
      </c>
      <c r="H71" s="6">
        <v>3.84</v>
      </c>
      <c r="I71" s="6">
        <v>2.7800000000000002</v>
      </c>
      <c r="J71" s="6">
        <v>11.48</v>
      </c>
      <c r="K71" s="6">
        <v>19.170000000000002</v>
      </c>
      <c r="L71" s="6">
        <v>23.66</v>
      </c>
      <c r="M71" s="6">
        <v>106.66000000000001</v>
      </c>
      <c r="N71" s="6">
        <v>106.66000000000001</v>
      </c>
    </row>
    <row r="72" spans="1:15" x14ac:dyDescent="0.25">
      <c r="A72" s="21" t="s">
        <v>50</v>
      </c>
      <c r="B72" s="6">
        <v>4.97</v>
      </c>
      <c r="C72" s="6">
        <v>0</v>
      </c>
      <c r="D72" s="6">
        <v>1</v>
      </c>
      <c r="E72" s="6">
        <v>6.55</v>
      </c>
      <c r="F72" s="6">
        <v>0.9</v>
      </c>
      <c r="G72" s="6">
        <v>0.75</v>
      </c>
      <c r="H72" s="6">
        <v>4.3899999999999997</v>
      </c>
      <c r="I72" s="6">
        <v>0.1</v>
      </c>
      <c r="J72" s="6">
        <v>3.88</v>
      </c>
      <c r="K72" s="6">
        <v>2</v>
      </c>
      <c r="L72" s="6">
        <v>0.5</v>
      </c>
      <c r="M72" s="6">
        <v>25.04</v>
      </c>
      <c r="N72" s="6">
        <v>25.04</v>
      </c>
    </row>
    <row r="73" spans="1:15" x14ac:dyDescent="0.25">
      <c r="A73" s="21" t="s">
        <v>55</v>
      </c>
      <c r="B73" s="6">
        <v>13.209999999999999</v>
      </c>
      <c r="C73" s="6">
        <v>1.0900000000000001</v>
      </c>
      <c r="D73" s="6">
        <v>6.67</v>
      </c>
      <c r="E73" s="6">
        <v>8.5</v>
      </c>
      <c r="F73" s="6">
        <v>0.87000000000000011</v>
      </c>
      <c r="G73" s="6">
        <v>0.12000000000000011</v>
      </c>
      <c r="H73" s="6">
        <v>2.09</v>
      </c>
      <c r="I73" s="6">
        <v>9.0500000000000007</v>
      </c>
      <c r="J73" s="6">
        <v>14.02</v>
      </c>
      <c r="K73" s="6">
        <v>1</v>
      </c>
      <c r="L73" s="6">
        <v>1.8499999999999999</v>
      </c>
      <c r="M73" s="6">
        <v>58.469999999999992</v>
      </c>
      <c r="N73" s="6">
        <v>58.469999999999992</v>
      </c>
    </row>
    <row r="74" spans="1:15" x14ac:dyDescent="0.25">
      <c r="A74" s="21" t="s">
        <v>56</v>
      </c>
      <c r="B74" s="6">
        <v>12.209999999999999</v>
      </c>
      <c r="C74" s="6">
        <v>2.7199999999999998</v>
      </c>
      <c r="D74" s="6">
        <v>1</v>
      </c>
      <c r="E74" s="6">
        <v>7.63</v>
      </c>
      <c r="F74" s="6">
        <v>12.55</v>
      </c>
      <c r="G74" s="6">
        <v>4.29</v>
      </c>
      <c r="H74" s="6">
        <v>1.8</v>
      </c>
      <c r="I74" s="6">
        <v>5.08</v>
      </c>
      <c r="J74" s="6">
        <v>11.23</v>
      </c>
      <c r="K74" s="6">
        <v>0.16999999999999998</v>
      </c>
      <c r="L74" s="6">
        <v>13.16</v>
      </c>
      <c r="M74" s="6">
        <v>71.839999999999989</v>
      </c>
      <c r="N74" s="6">
        <v>71.839999999999989</v>
      </c>
    </row>
    <row r="75" spans="1:15" x14ac:dyDescent="0.25">
      <c r="A75" s="21" t="s">
        <v>62</v>
      </c>
      <c r="B75" s="6">
        <v>2.63</v>
      </c>
      <c r="C75" s="6">
        <v>0.30000000000000004</v>
      </c>
      <c r="D75" s="6"/>
      <c r="E75" s="6">
        <v>4.91</v>
      </c>
      <c r="F75" s="6"/>
      <c r="G75" s="6">
        <v>3.5</v>
      </c>
      <c r="H75" s="6">
        <v>4.5</v>
      </c>
      <c r="I75" s="6">
        <v>1</v>
      </c>
      <c r="J75" s="6">
        <v>2.0499999999999998</v>
      </c>
      <c r="K75" s="6">
        <v>8</v>
      </c>
      <c r="L75" s="6"/>
      <c r="M75" s="6">
        <v>26.89</v>
      </c>
      <c r="N75" s="6">
        <v>26.89</v>
      </c>
    </row>
    <row r="76" spans="1:15" x14ac:dyDescent="0.25">
      <c r="A76" s="21" t="s">
        <v>167</v>
      </c>
      <c r="B76" s="6"/>
      <c r="C76" s="6"/>
      <c r="D76" s="6">
        <v>2</v>
      </c>
      <c r="E76" s="6">
        <v>1</v>
      </c>
      <c r="F76" s="6">
        <v>6.5600000000000005</v>
      </c>
      <c r="G76" s="6">
        <v>4</v>
      </c>
      <c r="H76" s="6">
        <v>3</v>
      </c>
      <c r="I76" s="6"/>
      <c r="J76" s="6">
        <v>2.23</v>
      </c>
      <c r="K76" s="6">
        <v>2.39</v>
      </c>
      <c r="L76" s="6">
        <v>-0.94</v>
      </c>
      <c r="M76" s="6">
        <v>20.240000000000002</v>
      </c>
      <c r="N76" s="6">
        <v>20.240000000000002</v>
      </c>
    </row>
    <row r="77" spans="1:15" x14ac:dyDescent="0.25">
      <c r="A77" s="21" t="s">
        <v>168</v>
      </c>
      <c r="B77" s="6"/>
      <c r="C77" s="6"/>
      <c r="D77" s="6">
        <v>1</v>
      </c>
      <c r="E77" s="6">
        <v>8.0299999999999994</v>
      </c>
      <c r="F77" s="6">
        <v>2.88</v>
      </c>
      <c r="G77" s="6">
        <v>1.5</v>
      </c>
      <c r="H77" s="6">
        <v>2.38</v>
      </c>
      <c r="I77" s="6">
        <v>1</v>
      </c>
      <c r="J77" s="6">
        <v>3.51</v>
      </c>
      <c r="K77" s="6">
        <v>2</v>
      </c>
      <c r="L77" s="6">
        <v>2.5</v>
      </c>
      <c r="M77" s="6">
        <v>24.799999999999997</v>
      </c>
      <c r="N77" s="6">
        <v>24.799999999999997</v>
      </c>
    </row>
    <row r="78" spans="1:15" x14ac:dyDescent="0.25">
      <c r="A78" s="5" t="s">
        <v>24</v>
      </c>
      <c r="B78" s="6">
        <v>238.28000000000003</v>
      </c>
      <c r="C78" s="6">
        <v>43.379999999999995</v>
      </c>
      <c r="D78" s="6">
        <v>178.68000000000004</v>
      </c>
      <c r="E78" s="6">
        <v>317.23</v>
      </c>
      <c r="F78" s="6">
        <v>231.65999999999997</v>
      </c>
      <c r="G78" s="6">
        <v>253.73999999999998</v>
      </c>
      <c r="H78" s="6">
        <v>157.87</v>
      </c>
      <c r="I78" s="6">
        <v>160.53</v>
      </c>
      <c r="J78" s="6">
        <v>304.67</v>
      </c>
      <c r="K78" s="6">
        <v>242.21999999999994</v>
      </c>
      <c r="L78" s="6">
        <v>104.38999999999999</v>
      </c>
      <c r="M78" s="6">
        <v>2232.65</v>
      </c>
      <c r="N78" s="6">
        <v>2232.65</v>
      </c>
    </row>
    <row r="79" spans="1:15" x14ac:dyDescent="0.25">
      <c r="G79" s="2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B71D-0064-4A15-AABB-B4180DD8EAA6}">
  <dimension ref="A10:N79"/>
  <sheetViews>
    <sheetView workbookViewId="0">
      <pane xSplit="1" ySplit="12" topLeftCell="D13" activePane="bottomRight" state="frozen"/>
      <selection pane="topRight" activeCell="B1" sqref="B1"/>
      <selection pane="bottomLeft" activeCell="A13" sqref="A13"/>
      <selection pane="bottomRight" activeCell="A64" sqref="A64"/>
    </sheetView>
  </sheetViews>
  <sheetFormatPr defaultRowHeight="11.5" x14ac:dyDescent="0.25"/>
  <cols>
    <col min="1" max="1" width="52.09765625" bestFit="1" customWidth="1"/>
    <col min="2" max="2" width="16.59765625" bestFit="1" customWidth="1"/>
    <col min="3" max="4" width="11.3984375" bestFit="1" customWidth="1"/>
    <col min="5" max="5" width="10.5" bestFit="1" customWidth="1"/>
    <col min="6" max="12" width="11.3984375" bestFit="1" customWidth="1"/>
    <col min="13" max="14" width="12.3984375" bestFit="1" customWidth="1"/>
    <col min="15" max="18" width="12.296875" bestFit="1" customWidth="1"/>
    <col min="19" max="19" width="13.3984375" bestFit="1" customWidth="1"/>
    <col min="20" max="28" width="12.296875" bestFit="1" customWidth="1"/>
    <col min="29" max="30" width="13.3984375" bestFit="1" customWidth="1"/>
    <col min="31" max="31" width="18.09765625" bestFit="1" customWidth="1"/>
    <col min="32" max="32" width="12.3984375" bestFit="1" customWidth="1"/>
    <col min="33" max="33" width="18.09765625" bestFit="1" customWidth="1"/>
    <col min="34" max="34" width="12.3984375" bestFit="1" customWidth="1"/>
    <col min="35" max="35" width="18.09765625" bestFit="1" customWidth="1"/>
    <col min="36" max="36" width="19.69921875" bestFit="1" customWidth="1"/>
    <col min="37" max="37" width="25.296875" bestFit="1" customWidth="1"/>
    <col min="38" max="38" width="12.3984375" bestFit="1" customWidth="1"/>
    <col min="39" max="39" width="18.09765625" bestFit="1" customWidth="1"/>
    <col min="40" max="40" width="12.3984375" bestFit="1" customWidth="1"/>
    <col min="41" max="41" width="18.09765625" bestFit="1" customWidth="1"/>
    <col min="42" max="42" width="12.3984375" bestFit="1" customWidth="1"/>
    <col min="43" max="43" width="18.09765625" bestFit="1" customWidth="1"/>
    <col min="44" max="44" width="12.3984375" bestFit="1" customWidth="1"/>
    <col min="45" max="45" width="18.09765625" bestFit="1" customWidth="1"/>
    <col min="46" max="46" width="12.3984375" bestFit="1" customWidth="1"/>
    <col min="47" max="47" width="18.09765625" bestFit="1" customWidth="1"/>
    <col min="48" max="48" width="12.3984375" bestFit="1" customWidth="1"/>
    <col min="49" max="49" width="18.09765625" bestFit="1" customWidth="1"/>
    <col min="50" max="50" width="12.3984375" bestFit="1" customWidth="1"/>
    <col min="51" max="51" width="18.09765625" bestFit="1" customWidth="1"/>
    <col min="52" max="52" width="12.3984375" bestFit="1" customWidth="1"/>
    <col min="53" max="53" width="18.09765625" bestFit="1" customWidth="1"/>
    <col min="54" max="54" width="19.69921875" bestFit="1" customWidth="1"/>
    <col min="55" max="55" width="25.296875" bestFit="1" customWidth="1"/>
    <col min="56" max="56" width="17" bestFit="1" customWidth="1"/>
    <col min="57" max="57" width="22.69921875" bestFit="1" customWidth="1"/>
  </cols>
  <sheetData>
    <row r="10" spans="1:14" x14ac:dyDescent="0.25">
      <c r="A10" s="3" t="s">
        <v>34</v>
      </c>
      <c r="B10" s="3" t="s">
        <v>26</v>
      </c>
      <c r="C10" s="4"/>
      <c r="D10" s="4"/>
      <c r="E10" s="4"/>
      <c r="F10" s="4"/>
      <c r="G10" s="4"/>
      <c r="H10" s="4"/>
      <c r="I10" s="4"/>
      <c r="J10" s="4"/>
      <c r="K10" s="4"/>
      <c r="L10" s="4"/>
      <c r="M10" s="4"/>
      <c r="N10" s="4"/>
    </row>
    <row r="11" spans="1:14" x14ac:dyDescent="0.25">
      <c r="A11" s="4"/>
      <c r="B11" s="4" t="s">
        <v>28</v>
      </c>
      <c r="C11" s="4"/>
      <c r="D11" s="4"/>
      <c r="E11" s="4"/>
      <c r="F11" s="4"/>
      <c r="G11" s="4"/>
      <c r="H11" s="4"/>
      <c r="I11" s="4"/>
      <c r="J11" s="4"/>
      <c r="K11" s="4"/>
      <c r="L11" s="4"/>
      <c r="M11" s="4" t="s">
        <v>30</v>
      </c>
      <c r="N11" s="4" t="s">
        <v>24</v>
      </c>
    </row>
    <row r="12" spans="1:14" x14ac:dyDescent="0.25">
      <c r="A12" s="3" t="s">
        <v>23</v>
      </c>
      <c r="B12" s="4" t="s">
        <v>31</v>
      </c>
      <c r="C12" s="4" t="s">
        <v>453</v>
      </c>
      <c r="D12" s="4" t="s">
        <v>454</v>
      </c>
      <c r="E12" s="4" t="s">
        <v>33</v>
      </c>
      <c r="F12" s="4" t="s">
        <v>32</v>
      </c>
      <c r="G12" s="4" t="s">
        <v>456</v>
      </c>
      <c r="H12" s="4" t="s">
        <v>457</v>
      </c>
      <c r="I12" s="4" t="s">
        <v>455</v>
      </c>
      <c r="J12" s="4" t="s">
        <v>458</v>
      </c>
      <c r="K12" s="4" t="s">
        <v>37</v>
      </c>
      <c r="L12" s="4" t="s">
        <v>500</v>
      </c>
      <c r="M12" s="4"/>
      <c r="N12" s="4"/>
    </row>
    <row r="13" spans="1:14" x14ac:dyDescent="0.25">
      <c r="A13" s="5" t="s">
        <v>503</v>
      </c>
      <c r="B13" s="6">
        <v>1314506.8634549999</v>
      </c>
      <c r="C13" s="6">
        <v>2026746.4736510005</v>
      </c>
      <c r="D13" s="6">
        <v>1909841.5845840003</v>
      </c>
      <c r="E13" s="6">
        <v>660739.78068299999</v>
      </c>
      <c r="F13" s="6">
        <v>1963522.6914430002</v>
      </c>
      <c r="G13" s="6">
        <v>671520.57796299993</v>
      </c>
      <c r="H13" s="6">
        <v>259275.98718300002</v>
      </c>
      <c r="I13" s="6">
        <v>1268903.0624619999</v>
      </c>
      <c r="J13" s="6">
        <v>1610308.2849600003</v>
      </c>
      <c r="K13" s="6">
        <v>2036453.7784930007</v>
      </c>
      <c r="L13" s="6">
        <v>249647.55129300003</v>
      </c>
      <c r="M13" s="6">
        <v>13971466.636169998</v>
      </c>
      <c r="N13" s="6">
        <v>13971466.636169998</v>
      </c>
    </row>
    <row r="14" spans="1:14" x14ac:dyDescent="0.25">
      <c r="A14" s="21" t="s">
        <v>41</v>
      </c>
      <c r="B14" s="6">
        <v>96912.576092999981</v>
      </c>
      <c r="C14" s="6">
        <v>36201.584677999999</v>
      </c>
      <c r="D14" s="6">
        <v>61609.825648000005</v>
      </c>
      <c r="E14" s="6">
        <v>1968.5721840000006</v>
      </c>
      <c r="F14" s="6">
        <v>107725.725103</v>
      </c>
      <c r="G14" s="6">
        <v>12402.044164999999</v>
      </c>
      <c r="H14" s="6">
        <v>720.03634699999998</v>
      </c>
      <c r="I14" s="6">
        <v>13575.221524</v>
      </c>
      <c r="J14" s="6">
        <v>42185.194226000007</v>
      </c>
      <c r="K14" s="6">
        <v>59965.268711999997</v>
      </c>
      <c r="L14" s="6">
        <v>37808.962956000003</v>
      </c>
      <c r="M14" s="6">
        <v>471075.01163599989</v>
      </c>
      <c r="N14" s="6">
        <v>471075.01163599989</v>
      </c>
    </row>
    <row r="15" spans="1:14" x14ac:dyDescent="0.25">
      <c r="A15" s="21" t="s">
        <v>42</v>
      </c>
      <c r="B15" s="6">
        <v>78049.793887000007</v>
      </c>
      <c r="C15" s="6">
        <v>158622.83521400002</v>
      </c>
      <c r="D15" s="6">
        <v>52503.607090999998</v>
      </c>
      <c r="E15" s="6">
        <v>12115.215536999996</v>
      </c>
      <c r="F15" s="6">
        <v>17501.202917999999</v>
      </c>
      <c r="G15" s="6">
        <v>52865.558441999994</v>
      </c>
      <c r="H15" s="6">
        <v>38494.072066000001</v>
      </c>
      <c r="I15" s="6">
        <v>139232.61526000002</v>
      </c>
      <c r="J15" s="6">
        <v>51119.177583000004</v>
      </c>
      <c r="K15" s="6">
        <v>159211.41504200001</v>
      </c>
      <c r="L15" s="6">
        <v>45836.350338000004</v>
      </c>
      <c r="M15" s="6">
        <v>805551.84337800008</v>
      </c>
      <c r="N15" s="6">
        <v>805551.84337800008</v>
      </c>
    </row>
    <row r="16" spans="1:14" x14ac:dyDescent="0.25">
      <c r="A16" s="21" t="s">
        <v>44</v>
      </c>
      <c r="B16" s="6">
        <v>95957.950932000007</v>
      </c>
      <c r="C16" s="6">
        <v>101526.99735000001</v>
      </c>
      <c r="D16" s="6">
        <v>153741.980621</v>
      </c>
      <c r="E16" s="6">
        <v>113346.79730900002</v>
      </c>
      <c r="F16" s="6">
        <v>168823.88759299999</v>
      </c>
      <c r="G16" s="6">
        <v>15295.228111</v>
      </c>
      <c r="H16" s="6"/>
      <c r="I16" s="6">
        <v>-8868.0043919999989</v>
      </c>
      <c r="J16" s="6">
        <v>90055.949429</v>
      </c>
      <c r="K16" s="6">
        <v>166545.783543</v>
      </c>
      <c r="L16" s="6">
        <v>43127.717045999998</v>
      </c>
      <c r="M16" s="6">
        <v>939554.28754199995</v>
      </c>
      <c r="N16" s="6">
        <v>939554.28754199995</v>
      </c>
    </row>
    <row r="17" spans="1:14" x14ac:dyDescent="0.25">
      <c r="A17" s="21" t="s">
        <v>45</v>
      </c>
      <c r="B17" s="6">
        <v>184946.560187</v>
      </c>
      <c r="C17" s="6">
        <v>14124.119589000002</v>
      </c>
      <c r="D17" s="6">
        <v>240693.70556800006</v>
      </c>
      <c r="E17" s="6">
        <v>54806.821234999996</v>
      </c>
      <c r="F17" s="6">
        <v>127872.799459</v>
      </c>
      <c r="G17" s="6">
        <v>25940.433431000001</v>
      </c>
      <c r="H17" s="6">
        <v>44268.144543000002</v>
      </c>
      <c r="I17" s="6">
        <v>125287.50887999999</v>
      </c>
      <c r="J17" s="6">
        <v>96111.415867999996</v>
      </c>
      <c r="K17" s="6">
        <v>82988.835883000007</v>
      </c>
      <c r="L17" s="6">
        <v>-13167.786023000002</v>
      </c>
      <c r="M17" s="6">
        <v>983872.55862000014</v>
      </c>
      <c r="N17" s="6">
        <v>983872.55862000014</v>
      </c>
    </row>
    <row r="18" spans="1:14" x14ac:dyDescent="0.25">
      <c r="A18" s="21" t="s">
        <v>46</v>
      </c>
      <c r="B18" s="6">
        <v>64783.996412</v>
      </c>
      <c r="C18" s="6">
        <v>113828.10930900001</v>
      </c>
      <c r="D18" s="6">
        <v>36631.673203999999</v>
      </c>
      <c r="E18" s="6">
        <v>36925.371255999999</v>
      </c>
      <c r="F18" s="6">
        <v>83156.700079000002</v>
      </c>
      <c r="G18" s="6">
        <v>26195.22522</v>
      </c>
      <c r="H18" s="6"/>
      <c r="I18" s="6">
        <v>50197.282542000001</v>
      </c>
      <c r="J18" s="6">
        <v>56708.212793999999</v>
      </c>
      <c r="K18" s="6">
        <v>125126.515772</v>
      </c>
      <c r="L18" s="6">
        <v>29961.881817000001</v>
      </c>
      <c r="M18" s="6">
        <v>623514.96840499993</v>
      </c>
      <c r="N18" s="6">
        <v>623514.96840499993</v>
      </c>
    </row>
    <row r="19" spans="1:14" x14ac:dyDescent="0.25">
      <c r="A19" s="21" t="s">
        <v>47</v>
      </c>
      <c r="B19" s="6">
        <v>64783.996595999997</v>
      </c>
      <c r="C19" s="6">
        <v>136496.112008</v>
      </c>
      <c r="D19" s="6">
        <v>15001.213204</v>
      </c>
      <c r="E19" s="6">
        <v>75778.060276999997</v>
      </c>
      <c r="F19" s="6">
        <v>143634.30013700001</v>
      </c>
      <c r="G19" s="6">
        <v>8146.4696309999999</v>
      </c>
      <c r="H19" s="6">
        <v>15983.262058</v>
      </c>
      <c r="I19" s="6">
        <v>68180.175396000006</v>
      </c>
      <c r="J19" s="6">
        <v>108026.20329399999</v>
      </c>
      <c r="K19" s="6">
        <v>153018.11325200001</v>
      </c>
      <c r="L19" s="6">
        <v>30825.744005</v>
      </c>
      <c r="M19" s="6">
        <v>819873.64985799999</v>
      </c>
      <c r="N19" s="6">
        <v>819873.64985799999</v>
      </c>
    </row>
    <row r="20" spans="1:14" x14ac:dyDescent="0.25">
      <c r="A20" s="21" t="s">
        <v>48</v>
      </c>
      <c r="B20" s="6">
        <v>72381.755692000006</v>
      </c>
      <c r="C20" s="6">
        <v>202157.37530800002</v>
      </c>
      <c r="D20" s="6">
        <v>74163.00722</v>
      </c>
      <c r="E20" s="6">
        <v>38848.258287999997</v>
      </c>
      <c r="F20" s="6">
        <v>239392.64722899999</v>
      </c>
      <c r="G20" s="6">
        <v>5319.8367369999996</v>
      </c>
      <c r="H20" s="6"/>
      <c r="I20" s="6">
        <v>92520.326157999996</v>
      </c>
      <c r="J20" s="6">
        <v>172275.34791700001</v>
      </c>
      <c r="K20" s="6">
        <v>177933.80838100001</v>
      </c>
      <c r="L20" s="6">
        <v>16971.808623999998</v>
      </c>
      <c r="M20" s="6">
        <v>1091964.1715540003</v>
      </c>
      <c r="N20" s="6">
        <v>1091964.1715540003</v>
      </c>
    </row>
    <row r="21" spans="1:14" x14ac:dyDescent="0.25">
      <c r="A21" s="21" t="s">
        <v>51</v>
      </c>
      <c r="B21" s="6">
        <v>109570.316534</v>
      </c>
      <c r="C21" s="6">
        <v>84778.67964100001</v>
      </c>
      <c r="D21" s="6">
        <v>27423.054705999995</v>
      </c>
      <c r="E21" s="6">
        <v>30063.481836999996</v>
      </c>
      <c r="F21" s="6">
        <v>114475.892033</v>
      </c>
      <c r="G21" s="6">
        <v>12332.854147</v>
      </c>
      <c r="H21" s="6">
        <v>1177.5503220000001</v>
      </c>
      <c r="I21" s="6">
        <v>50311.092581999997</v>
      </c>
      <c r="J21" s="6">
        <v>54656.223959999996</v>
      </c>
      <c r="K21" s="6">
        <v>84584.273909999989</v>
      </c>
      <c r="L21" s="6">
        <v>-13338.439272999998</v>
      </c>
      <c r="M21" s="6">
        <v>556034.98039899999</v>
      </c>
      <c r="N21" s="6">
        <v>556034.98039899999</v>
      </c>
    </row>
    <row r="22" spans="1:14" x14ac:dyDescent="0.25">
      <c r="A22" s="21" t="s">
        <v>52</v>
      </c>
      <c r="B22" s="6">
        <v>121102.317058</v>
      </c>
      <c r="C22" s="6">
        <v>92084.876013999994</v>
      </c>
      <c r="D22" s="6">
        <v>88918.966150000007</v>
      </c>
      <c r="E22" s="6">
        <v>20394.747511000001</v>
      </c>
      <c r="F22" s="6">
        <v>125676.79212</v>
      </c>
      <c r="G22" s="6">
        <v>16481.502447999999</v>
      </c>
      <c r="H22" s="6">
        <v>14806.908608</v>
      </c>
      <c r="I22" s="6">
        <v>58433.294516000002</v>
      </c>
      <c r="J22" s="6">
        <v>105289.52477799999</v>
      </c>
      <c r="K22" s="6">
        <v>112420.433727</v>
      </c>
      <c r="L22" s="6">
        <v>6603.4710159999977</v>
      </c>
      <c r="M22" s="6">
        <v>762212.83394600009</v>
      </c>
      <c r="N22" s="6">
        <v>762212.83394600009</v>
      </c>
    </row>
    <row r="23" spans="1:14" x14ac:dyDescent="0.25">
      <c r="A23" s="21" t="s">
        <v>57</v>
      </c>
      <c r="B23" s="6">
        <v>112386.568552</v>
      </c>
      <c r="C23" s="6">
        <v>67938.051745000004</v>
      </c>
      <c r="D23" s="6">
        <v>386689.933678</v>
      </c>
      <c r="E23" s="6">
        <v>81406.704281999992</v>
      </c>
      <c r="F23" s="6">
        <v>216891.410206</v>
      </c>
      <c r="G23" s="6">
        <v>27043.150046000002</v>
      </c>
      <c r="H23" s="6">
        <v>30197.870659</v>
      </c>
      <c r="I23" s="6">
        <v>65260.736375</v>
      </c>
      <c r="J23" s="6">
        <v>162219.60335400002</v>
      </c>
      <c r="K23" s="6">
        <v>177886.44097</v>
      </c>
      <c r="L23" s="6">
        <v>68372.921020000009</v>
      </c>
      <c r="M23" s="6">
        <v>1396293.3908869999</v>
      </c>
      <c r="N23" s="6">
        <v>1396293.3908869999</v>
      </c>
    </row>
    <row r="24" spans="1:14" x14ac:dyDescent="0.25">
      <c r="A24" s="21" t="s">
        <v>59</v>
      </c>
      <c r="B24" s="6">
        <v>122133.023546</v>
      </c>
      <c r="C24" s="6">
        <v>97824.858873999998</v>
      </c>
      <c r="D24" s="6">
        <v>94152.243175999989</v>
      </c>
      <c r="E24" s="6">
        <v>78298.842495000004</v>
      </c>
      <c r="F24" s="6">
        <v>115691.95354999999</v>
      </c>
      <c r="G24" s="6">
        <v>26012.680094000003</v>
      </c>
      <c r="H24" s="6">
        <v>43679.369267000002</v>
      </c>
      <c r="I24" s="6">
        <v>122876.18991599999</v>
      </c>
      <c r="J24" s="6">
        <v>91500.574849000011</v>
      </c>
      <c r="K24" s="6">
        <v>15931.680451</v>
      </c>
      <c r="L24" s="6">
        <v>-35485.389790999994</v>
      </c>
      <c r="M24" s="6">
        <v>772616.02642699983</v>
      </c>
      <c r="N24" s="6">
        <v>772616.02642699983</v>
      </c>
    </row>
    <row r="25" spans="1:14" x14ac:dyDescent="0.25">
      <c r="A25" s="21" t="s">
        <v>63</v>
      </c>
      <c r="B25" s="6">
        <v>71815.930861000001</v>
      </c>
      <c r="C25" s="6">
        <v>110309.39083400001</v>
      </c>
      <c r="D25" s="6">
        <v>30558.793045999999</v>
      </c>
      <c r="E25" s="6">
        <v>25428.218789999999</v>
      </c>
      <c r="F25" s="6">
        <v>31359.760030000001</v>
      </c>
      <c r="G25" s="6">
        <v>36574.144633999997</v>
      </c>
      <c r="H25" s="6"/>
      <c r="I25" s="6">
        <v>38350.327386999998</v>
      </c>
      <c r="J25" s="6">
        <v>33128.720013999999</v>
      </c>
      <c r="K25" s="6">
        <v>57631.628583000005</v>
      </c>
      <c r="L25" s="6">
        <v>-4634.920271</v>
      </c>
      <c r="M25" s="6">
        <v>430521.99390799995</v>
      </c>
      <c r="N25" s="6">
        <v>430521.99390799995</v>
      </c>
    </row>
    <row r="26" spans="1:14" x14ac:dyDescent="0.25">
      <c r="A26" s="21" t="s">
        <v>87</v>
      </c>
      <c r="B26" s="6">
        <v>38955.824334999998</v>
      </c>
      <c r="C26" s="6">
        <v>75288.849128999995</v>
      </c>
      <c r="D26" s="6"/>
      <c r="E26" s="6">
        <v>33020.543250000002</v>
      </c>
      <c r="F26" s="6">
        <v>130560.254575</v>
      </c>
      <c r="G26" s="6">
        <v>24643.328591000001</v>
      </c>
      <c r="H26" s="6">
        <v>1359.9545880000001</v>
      </c>
      <c r="I26" s="6">
        <v>37103.482724000001</v>
      </c>
      <c r="J26" s="6">
        <v>140537.44519400003</v>
      </c>
      <c r="K26" s="6">
        <v>99448.180171999993</v>
      </c>
      <c r="L26" s="6">
        <v>32852.840849</v>
      </c>
      <c r="M26" s="6">
        <v>613770.70340700005</v>
      </c>
      <c r="N26" s="6">
        <v>613770.70340700005</v>
      </c>
    </row>
    <row r="27" spans="1:14" x14ac:dyDescent="0.25">
      <c r="A27" s="21" t="s">
        <v>89</v>
      </c>
      <c r="B27" s="6">
        <v>80726.252769999992</v>
      </c>
      <c r="C27" s="6">
        <v>47066.398431000001</v>
      </c>
      <c r="D27" s="6">
        <v>14167.871735999999</v>
      </c>
      <c r="E27" s="6">
        <v>58338.146431999994</v>
      </c>
      <c r="F27" s="6">
        <v>183523.23193800001</v>
      </c>
      <c r="G27" s="6">
        <v>4071.4850030000002</v>
      </c>
      <c r="H27" s="6">
        <v>16207.805655999999</v>
      </c>
      <c r="I27" s="6">
        <v>11475.199838</v>
      </c>
      <c r="J27" s="6">
        <v>67545.863637999995</v>
      </c>
      <c r="K27" s="6">
        <v>54793.336759999998</v>
      </c>
      <c r="L27" s="6">
        <v>6076.891181</v>
      </c>
      <c r="M27" s="6">
        <v>543992.48338300001</v>
      </c>
      <c r="N27" s="6">
        <v>543992.48338300001</v>
      </c>
    </row>
    <row r="28" spans="1:14" x14ac:dyDescent="0.25">
      <c r="A28" s="21" t="s">
        <v>166</v>
      </c>
      <c r="B28" s="6"/>
      <c r="C28" s="6">
        <v>165579.35559000002</v>
      </c>
      <c r="D28" s="6">
        <v>51004.696496999997</v>
      </c>
      <c r="E28" s="6"/>
      <c r="F28" s="6">
        <v>7917.8874089999999</v>
      </c>
      <c r="G28" s="6">
        <v>28470.869267000002</v>
      </c>
      <c r="H28" s="6">
        <v>7917.8873640000002</v>
      </c>
      <c r="I28" s="6">
        <v>49065.758779999996</v>
      </c>
      <c r="J28" s="6">
        <v>25764.217113000002</v>
      </c>
      <c r="K28" s="6">
        <v>51974.068905</v>
      </c>
      <c r="L28" s="6">
        <v>-12404.100311</v>
      </c>
      <c r="M28" s="6">
        <v>375290.64061399997</v>
      </c>
      <c r="N28" s="6">
        <v>375290.64061399997</v>
      </c>
    </row>
    <row r="29" spans="1:14" x14ac:dyDescent="0.25">
      <c r="A29" s="21" t="s">
        <v>170</v>
      </c>
      <c r="B29" s="6"/>
      <c r="C29" s="6">
        <v>54851.714295999998</v>
      </c>
      <c r="D29" s="6"/>
      <c r="E29" s="6"/>
      <c r="F29" s="6">
        <v>13889.688973</v>
      </c>
      <c r="G29" s="6">
        <v>33250.587444999997</v>
      </c>
      <c r="H29" s="6">
        <v>14000.247869999999</v>
      </c>
      <c r="I29" s="6">
        <v>13300.235526</v>
      </c>
      <c r="J29" s="6">
        <v>18646.119364999999</v>
      </c>
      <c r="K29" s="6">
        <v>17808.855582</v>
      </c>
      <c r="L29" s="6"/>
      <c r="M29" s="6">
        <v>165747.44905699999</v>
      </c>
      <c r="N29" s="6">
        <v>165747.44905699999</v>
      </c>
    </row>
    <row r="30" spans="1:14" x14ac:dyDescent="0.25">
      <c r="A30" s="21" t="s">
        <v>171</v>
      </c>
      <c r="B30" s="6"/>
      <c r="C30" s="6">
        <v>52550.220590999998</v>
      </c>
      <c r="D30" s="6">
        <v>11181.259330999999</v>
      </c>
      <c r="E30" s="6"/>
      <c r="F30" s="6">
        <v>13334.135765999999</v>
      </c>
      <c r="G30" s="6">
        <v>35179.023857</v>
      </c>
      <c r="H30" s="6"/>
      <c r="I30" s="6">
        <v>12227.594332000001</v>
      </c>
      <c r="J30" s="6">
        <v>45354.810022999998</v>
      </c>
      <c r="K30" s="6">
        <v>23066.82519</v>
      </c>
      <c r="L30" s="6"/>
      <c r="M30" s="6">
        <v>192893.86908999999</v>
      </c>
      <c r="N30" s="6">
        <v>192893.86908999999</v>
      </c>
    </row>
    <row r="31" spans="1:14" x14ac:dyDescent="0.25">
      <c r="A31" s="21" t="s">
        <v>172</v>
      </c>
      <c r="B31" s="6"/>
      <c r="C31" s="6">
        <v>132299.49624000001</v>
      </c>
      <c r="D31" s="6">
        <v>37503.638233999998</v>
      </c>
      <c r="E31" s="6"/>
      <c r="F31" s="6">
        <v>18751.819134000001</v>
      </c>
      <c r="G31" s="6">
        <v>41268.041566</v>
      </c>
      <c r="H31" s="6"/>
      <c r="I31" s="6">
        <v>89672.264662000016</v>
      </c>
      <c r="J31" s="6">
        <v>22132.372310999996</v>
      </c>
      <c r="K31" s="6">
        <v>46983.533971999997</v>
      </c>
      <c r="L31" s="6">
        <v>5577.1149999999998</v>
      </c>
      <c r="M31" s="6">
        <v>394188.28111900005</v>
      </c>
      <c r="N31" s="6">
        <v>394188.28111900005</v>
      </c>
    </row>
    <row r="32" spans="1:14" x14ac:dyDescent="0.25">
      <c r="A32" s="21" t="s">
        <v>173</v>
      </c>
      <c r="B32" s="6"/>
      <c r="C32" s="6">
        <v>41998.032076000003</v>
      </c>
      <c r="D32" s="6">
        <v>20835.753691999998</v>
      </c>
      <c r="E32" s="6"/>
      <c r="F32" s="6">
        <v>10417.87693</v>
      </c>
      <c r="G32" s="6">
        <v>9143.3216119999997</v>
      </c>
      <c r="H32" s="6"/>
      <c r="I32" s="6">
        <v>9974.5325440000015</v>
      </c>
      <c r="J32" s="6">
        <v>34821.390890000002</v>
      </c>
      <c r="K32" s="6">
        <v>26037.527552</v>
      </c>
      <c r="L32" s="6">
        <v>5122.1208770000003</v>
      </c>
      <c r="M32" s="6">
        <v>158350.55617299999</v>
      </c>
      <c r="N32" s="6">
        <v>158350.55617299999</v>
      </c>
    </row>
    <row r="33" spans="1:14" x14ac:dyDescent="0.25">
      <c r="A33" s="21" t="s">
        <v>174</v>
      </c>
      <c r="B33" s="6"/>
      <c r="C33" s="6">
        <v>65519.208119000003</v>
      </c>
      <c r="D33" s="6">
        <v>33300.806349999999</v>
      </c>
      <c r="E33" s="6"/>
      <c r="F33" s="6">
        <v>16251.818402999999</v>
      </c>
      <c r="G33" s="6">
        <v>58208.804134000005</v>
      </c>
      <c r="H33" s="6">
        <v>992.02681800000005</v>
      </c>
      <c r="I33" s="6">
        <v>33310.913615000005</v>
      </c>
      <c r="J33" s="6">
        <v>19192.168682</v>
      </c>
      <c r="K33" s="6">
        <v>28121.676707999999</v>
      </c>
      <c r="L33" s="6">
        <v>7749.6196140000002</v>
      </c>
      <c r="M33" s="6">
        <v>262647.04244300001</v>
      </c>
      <c r="N33" s="6">
        <v>262647.04244300001</v>
      </c>
    </row>
    <row r="34" spans="1:14" x14ac:dyDescent="0.25">
      <c r="A34" s="21" t="s">
        <v>175</v>
      </c>
      <c r="B34" s="6"/>
      <c r="C34" s="6">
        <v>38640.576070000003</v>
      </c>
      <c r="D34" s="6">
        <v>19167.862384</v>
      </c>
      <c r="E34" s="6"/>
      <c r="F34" s="6">
        <v>9584.5471199999993</v>
      </c>
      <c r="G34" s="6">
        <v>16059.989581999998</v>
      </c>
      <c r="H34" s="6">
        <v>4830.0718900000002</v>
      </c>
      <c r="I34" s="6">
        <v>6882.8525399999999</v>
      </c>
      <c r="J34" s="6">
        <v>10350.348076</v>
      </c>
      <c r="K34" s="6">
        <v>11090.27175</v>
      </c>
      <c r="L34" s="6"/>
      <c r="M34" s="6">
        <v>116606.51941200001</v>
      </c>
      <c r="N34" s="6">
        <v>116606.51941200001</v>
      </c>
    </row>
    <row r="35" spans="1:14" x14ac:dyDescent="0.25">
      <c r="A35" s="21" t="s">
        <v>176</v>
      </c>
      <c r="B35" s="6"/>
      <c r="C35" s="6">
        <v>74442.659755999994</v>
      </c>
      <c r="D35" s="6"/>
      <c r="E35" s="6"/>
      <c r="F35" s="6">
        <v>20001.203649999999</v>
      </c>
      <c r="G35" s="6">
        <v>66467.34649299999</v>
      </c>
      <c r="H35" s="6"/>
      <c r="I35" s="6">
        <v>18753.615274</v>
      </c>
      <c r="J35" s="6">
        <v>41062.709402</v>
      </c>
      <c r="K35" s="6">
        <v>65986.011022999999</v>
      </c>
      <c r="L35" s="6">
        <v>3263.88094</v>
      </c>
      <c r="M35" s="6">
        <v>289977.426538</v>
      </c>
      <c r="N35" s="6">
        <v>289977.426538</v>
      </c>
    </row>
    <row r="36" spans="1:14" x14ac:dyDescent="0.25">
      <c r="A36" s="21" t="s">
        <v>177</v>
      </c>
      <c r="B36" s="6"/>
      <c r="C36" s="6">
        <v>504.635288</v>
      </c>
      <c r="D36" s="6">
        <v>89887.624146999995</v>
      </c>
      <c r="E36" s="6"/>
      <c r="F36" s="6">
        <v>11667.882946</v>
      </c>
      <c r="G36" s="6">
        <v>27000.350166</v>
      </c>
      <c r="H36" s="6">
        <v>12880.643394000001</v>
      </c>
      <c r="I36" s="6">
        <v>60266.211165999994</v>
      </c>
      <c r="J36" s="6">
        <v>20475.780860999999</v>
      </c>
      <c r="K36" s="6">
        <v>97459.301703000005</v>
      </c>
      <c r="L36" s="6">
        <v>-11473.138321</v>
      </c>
      <c r="M36" s="6">
        <v>308669.29135000001</v>
      </c>
      <c r="N36" s="6">
        <v>308669.29135000001</v>
      </c>
    </row>
    <row r="37" spans="1:14" x14ac:dyDescent="0.25">
      <c r="A37" s="21" t="s">
        <v>179</v>
      </c>
      <c r="B37" s="6"/>
      <c r="C37" s="6">
        <v>456.61039799999998</v>
      </c>
      <c r="D37" s="6">
        <v>166070.21234</v>
      </c>
      <c r="E37" s="6"/>
      <c r="F37" s="6">
        <v>23751.809295999999</v>
      </c>
      <c r="G37" s="6">
        <v>17860.666598</v>
      </c>
      <c r="H37" s="6"/>
      <c r="I37" s="6">
        <v>49864.118111000003</v>
      </c>
      <c r="J37" s="6">
        <v>57230.794482999998</v>
      </c>
      <c r="K37" s="6">
        <v>52357.938863999996</v>
      </c>
      <c r="L37" s="6"/>
      <c r="M37" s="6">
        <v>367592.15009000001</v>
      </c>
      <c r="N37" s="6">
        <v>367592.15009000001</v>
      </c>
    </row>
    <row r="38" spans="1:14" x14ac:dyDescent="0.25">
      <c r="A38" s="21" t="s">
        <v>180</v>
      </c>
      <c r="B38" s="6"/>
      <c r="C38" s="6">
        <v>46028.900236999994</v>
      </c>
      <c r="D38" s="6">
        <v>17501.202228000002</v>
      </c>
      <c r="E38" s="6"/>
      <c r="F38" s="6">
        <v>11667.464846000001</v>
      </c>
      <c r="G38" s="6">
        <v>29326.838599000002</v>
      </c>
      <c r="H38" s="6">
        <v>11760.135732999999</v>
      </c>
      <c r="I38" s="6">
        <v>9775.6129089999995</v>
      </c>
      <c r="J38" s="6">
        <v>21519.562138000001</v>
      </c>
      <c r="K38" s="6">
        <v>24192.847954000001</v>
      </c>
      <c r="L38" s="6"/>
      <c r="M38" s="6">
        <v>171772.564644</v>
      </c>
      <c r="N38" s="6">
        <v>171772.564644</v>
      </c>
    </row>
    <row r="39" spans="1:14" x14ac:dyDescent="0.25">
      <c r="A39" s="21" t="s">
        <v>190</v>
      </c>
      <c r="B39" s="6"/>
      <c r="C39" s="6">
        <v>15626.826865999999</v>
      </c>
      <c r="D39" s="6">
        <v>187132.65433299998</v>
      </c>
      <c r="E39" s="6"/>
      <c r="F39" s="6"/>
      <c r="G39" s="6">
        <v>15960.797944</v>
      </c>
      <c r="H39" s="6"/>
      <c r="I39" s="6">
        <v>51873.904297000001</v>
      </c>
      <c r="J39" s="6">
        <v>22398.554717999999</v>
      </c>
      <c r="K39" s="6">
        <v>63889.204131999992</v>
      </c>
      <c r="L39" s="6"/>
      <c r="M39" s="6">
        <v>356881.94228999992</v>
      </c>
      <c r="N39" s="6">
        <v>356881.94228999992</v>
      </c>
    </row>
    <row r="40" spans="1:14" x14ac:dyDescent="0.25">
      <c r="A40" s="5" t="s">
        <v>508</v>
      </c>
      <c r="B40" s="6"/>
      <c r="C40" s="6">
        <v>832.71959600000002</v>
      </c>
      <c r="D40" s="6">
        <v>52226.961672000005</v>
      </c>
      <c r="E40" s="6"/>
      <c r="F40" s="6">
        <v>9167.2720140000001</v>
      </c>
      <c r="G40" s="6"/>
      <c r="H40" s="6"/>
      <c r="I40" s="6">
        <v>28186.437110999999</v>
      </c>
      <c r="J40" s="6">
        <v>95634.94009399999</v>
      </c>
      <c r="K40" s="6">
        <v>16631.610910000003</v>
      </c>
      <c r="L40" s="6">
        <v>4583.6302999999998</v>
      </c>
      <c r="M40" s="6">
        <v>207263.57169699998</v>
      </c>
      <c r="N40" s="6">
        <v>207263.57169699998</v>
      </c>
    </row>
    <row r="41" spans="1:14" x14ac:dyDescent="0.25">
      <c r="A41" s="21" t="s">
        <v>178</v>
      </c>
      <c r="B41" s="6"/>
      <c r="C41" s="6">
        <v>832.71959600000002</v>
      </c>
      <c r="D41" s="6">
        <v>52226.961672000005</v>
      </c>
      <c r="E41" s="6"/>
      <c r="F41" s="6">
        <v>9167.2720140000001</v>
      </c>
      <c r="G41" s="6"/>
      <c r="H41" s="6"/>
      <c r="I41" s="6">
        <v>28186.437110999999</v>
      </c>
      <c r="J41" s="6">
        <v>95634.94009399999</v>
      </c>
      <c r="K41" s="6">
        <v>16631.610910000003</v>
      </c>
      <c r="L41" s="6">
        <v>4583.6302999999998</v>
      </c>
      <c r="M41" s="6">
        <v>207263.57169699998</v>
      </c>
      <c r="N41" s="6">
        <v>207263.57169699998</v>
      </c>
    </row>
    <row r="42" spans="1:14" x14ac:dyDescent="0.25">
      <c r="A42" s="5" t="s">
        <v>507</v>
      </c>
      <c r="B42" s="6">
        <v>95069.443515999999</v>
      </c>
      <c r="C42" s="6">
        <v>181530.328225</v>
      </c>
      <c r="D42" s="6">
        <v>90770.489849000005</v>
      </c>
      <c r="E42" s="6">
        <v>2167.7453799999985</v>
      </c>
      <c r="F42" s="6">
        <v>58848.852018999998</v>
      </c>
      <c r="G42" s="6">
        <v>56146.810301999998</v>
      </c>
      <c r="H42" s="6">
        <v>168820.32902100001</v>
      </c>
      <c r="I42" s="6">
        <v>217933.72283099999</v>
      </c>
      <c r="J42" s="6">
        <v>111975.50945300001</v>
      </c>
      <c r="K42" s="6">
        <v>1361.3550990000001</v>
      </c>
      <c r="L42" s="6">
        <v>40953.075864999999</v>
      </c>
      <c r="M42" s="6">
        <v>1025577.6615599999</v>
      </c>
      <c r="N42" s="6">
        <v>1025577.6615599999</v>
      </c>
    </row>
    <row r="43" spans="1:14" x14ac:dyDescent="0.25">
      <c r="A43" s="21" t="s">
        <v>60</v>
      </c>
      <c r="B43" s="6">
        <v>63479.920481000001</v>
      </c>
      <c r="C43" s="6">
        <v>125759.23501800001</v>
      </c>
      <c r="D43" s="6">
        <v>63533.05128</v>
      </c>
      <c r="E43" s="6">
        <v>-3135.4899800000012</v>
      </c>
      <c r="F43" s="6">
        <v>44682.200123000002</v>
      </c>
      <c r="G43" s="6">
        <v>45577.612667000001</v>
      </c>
      <c r="H43" s="6">
        <v>103202.71897</v>
      </c>
      <c r="I43" s="6">
        <v>115911.87196399999</v>
      </c>
      <c r="J43" s="6">
        <v>102847.900194</v>
      </c>
      <c r="K43" s="6">
        <v>1361.3550990000001</v>
      </c>
      <c r="L43" s="6">
        <v>12619.795122</v>
      </c>
      <c r="M43" s="6">
        <v>675840.17093799997</v>
      </c>
      <c r="N43" s="6">
        <v>675840.17093799997</v>
      </c>
    </row>
    <row r="44" spans="1:14" x14ac:dyDescent="0.25">
      <c r="A44" s="21" t="s">
        <v>90</v>
      </c>
      <c r="B44" s="6">
        <v>31589.523035000002</v>
      </c>
      <c r="C44" s="6">
        <v>55771.093206999998</v>
      </c>
      <c r="D44" s="6">
        <v>27237.438568999998</v>
      </c>
      <c r="E44" s="6">
        <v>5303.2353599999997</v>
      </c>
      <c r="F44" s="6">
        <v>14166.651895999999</v>
      </c>
      <c r="G44" s="6">
        <v>10569.197635</v>
      </c>
      <c r="H44" s="6">
        <v>65617.610050999996</v>
      </c>
      <c r="I44" s="6">
        <v>102021.850867</v>
      </c>
      <c r="J44" s="6">
        <v>9127.6092589999989</v>
      </c>
      <c r="K44" s="6"/>
      <c r="L44" s="6">
        <v>28333.280742999999</v>
      </c>
      <c r="M44" s="6">
        <v>349737.49062200001</v>
      </c>
      <c r="N44" s="6">
        <v>349737.49062200001</v>
      </c>
    </row>
    <row r="45" spans="1:14" x14ac:dyDescent="0.25">
      <c r="A45" s="5" t="s">
        <v>509</v>
      </c>
      <c r="B45" s="6"/>
      <c r="C45" s="6"/>
      <c r="D45" s="6"/>
      <c r="E45" s="6"/>
      <c r="F45" s="6"/>
      <c r="G45" s="6">
        <v>405050.440374</v>
      </c>
      <c r="H45" s="6">
        <v>115711.07368599999</v>
      </c>
      <c r="I45" s="6"/>
      <c r="J45" s="6">
        <v>179468.74943999999</v>
      </c>
      <c r="K45" s="6"/>
      <c r="L45" s="6">
        <v>281048.514494</v>
      </c>
      <c r="M45" s="6">
        <v>981278.777994</v>
      </c>
      <c r="N45" s="6">
        <v>981278.777994</v>
      </c>
    </row>
    <row r="46" spans="1:14" x14ac:dyDescent="0.25">
      <c r="A46" s="21" t="s">
        <v>283</v>
      </c>
      <c r="B46" s="6"/>
      <c r="C46" s="6"/>
      <c r="D46" s="6"/>
      <c r="E46" s="6"/>
      <c r="F46" s="6"/>
      <c r="G46" s="6">
        <v>169771.87639799999</v>
      </c>
      <c r="H46" s="6">
        <v>15539.759491999999</v>
      </c>
      <c r="I46" s="6"/>
      <c r="J46" s="6">
        <v>110779.157724</v>
      </c>
      <c r="K46" s="6"/>
      <c r="L46" s="6">
        <v>66599.374802000006</v>
      </c>
      <c r="M46" s="6">
        <v>362690.16841600003</v>
      </c>
      <c r="N46" s="6">
        <v>362690.16841600003</v>
      </c>
    </row>
    <row r="47" spans="1:14" x14ac:dyDescent="0.25">
      <c r="A47" s="21" t="s">
        <v>284</v>
      </c>
      <c r="B47" s="6"/>
      <c r="C47" s="6"/>
      <c r="D47" s="6"/>
      <c r="E47" s="6"/>
      <c r="F47" s="6"/>
      <c r="G47" s="6">
        <v>149094.11898200001</v>
      </c>
      <c r="H47" s="6">
        <v>39691.001363999996</v>
      </c>
      <c r="I47" s="6"/>
      <c r="J47" s="6">
        <v>68689.591715999995</v>
      </c>
      <c r="K47" s="6"/>
      <c r="L47" s="6"/>
      <c r="M47" s="6">
        <v>257474.71206200001</v>
      </c>
      <c r="N47" s="6">
        <v>257474.71206200001</v>
      </c>
    </row>
    <row r="48" spans="1:14" x14ac:dyDescent="0.25">
      <c r="A48" s="21" t="s">
        <v>285</v>
      </c>
      <c r="B48" s="6"/>
      <c r="C48" s="6"/>
      <c r="D48" s="6"/>
      <c r="E48" s="6"/>
      <c r="F48" s="6"/>
      <c r="G48" s="6">
        <v>86184.444994000005</v>
      </c>
      <c r="H48" s="6">
        <v>60480.312829999995</v>
      </c>
      <c r="I48" s="6"/>
      <c r="J48" s="6"/>
      <c r="K48" s="6"/>
      <c r="L48" s="6">
        <v>214449.139692</v>
      </c>
      <c r="M48" s="6">
        <v>361113.89751599997</v>
      </c>
      <c r="N48" s="6">
        <v>361113.89751599997</v>
      </c>
    </row>
    <row r="49" spans="1:14" x14ac:dyDescent="0.25">
      <c r="A49" s="5" t="s">
        <v>510</v>
      </c>
      <c r="B49" s="6"/>
      <c r="C49" s="6"/>
      <c r="D49" s="6"/>
      <c r="E49" s="6"/>
      <c r="F49" s="6"/>
      <c r="G49" s="6"/>
      <c r="H49" s="6"/>
      <c r="I49" s="6"/>
      <c r="J49" s="6"/>
      <c r="K49" s="6"/>
      <c r="L49" s="6">
        <v>16667.950449</v>
      </c>
      <c r="M49" s="6">
        <v>16667.950449</v>
      </c>
      <c r="N49" s="6">
        <v>16667.950449</v>
      </c>
    </row>
    <row r="50" spans="1:14" x14ac:dyDescent="0.25">
      <c r="A50" s="21" t="s">
        <v>497</v>
      </c>
      <c r="B50" s="6"/>
      <c r="C50" s="6"/>
      <c r="D50" s="6"/>
      <c r="E50" s="6"/>
      <c r="F50" s="6"/>
      <c r="G50" s="6"/>
      <c r="H50" s="6"/>
      <c r="I50" s="6"/>
      <c r="J50" s="6"/>
      <c r="K50" s="6"/>
      <c r="L50" s="6">
        <v>8333.3204490000007</v>
      </c>
      <c r="M50" s="6">
        <v>8333.3204490000007</v>
      </c>
      <c r="N50" s="6">
        <v>8333.3204490000007</v>
      </c>
    </row>
    <row r="51" spans="1:14" x14ac:dyDescent="0.25">
      <c r="A51" s="21" t="s">
        <v>499</v>
      </c>
      <c r="B51" s="6"/>
      <c r="C51" s="6"/>
      <c r="D51" s="6"/>
      <c r="E51" s="6"/>
      <c r="F51" s="6"/>
      <c r="G51" s="6"/>
      <c r="H51" s="6"/>
      <c r="I51" s="6"/>
      <c r="J51" s="6"/>
      <c r="K51" s="6"/>
      <c r="L51" s="6">
        <v>8334.6299999999992</v>
      </c>
      <c r="M51" s="6">
        <v>8334.6299999999992</v>
      </c>
      <c r="N51" s="6">
        <v>8334.6299999999992</v>
      </c>
    </row>
    <row r="52" spans="1:14" x14ac:dyDescent="0.25">
      <c r="A52" s="5" t="s">
        <v>506</v>
      </c>
      <c r="B52" s="6">
        <v>328146.28329300001</v>
      </c>
      <c r="C52" s="6">
        <v>414992.32136699994</v>
      </c>
      <c r="D52" s="6">
        <v>397710.02320600004</v>
      </c>
      <c r="E52" s="6">
        <v>47535.165638000006</v>
      </c>
      <c r="F52" s="6">
        <v>122663.229972</v>
      </c>
      <c r="G52" s="6">
        <v>450232.12008799997</v>
      </c>
      <c r="H52" s="6">
        <v>534254.35671800002</v>
      </c>
      <c r="I52" s="6">
        <v>820949.63159500004</v>
      </c>
      <c r="J52" s="6">
        <v>508505.30469699996</v>
      </c>
      <c r="K52" s="6">
        <v>240078.480438</v>
      </c>
      <c r="L52" s="6">
        <v>93612.319599999988</v>
      </c>
      <c r="M52" s="6">
        <v>3958679.236612</v>
      </c>
      <c r="N52" s="6">
        <v>3958679.236612</v>
      </c>
    </row>
    <row r="53" spans="1:14" x14ac:dyDescent="0.25">
      <c r="A53" s="21" t="s">
        <v>39</v>
      </c>
      <c r="B53" s="6">
        <v>86638.829053000009</v>
      </c>
      <c r="C53" s="6">
        <v>109556.34638800001</v>
      </c>
      <c r="D53" s="6">
        <v>52610.496250000004</v>
      </c>
      <c r="E53" s="6">
        <v>14779.224331000001</v>
      </c>
      <c r="F53" s="6">
        <v>29252.174653999999</v>
      </c>
      <c r="G53" s="6">
        <v>210733.23755299998</v>
      </c>
      <c r="H53" s="6">
        <v>91477.908630000005</v>
      </c>
      <c r="I53" s="6">
        <v>104051.620979</v>
      </c>
      <c r="J53" s="6">
        <v>126801.188343</v>
      </c>
      <c r="K53" s="6">
        <v>52176.711546999999</v>
      </c>
      <c r="L53" s="6">
        <v>-9841.5641759999999</v>
      </c>
      <c r="M53" s="6">
        <v>868236.17355199996</v>
      </c>
      <c r="N53" s="6">
        <v>868236.17355199996</v>
      </c>
    </row>
    <row r="54" spans="1:14" x14ac:dyDescent="0.25">
      <c r="A54" s="21" t="s">
        <v>54</v>
      </c>
      <c r="B54" s="6">
        <v>155397.917208</v>
      </c>
      <c r="C54" s="6">
        <v>93049.748368999994</v>
      </c>
      <c r="D54" s="6">
        <v>90994.956919000004</v>
      </c>
      <c r="E54" s="6">
        <v>4164.6495450000039</v>
      </c>
      <c r="F54" s="6">
        <v>61339.157617999997</v>
      </c>
      <c r="G54" s="6">
        <v>121609.90495699999</v>
      </c>
      <c r="H54" s="6">
        <v>203194.90717700002</v>
      </c>
      <c r="I54" s="6">
        <v>406509.52021799999</v>
      </c>
      <c r="J54" s="6">
        <v>10775.17088</v>
      </c>
      <c r="K54" s="6">
        <v>1.5999999995983671E-3</v>
      </c>
      <c r="L54" s="6">
        <v>40187.478145000001</v>
      </c>
      <c r="M54" s="6">
        <v>1187223.4126360004</v>
      </c>
      <c r="N54" s="6">
        <v>1187223.4126360004</v>
      </c>
    </row>
    <row r="55" spans="1:14" x14ac:dyDescent="0.25">
      <c r="A55" s="21" t="s">
        <v>58</v>
      </c>
      <c r="B55" s="6">
        <v>86109.537032000007</v>
      </c>
      <c r="C55" s="6">
        <v>125551.64745399999</v>
      </c>
      <c r="D55" s="6">
        <v>133205.38361400002</v>
      </c>
      <c r="E55" s="6">
        <v>28591.291762000001</v>
      </c>
      <c r="F55" s="6">
        <v>22001.439274</v>
      </c>
      <c r="G55" s="6">
        <v>98339.253938000009</v>
      </c>
      <c r="H55" s="6">
        <v>216762.77262999999</v>
      </c>
      <c r="I55" s="6">
        <v>281240.61523099995</v>
      </c>
      <c r="J55" s="6">
        <v>225657.12908799999</v>
      </c>
      <c r="K55" s="6">
        <v>111481.839194</v>
      </c>
      <c r="L55" s="6">
        <v>55973.724762999998</v>
      </c>
      <c r="M55" s="6">
        <v>1384914.6339799999</v>
      </c>
      <c r="N55" s="6">
        <v>1384914.6339799999</v>
      </c>
    </row>
    <row r="56" spans="1:14" x14ac:dyDescent="0.25">
      <c r="A56" s="21" t="s">
        <v>181</v>
      </c>
      <c r="B56" s="6"/>
      <c r="C56" s="6">
        <v>71744.604126000006</v>
      </c>
      <c r="D56" s="6">
        <v>40281.822203000003</v>
      </c>
      <c r="E56" s="6"/>
      <c r="F56" s="6">
        <v>10070.458425999999</v>
      </c>
      <c r="G56" s="6"/>
      <c r="H56" s="6">
        <v>8119.7282290000003</v>
      </c>
      <c r="I56" s="6">
        <v>18364.172157000001</v>
      </c>
      <c r="J56" s="6">
        <v>17631.898722000002</v>
      </c>
      <c r="K56" s="6">
        <v>28419.047594</v>
      </c>
      <c r="L56" s="6"/>
      <c r="M56" s="6">
        <v>194631.73145700002</v>
      </c>
      <c r="N56" s="6">
        <v>194631.73145700002</v>
      </c>
    </row>
    <row r="57" spans="1:14" x14ac:dyDescent="0.25">
      <c r="A57" s="21" t="s">
        <v>189</v>
      </c>
      <c r="B57" s="6"/>
      <c r="C57" s="6">
        <v>15089.97503</v>
      </c>
      <c r="D57" s="6">
        <v>80617.364220000003</v>
      </c>
      <c r="E57" s="6"/>
      <c r="F57" s="6"/>
      <c r="G57" s="6">
        <v>19549.72364</v>
      </c>
      <c r="H57" s="6">
        <v>14699.040052</v>
      </c>
      <c r="I57" s="6">
        <v>10783.703009999999</v>
      </c>
      <c r="J57" s="6">
        <v>46390.567663999995</v>
      </c>
      <c r="K57" s="6">
        <v>16168.943782</v>
      </c>
      <c r="L57" s="6">
        <v>7292.6808680000004</v>
      </c>
      <c r="M57" s="6">
        <v>210591.99826599998</v>
      </c>
      <c r="N57" s="6">
        <v>210591.99826599998</v>
      </c>
    </row>
    <row r="58" spans="1:14" x14ac:dyDescent="0.25">
      <c r="A58" s="21" t="s">
        <v>351</v>
      </c>
      <c r="B58" s="6"/>
      <c r="C58" s="6"/>
      <c r="D58" s="6"/>
      <c r="E58" s="6"/>
      <c r="F58" s="6"/>
      <c r="G58" s="6"/>
      <c r="H58" s="6"/>
      <c r="I58" s="6"/>
      <c r="J58" s="6">
        <v>81249.349999999991</v>
      </c>
      <c r="K58" s="6">
        <v>31831.936720999998</v>
      </c>
      <c r="L58" s="6"/>
      <c r="M58" s="6">
        <v>113081.28672099998</v>
      </c>
      <c r="N58" s="6">
        <v>113081.28672099998</v>
      </c>
    </row>
    <row r="59" spans="1:14" x14ac:dyDescent="0.25">
      <c r="A59" s="5" t="s">
        <v>504</v>
      </c>
      <c r="B59" s="6">
        <v>786103.06425100006</v>
      </c>
      <c r="C59" s="6">
        <v>560727.01601899997</v>
      </c>
      <c r="D59" s="6">
        <v>114728.56194999999</v>
      </c>
      <c r="E59" s="6">
        <v>-159579.12787</v>
      </c>
      <c r="F59" s="6">
        <v>74691.78201699999</v>
      </c>
      <c r="G59" s="6">
        <v>181719.301316</v>
      </c>
      <c r="H59" s="6">
        <v>418855.06406200002</v>
      </c>
      <c r="I59" s="6">
        <v>482667.28168000001</v>
      </c>
      <c r="J59" s="6">
        <v>752172.00962399994</v>
      </c>
      <c r="K59" s="6">
        <v>561076.53498899995</v>
      </c>
      <c r="L59" s="6">
        <v>203535.30479500003</v>
      </c>
      <c r="M59" s="6">
        <v>3976696.792833</v>
      </c>
      <c r="N59" s="6">
        <v>3976696.792833</v>
      </c>
    </row>
    <row r="60" spans="1:14" x14ac:dyDescent="0.25">
      <c r="A60" s="21" t="s">
        <v>53</v>
      </c>
      <c r="B60" s="6">
        <v>100556.05</v>
      </c>
      <c r="C60" s="6">
        <v>87344.499527000007</v>
      </c>
      <c r="D60" s="6">
        <v>14282.470000000001</v>
      </c>
      <c r="E60" s="6">
        <v>-17679.489999999998</v>
      </c>
      <c r="F60" s="6">
        <v>5376.4347089999992</v>
      </c>
      <c r="G60" s="6"/>
      <c r="H60" s="6">
        <v>74685.84</v>
      </c>
      <c r="I60" s="6">
        <v>108185.63</v>
      </c>
      <c r="J60" s="6">
        <v>162021.34999999998</v>
      </c>
      <c r="K60" s="6">
        <v>101024.12</v>
      </c>
      <c r="L60" s="6">
        <v>33200.120000000003</v>
      </c>
      <c r="M60" s="6">
        <v>668997.02423599991</v>
      </c>
      <c r="N60" s="6">
        <v>668997.02423599991</v>
      </c>
    </row>
    <row r="61" spans="1:14" x14ac:dyDescent="0.25">
      <c r="A61" s="21" t="s">
        <v>61</v>
      </c>
      <c r="B61" s="6">
        <v>112523.01</v>
      </c>
      <c r="C61" s="6">
        <v>74505.399999999994</v>
      </c>
      <c r="D61" s="6">
        <v>10730.699999999999</v>
      </c>
      <c r="E61" s="6">
        <v>-30030.399999999998</v>
      </c>
      <c r="F61" s="6">
        <v>11634.875290999997</v>
      </c>
      <c r="G61" s="6"/>
      <c r="H61" s="6">
        <v>105587.23</v>
      </c>
      <c r="I61" s="6">
        <v>70224</v>
      </c>
      <c r="J61" s="6">
        <v>156692.996587</v>
      </c>
      <c r="K61" s="6">
        <v>80866.26999999999</v>
      </c>
      <c r="L61" s="6">
        <v>68761.94945</v>
      </c>
      <c r="M61" s="6">
        <v>661496.03132800001</v>
      </c>
      <c r="N61" s="6">
        <v>661496.03132800001</v>
      </c>
    </row>
    <row r="62" spans="1:14" x14ac:dyDescent="0.25">
      <c r="A62" s="21" t="s">
        <v>483</v>
      </c>
      <c r="B62" s="6"/>
      <c r="C62" s="6"/>
      <c r="D62" s="6"/>
      <c r="E62" s="6"/>
      <c r="F62" s="6"/>
      <c r="G62" s="6"/>
      <c r="H62" s="6"/>
      <c r="I62" s="6"/>
      <c r="J62" s="6"/>
      <c r="K62" s="6"/>
      <c r="L62" s="6">
        <v>-369.238879</v>
      </c>
      <c r="M62" s="6">
        <v>-369.238879</v>
      </c>
      <c r="N62" s="6">
        <v>-369.238879</v>
      </c>
    </row>
    <row r="63" spans="1:14" x14ac:dyDescent="0.25">
      <c r="A63" s="21" t="s">
        <v>484</v>
      </c>
      <c r="B63" s="6"/>
      <c r="C63" s="6"/>
      <c r="D63" s="6"/>
      <c r="E63" s="6"/>
      <c r="F63" s="6"/>
      <c r="G63" s="6"/>
      <c r="H63" s="6"/>
      <c r="I63" s="6"/>
      <c r="J63" s="6"/>
      <c r="K63" s="6"/>
      <c r="L63" s="6">
        <v>-1184.6018529999999</v>
      </c>
      <c r="M63" s="6">
        <v>-1184.6018529999999</v>
      </c>
      <c r="N63" s="6">
        <v>-1184.6018529999999</v>
      </c>
    </row>
    <row r="64" spans="1:14" x14ac:dyDescent="0.25">
      <c r="A64" s="21" t="s">
        <v>66</v>
      </c>
      <c r="B64" s="6">
        <v>97549.39837499999</v>
      </c>
      <c r="C64" s="6">
        <v>75748.058155000006</v>
      </c>
      <c r="D64" s="6">
        <v>43860.780421999996</v>
      </c>
      <c r="E64" s="6">
        <v>-16715.477599999998</v>
      </c>
      <c r="F64" s="6">
        <v>14824.394728999998</v>
      </c>
      <c r="G64" s="6">
        <v>24944.806063999997</v>
      </c>
      <c r="H64" s="6">
        <v>55737.463919000002</v>
      </c>
      <c r="I64" s="6">
        <v>26008.860550999998</v>
      </c>
      <c r="J64" s="6">
        <v>58810.703154000003</v>
      </c>
      <c r="K64" s="6">
        <v>100017.74678199999</v>
      </c>
      <c r="L64" s="6">
        <v>-2180.1082050000005</v>
      </c>
      <c r="M64" s="6">
        <v>478606.626346</v>
      </c>
      <c r="N64" s="6">
        <v>478606.626346</v>
      </c>
    </row>
    <row r="65" spans="1:14" x14ac:dyDescent="0.25">
      <c r="A65" s="21" t="s">
        <v>67</v>
      </c>
      <c r="B65" s="6">
        <v>194589.72157199998</v>
      </c>
      <c r="C65" s="6">
        <v>125177.10544999999</v>
      </c>
      <c r="D65" s="6">
        <v>-1998.145082</v>
      </c>
      <c r="E65" s="6">
        <v>-52722.806320999996</v>
      </c>
      <c r="F65" s="6">
        <v>19885.757485999999</v>
      </c>
      <c r="G65" s="6">
        <v>62611.263859999999</v>
      </c>
      <c r="H65" s="6">
        <v>65735.885116999998</v>
      </c>
      <c r="I65" s="6">
        <v>94260.214430000007</v>
      </c>
      <c r="J65" s="6">
        <v>127770.060203</v>
      </c>
      <c r="K65" s="6">
        <v>77019.738161999994</v>
      </c>
      <c r="L65" s="6">
        <v>50359.081688999999</v>
      </c>
      <c r="M65" s="6">
        <v>762687.87656600005</v>
      </c>
      <c r="N65" s="6">
        <v>762687.87656600005</v>
      </c>
    </row>
    <row r="66" spans="1:14" x14ac:dyDescent="0.25">
      <c r="A66" s="21" t="s">
        <v>68</v>
      </c>
      <c r="B66" s="6">
        <v>110171.103695</v>
      </c>
      <c r="C66" s="6">
        <v>60046.436737000004</v>
      </c>
      <c r="D66" s="6">
        <v>-1124.855888</v>
      </c>
      <c r="E66" s="6">
        <v>-30384.873817999996</v>
      </c>
      <c r="F66" s="6">
        <v>21824.173347000004</v>
      </c>
      <c r="G66" s="6">
        <v>43979.113535999997</v>
      </c>
      <c r="H66" s="6">
        <v>48958.854140999996</v>
      </c>
      <c r="I66" s="6">
        <v>20482.378924999997</v>
      </c>
      <c r="J66" s="6">
        <v>72369.811096999998</v>
      </c>
      <c r="K66" s="6">
        <v>83915.653739000001</v>
      </c>
      <c r="L66" s="6">
        <v>26078.151184999999</v>
      </c>
      <c r="M66" s="6">
        <v>456315.946696</v>
      </c>
      <c r="N66" s="6">
        <v>456315.946696</v>
      </c>
    </row>
    <row r="67" spans="1:14" x14ac:dyDescent="0.25">
      <c r="A67" s="21" t="s">
        <v>69</v>
      </c>
      <c r="B67" s="6">
        <v>170713.78060900001</v>
      </c>
      <c r="C67" s="6">
        <v>137905.51615000001</v>
      </c>
      <c r="D67" s="6">
        <v>48977.612498000002</v>
      </c>
      <c r="E67" s="6">
        <v>-12046.080131000002</v>
      </c>
      <c r="F67" s="6">
        <v>1146.1464549999982</v>
      </c>
      <c r="G67" s="6">
        <v>50184.117856000004</v>
      </c>
      <c r="H67" s="6">
        <v>68149.790884999995</v>
      </c>
      <c r="I67" s="6">
        <v>163506.197774</v>
      </c>
      <c r="J67" s="6">
        <v>174507.088583</v>
      </c>
      <c r="K67" s="6">
        <v>118233.00630600001</v>
      </c>
      <c r="L67" s="6">
        <v>30439.182742999998</v>
      </c>
      <c r="M67" s="6">
        <v>951716.35972800013</v>
      </c>
      <c r="N67" s="6">
        <v>951716.35972800013</v>
      </c>
    </row>
    <row r="68" spans="1:14" x14ac:dyDescent="0.25">
      <c r="A68" s="21" t="s">
        <v>482</v>
      </c>
      <c r="B68" s="6"/>
      <c r="C68" s="6"/>
      <c r="D68" s="6"/>
      <c r="E68" s="6"/>
      <c r="F68" s="6"/>
      <c r="G68" s="6"/>
      <c r="H68" s="6"/>
      <c r="I68" s="6"/>
      <c r="J68" s="6"/>
      <c r="K68" s="6"/>
      <c r="L68" s="6">
        <v>-1569.2313349999999</v>
      </c>
      <c r="M68" s="6">
        <v>-1569.2313349999999</v>
      </c>
      <c r="N68" s="6">
        <v>-1569.2313349999999</v>
      </c>
    </row>
    <row r="69" spans="1:14" x14ac:dyDescent="0.25">
      <c r="A69" s="5" t="s">
        <v>505</v>
      </c>
      <c r="B69" s="6">
        <v>1168235.495471</v>
      </c>
      <c r="C69" s="6">
        <v>1510350.8470649999</v>
      </c>
      <c r="D69" s="6">
        <v>605711.30874100002</v>
      </c>
      <c r="E69" s="6">
        <v>165599.716166</v>
      </c>
      <c r="F69" s="6">
        <v>602133.67253799993</v>
      </c>
      <c r="G69" s="6">
        <v>517313.36996099999</v>
      </c>
      <c r="H69" s="6">
        <v>531211.71932999999</v>
      </c>
      <c r="I69" s="6">
        <v>483869.10432500008</v>
      </c>
      <c r="J69" s="6">
        <v>1202196.4117349999</v>
      </c>
      <c r="K69" s="6">
        <v>980765.79006799986</v>
      </c>
      <c r="L69" s="6">
        <v>1024738.3532049999</v>
      </c>
      <c r="M69" s="6">
        <v>8792125.788604999</v>
      </c>
      <c r="N69" s="6">
        <v>8792125.788604999</v>
      </c>
    </row>
    <row r="70" spans="1:14" x14ac:dyDescent="0.25">
      <c r="A70" s="21" t="s">
        <v>40</v>
      </c>
      <c r="B70" s="6">
        <v>272539.370154</v>
      </c>
      <c r="C70" s="6">
        <v>6646.6507129999991</v>
      </c>
      <c r="D70" s="6">
        <v>230946.74327400004</v>
      </c>
      <c r="E70" s="6">
        <v>79388.299287000002</v>
      </c>
      <c r="F70" s="6">
        <v>225470.10753599997</v>
      </c>
      <c r="G70" s="6">
        <v>56620.719329</v>
      </c>
      <c r="H70" s="6">
        <v>47044.247648999997</v>
      </c>
      <c r="I70" s="6">
        <v>149413.10856200001</v>
      </c>
      <c r="J70" s="6">
        <v>132420.23526400002</v>
      </c>
      <c r="K70" s="6">
        <v>94843.588925999997</v>
      </c>
      <c r="L70" s="6">
        <v>32813.300898000001</v>
      </c>
      <c r="M70" s="6">
        <v>1328146.3715919999</v>
      </c>
      <c r="N70" s="6">
        <v>1328146.3715919999</v>
      </c>
    </row>
    <row r="71" spans="1:14" x14ac:dyDescent="0.25">
      <c r="A71" s="21" t="s">
        <v>43</v>
      </c>
      <c r="B71" s="6">
        <v>34889.926806000003</v>
      </c>
      <c r="C71" s="6">
        <v>126023.395575</v>
      </c>
      <c r="D71" s="6">
        <v>29168.666546</v>
      </c>
      <c r="E71" s="6"/>
      <c r="F71" s="6">
        <v>24640.328023999999</v>
      </c>
      <c r="G71" s="6">
        <v>61942.045322999998</v>
      </c>
      <c r="H71" s="6">
        <v>152789.10088499999</v>
      </c>
      <c r="I71" s="6">
        <v>35178.717833000002</v>
      </c>
      <c r="J71" s="6">
        <v>174805.82536900003</v>
      </c>
      <c r="K71" s="6">
        <v>11375.777586</v>
      </c>
      <c r="L71" s="6">
        <v>133852.99716500001</v>
      </c>
      <c r="M71" s="6">
        <v>784666.78111200011</v>
      </c>
      <c r="N71" s="6">
        <v>784666.78111200011</v>
      </c>
    </row>
    <row r="72" spans="1:14" x14ac:dyDescent="0.25">
      <c r="A72" s="21" t="s">
        <v>49</v>
      </c>
      <c r="B72" s="6">
        <v>383177.75759000005</v>
      </c>
      <c r="C72" s="6">
        <v>814488.81056799996</v>
      </c>
      <c r="D72" s="6">
        <v>67503.578157999989</v>
      </c>
      <c r="E72" s="6">
        <v>44136.488402000003</v>
      </c>
      <c r="F72" s="6">
        <v>152555.28894100001</v>
      </c>
      <c r="G72" s="6">
        <v>119076.03419599999</v>
      </c>
      <c r="H72" s="6">
        <v>92693.77782599999</v>
      </c>
      <c r="I72" s="6">
        <v>105261.68036600002</v>
      </c>
      <c r="J72" s="6">
        <v>362288.67832300003</v>
      </c>
      <c r="K72" s="6">
        <v>610148.44952899986</v>
      </c>
      <c r="L72" s="6">
        <v>704512.11340499995</v>
      </c>
      <c r="M72" s="6">
        <v>3455842.6573039996</v>
      </c>
      <c r="N72" s="6">
        <v>3455842.6573039996</v>
      </c>
    </row>
    <row r="73" spans="1:14" x14ac:dyDescent="0.25">
      <c r="A73" s="21" t="s">
        <v>50</v>
      </c>
      <c r="B73" s="6">
        <v>73081.519371999995</v>
      </c>
      <c r="C73" s="6">
        <v>91491.851395000005</v>
      </c>
      <c r="D73" s="6">
        <v>12420.507924000001</v>
      </c>
      <c r="E73" s="6">
        <v>-401.05920399999923</v>
      </c>
      <c r="F73" s="6">
        <v>13889.688973</v>
      </c>
      <c r="G73" s="6">
        <v>58777.984324999998</v>
      </c>
      <c r="H73" s="6">
        <v>1599.989806</v>
      </c>
      <c r="I73" s="6">
        <v>9827.8130540000002</v>
      </c>
      <c r="J73" s="6">
        <v>54761.382184000002</v>
      </c>
      <c r="K73" s="6">
        <v>25200.445960000001</v>
      </c>
      <c r="L73" s="6">
        <v>6944.8449110000001</v>
      </c>
      <c r="M73" s="6">
        <v>347594.96870000003</v>
      </c>
      <c r="N73" s="6">
        <v>347594.96870000003</v>
      </c>
    </row>
    <row r="74" spans="1:14" x14ac:dyDescent="0.25">
      <c r="A74" s="21" t="s">
        <v>55</v>
      </c>
      <c r="B74" s="6">
        <v>262131.06493200001</v>
      </c>
      <c r="C74" s="6">
        <v>160500.65820799998</v>
      </c>
      <c r="D74" s="6">
        <v>14106.185430000001</v>
      </c>
      <c r="E74" s="6">
        <v>18403.565740000005</v>
      </c>
      <c r="F74" s="6">
        <v>125850.789523</v>
      </c>
      <c r="G74" s="6">
        <v>37769.753150999997</v>
      </c>
      <c r="H74" s="6">
        <v>168186.989298</v>
      </c>
      <c r="I74" s="6">
        <v>313.50741000000198</v>
      </c>
      <c r="J74" s="6">
        <v>261706.635224</v>
      </c>
      <c r="K74" s="6">
        <v>18335.764125999998</v>
      </c>
      <c r="L74" s="6">
        <v>33179.307269000004</v>
      </c>
      <c r="M74" s="6">
        <v>1100484.220311</v>
      </c>
      <c r="N74" s="6">
        <v>1100484.220311</v>
      </c>
    </row>
    <row r="75" spans="1:14" x14ac:dyDescent="0.25">
      <c r="A75" s="21" t="s">
        <v>56</v>
      </c>
      <c r="B75" s="6">
        <v>91827.733504999997</v>
      </c>
      <c r="C75" s="6">
        <v>52951.155373000001</v>
      </c>
      <c r="D75" s="6">
        <v>86410.794580999995</v>
      </c>
      <c r="E75" s="6">
        <v>19385.218057000002</v>
      </c>
      <c r="F75" s="6">
        <v>7083.3230889999995</v>
      </c>
      <c r="G75" s="6">
        <v>11238.856101000001</v>
      </c>
      <c r="H75" s="6">
        <v>31949.936256000001</v>
      </c>
      <c r="I75" s="6">
        <v>26864.722444999996</v>
      </c>
      <c r="J75" s="6">
        <v>71798.330544000011</v>
      </c>
      <c r="K75" s="6">
        <v>1041.6682839999999</v>
      </c>
      <c r="L75" s="6">
        <v>82148.745603999996</v>
      </c>
      <c r="M75" s="6">
        <v>482700.48383900005</v>
      </c>
      <c r="N75" s="6">
        <v>482700.48383900005</v>
      </c>
    </row>
    <row r="76" spans="1:14" x14ac:dyDescent="0.25">
      <c r="A76" s="21" t="s">
        <v>62</v>
      </c>
      <c r="B76" s="6">
        <v>50588.123112000001</v>
      </c>
      <c r="C76" s="6">
        <v>88792.122942000002</v>
      </c>
      <c r="D76" s="6"/>
      <c r="E76" s="6">
        <v>4687.2038839999987</v>
      </c>
      <c r="F76" s="6"/>
      <c r="G76" s="6">
        <v>78571.441275999998</v>
      </c>
      <c r="H76" s="6">
        <v>18057.173895</v>
      </c>
      <c r="I76" s="6">
        <v>63087.198336999994</v>
      </c>
      <c r="J76" s="6">
        <v>37750.590386999997</v>
      </c>
      <c r="K76" s="6">
        <v>148336.51176299999</v>
      </c>
      <c r="L76" s="6"/>
      <c r="M76" s="6">
        <v>489870.36559599993</v>
      </c>
      <c r="N76" s="6">
        <v>489870.36559599993</v>
      </c>
    </row>
    <row r="77" spans="1:14" x14ac:dyDescent="0.25">
      <c r="A77" s="21" t="s">
        <v>167</v>
      </c>
      <c r="B77" s="6"/>
      <c r="C77" s="6">
        <v>16876.821696999999</v>
      </c>
      <c r="D77" s="6">
        <v>110844.63767500001</v>
      </c>
      <c r="E77" s="6"/>
      <c r="F77" s="6">
        <v>33753.642630000002</v>
      </c>
      <c r="G77" s="6">
        <v>49554.969853999995</v>
      </c>
      <c r="H77" s="6"/>
      <c r="I77" s="6">
        <v>66790.288453000001</v>
      </c>
      <c r="J77" s="6">
        <v>38851.874344999997</v>
      </c>
      <c r="K77" s="6">
        <v>37211.498340999999</v>
      </c>
      <c r="L77" s="6">
        <v>-15939.215345000001</v>
      </c>
      <c r="M77" s="6">
        <v>337944.51765000005</v>
      </c>
      <c r="N77" s="6">
        <v>337944.51765000005</v>
      </c>
    </row>
    <row r="78" spans="1:14" x14ac:dyDescent="0.25">
      <c r="A78" s="21" t="s">
        <v>168</v>
      </c>
      <c r="B78" s="6"/>
      <c r="C78" s="6">
        <v>152579.38059399999</v>
      </c>
      <c r="D78" s="6">
        <v>54310.195153000008</v>
      </c>
      <c r="E78" s="6"/>
      <c r="F78" s="6">
        <v>18890.503821999999</v>
      </c>
      <c r="G78" s="6">
        <v>43761.566405999998</v>
      </c>
      <c r="H78" s="6">
        <v>18890.503714999999</v>
      </c>
      <c r="I78" s="6">
        <v>27132.067864999997</v>
      </c>
      <c r="J78" s="6">
        <v>67812.860094999996</v>
      </c>
      <c r="K78" s="6">
        <v>34272.085552999997</v>
      </c>
      <c r="L78" s="6">
        <v>47226.259297999997</v>
      </c>
      <c r="M78" s="6">
        <v>464875.42250099999</v>
      </c>
      <c r="N78" s="6">
        <v>464875.42250099999</v>
      </c>
    </row>
    <row r="79" spans="1:14" x14ac:dyDescent="0.25">
      <c r="A79" s="5" t="s">
        <v>24</v>
      </c>
      <c r="B79" s="6">
        <v>3692061.1499860003</v>
      </c>
      <c r="C79" s="6">
        <v>4695179.7059229994</v>
      </c>
      <c r="D79" s="6">
        <v>3170988.9300019997</v>
      </c>
      <c r="E79" s="6">
        <v>716463.27999700001</v>
      </c>
      <c r="F79" s="6">
        <v>2831027.5000030007</v>
      </c>
      <c r="G79" s="6">
        <v>2281982.6200040001</v>
      </c>
      <c r="H79" s="6">
        <v>2028128.5300000003</v>
      </c>
      <c r="I79" s="6">
        <v>3302509.2400039998</v>
      </c>
      <c r="J79" s="6">
        <v>4460261.2100029998</v>
      </c>
      <c r="K79" s="6">
        <v>3836367.5499970019</v>
      </c>
      <c r="L79" s="6">
        <v>1914786.700001</v>
      </c>
      <c r="M79" s="6">
        <v>32929756.415920004</v>
      </c>
      <c r="N79" s="6">
        <v>32929756.415920004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B0EC6-C75F-4824-9C1C-11D4C3981565}">
  <dimension ref="A1:B5"/>
  <sheetViews>
    <sheetView workbookViewId="0">
      <selection activeCell="A4" sqref="A4"/>
    </sheetView>
  </sheetViews>
  <sheetFormatPr defaultRowHeight="11.5" x14ac:dyDescent="0.25"/>
  <cols>
    <col min="1" max="1" width="13.59765625" bestFit="1" customWidth="1"/>
    <col min="2" max="2" width="19.5" bestFit="1" customWidth="1"/>
    <col min="3" max="3" width="8.69921875" bestFit="1" customWidth="1"/>
    <col min="4" max="4" width="8" bestFit="1" customWidth="1"/>
    <col min="5" max="5" width="8.59765625" bestFit="1" customWidth="1"/>
    <col min="6" max="6" width="8.8984375" bestFit="1" customWidth="1"/>
    <col min="7" max="7" width="8.59765625" bestFit="1" customWidth="1"/>
    <col min="8" max="9" width="8.8984375" bestFit="1" customWidth="1"/>
    <col min="10" max="10" width="10.296875" bestFit="1" customWidth="1"/>
  </cols>
  <sheetData>
    <row r="1" spans="1:2" x14ac:dyDescent="0.25">
      <c r="A1" s="7" t="s">
        <v>27</v>
      </c>
      <c r="B1" t="s">
        <v>36</v>
      </c>
    </row>
    <row r="2" spans="1:2" x14ac:dyDescent="0.25">
      <c r="A2" s="7" t="s">
        <v>29</v>
      </c>
      <c r="B2" t="s">
        <v>36</v>
      </c>
    </row>
    <row r="4" spans="1:2" x14ac:dyDescent="0.25">
      <c r="A4" s="7" t="s">
        <v>23</v>
      </c>
      <c r="B4" t="s">
        <v>34</v>
      </c>
    </row>
    <row r="5" spans="1:2" x14ac:dyDescent="0.25">
      <c r="A5" s="8" t="s">
        <v>24</v>
      </c>
      <c r="B5"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2BD4-CAE9-4B30-8F8F-97B523EF7314}">
  <sheetPr filterMode="1"/>
  <dimension ref="A1:P2351"/>
  <sheetViews>
    <sheetView workbookViewId="0">
      <pane xSplit="6" ySplit="1" topLeftCell="G2171" activePane="bottomRight" state="frozen"/>
      <selection pane="topRight" activeCell="E1" sqref="E1"/>
      <selection pane="bottomLeft" activeCell="A2" sqref="A2"/>
      <selection pane="bottomRight" activeCell="I1" sqref="I1"/>
    </sheetView>
  </sheetViews>
  <sheetFormatPr defaultRowHeight="11.5" x14ac:dyDescent="0.25"/>
  <cols>
    <col min="1" max="2" width="10.69921875" bestFit="1" customWidth="1"/>
    <col min="3" max="4" width="10.69921875" customWidth="1"/>
    <col min="5" max="5" width="18.296875" bestFit="1" customWidth="1"/>
    <col min="6" max="6" width="45.3984375" bestFit="1" customWidth="1"/>
    <col min="7" max="7" width="16.796875" bestFit="1" customWidth="1"/>
    <col min="8" max="8" width="35.3984375" bestFit="1" customWidth="1"/>
    <col min="9" max="9" width="7.09765625" bestFit="1" customWidth="1"/>
    <col min="10" max="10" width="8.09765625" bestFit="1" customWidth="1"/>
    <col min="11" max="11" width="6.59765625" bestFit="1" customWidth="1"/>
    <col min="12" max="12" width="13.09765625" bestFit="1" customWidth="1"/>
    <col min="13" max="13" width="13" bestFit="1" customWidth="1"/>
    <col min="14" max="15" width="13.3984375" bestFit="1" customWidth="1"/>
    <col min="16" max="16" width="13.09765625" bestFit="1" customWidth="1"/>
    <col min="17" max="17" width="13.3984375" bestFit="1" customWidth="1"/>
    <col min="19" max="19" width="11.59765625" bestFit="1" customWidth="1"/>
    <col min="20" max="20" width="13.09765625" bestFit="1" customWidth="1"/>
  </cols>
  <sheetData>
    <row r="1" spans="1:16" ht="14.5" x14ac:dyDescent="0.25">
      <c r="A1" s="13" t="s">
        <v>0</v>
      </c>
      <c r="B1" s="1" t="s">
        <v>29</v>
      </c>
      <c r="C1" s="1" t="s">
        <v>35</v>
      </c>
      <c r="D1" s="1" t="s">
        <v>27</v>
      </c>
      <c r="E1" s="14" t="s">
        <v>1</v>
      </c>
      <c r="F1" s="14" t="s">
        <v>2</v>
      </c>
      <c r="G1" s="19" t="s">
        <v>502</v>
      </c>
      <c r="H1" s="14" t="s">
        <v>3</v>
      </c>
      <c r="I1" s="15" t="s">
        <v>4</v>
      </c>
      <c r="J1" s="15" t="s">
        <v>5</v>
      </c>
      <c r="K1" s="15" t="s">
        <v>6</v>
      </c>
      <c r="L1" s="15" t="s">
        <v>7</v>
      </c>
      <c r="M1" s="15" t="s">
        <v>8</v>
      </c>
      <c r="N1" s="15" t="s">
        <v>9</v>
      </c>
      <c r="O1" s="15" t="s">
        <v>10</v>
      </c>
      <c r="P1" s="15" t="s">
        <v>11</v>
      </c>
    </row>
    <row r="2" spans="1:16" ht="14.5" x14ac:dyDescent="0.25">
      <c r="A2" s="10">
        <v>45753</v>
      </c>
      <c r="B2" s="2" t="str">
        <f t="shared" ref="B2:B37" si="0">+TEXT(A2,"MMM-yyy")</f>
        <v>Apr-2025</v>
      </c>
      <c r="C2" s="2" t="str">
        <f t="shared" ref="C2:C37" si="1">"Q" &amp; CHOOSE(MONTH(A2),4,4,4,1,1,1,2,2,2,3,3,3)</f>
        <v>Q1</v>
      </c>
      <c r="D2" s="2" t="s">
        <v>28</v>
      </c>
      <c r="E2" s="11" t="s">
        <v>64</v>
      </c>
      <c r="F2" s="11" t="s">
        <v>65</v>
      </c>
      <c r="G2" s="11" t="s">
        <v>503</v>
      </c>
      <c r="H2" s="11" t="s">
        <v>51</v>
      </c>
      <c r="I2" s="12">
        <v>1</v>
      </c>
      <c r="J2" s="12">
        <v>180</v>
      </c>
      <c r="K2" s="12">
        <v>64.23</v>
      </c>
      <c r="L2" s="12">
        <v>11561.4</v>
      </c>
      <c r="M2" s="12">
        <v>-443.96</v>
      </c>
      <c r="N2" s="12">
        <v>0</v>
      </c>
      <c r="O2" s="12">
        <v>1445.2674020000002</v>
      </c>
      <c r="P2" s="12">
        <v>12562.707402</v>
      </c>
    </row>
    <row r="3" spans="1:16" ht="14.5" x14ac:dyDescent="0.25">
      <c r="A3" s="10">
        <v>45753</v>
      </c>
      <c r="B3" s="2" t="str">
        <f t="shared" si="0"/>
        <v>Apr-2025</v>
      </c>
      <c r="C3" s="2" t="str">
        <f t="shared" si="1"/>
        <v>Q1</v>
      </c>
      <c r="D3" s="2" t="s">
        <v>28</v>
      </c>
      <c r="E3" s="11" t="s">
        <v>64</v>
      </c>
      <c r="F3" s="11" t="s">
        <v>65</v>
      </c>
      <c r="G3" s="11" t="s">
        <v>504</v>
      </c>
      <c r="H3" s="11" t="s">
        <v>66</v>
      </c>
      <c r="I3" s="12">
        <v>1</v>
      </c>
      <c r="J3" s="12">
        <v>100</v>
      </c>
      <c r="K3" s="12">
        <v>108.17</v>
      </c>
      <c r="L3" s="12">
        <v>10817</v>
      </c>
      <c r="M3" s="12">
        <v>-415.37</v>
      </c>
      <c r="N3" s="12">
        <v>0</v>
      </c>
      <c r="O3" s="12">
        <v>1352.2120889999999</v>
      </c>
      <c r="P3" s="12">
        <v>11753.842089</v>
      </c>
    </row>
    <row r="4" spans="1:16" ht="14.5" x14ac:dyDescent="0.25">
      <c r="A4" s="10">
        <v>45753</v>
      </c>
      <c r="B4" s="2" t="str">
        <f t="shared" si="0"/>
        <v>Apr-2025</v>
      </c>
      <c r="C4" s="2" t="str">
        <f t="shared" si="1"/>
        <v>Q1</v>
      </c>
      <c r="D4" s="2" t="s">
        <v>28</v>
      </c>
      <c r="E4" s="11" t="s">
        <v>64</v>
      </c>
      <c r="F4" s="11" t="s">
        <v>65</v>
      </c>
      <c r="G4" s="11" t="s">
        <v>503</v>
      </c>
      <c r="H4" s="11" t="s">
        <v>45</v>
      </c>
      <c r="I4" s="12">
        <v>2</v>
      </c>
      <c r="J4" s="12">
        <v>360</v>
      </c>
      <c r="K4" s="12">
        <v>64.23</v>
      </c>
      <c r="L4" s="12">
        <v>23122.799999999999</v>
      </c>
      <c r="M4" s="12">
        <v>-887.92</v>
      </c>
      <c r="N4" s="12">
        <v>0</v>
      </c>
      <c r="O4" s="12">
        <v>2890.5348040000003</v>
      </c>
      <c r="P4" s="12">
        <v>25125.414804</v>
      </c>
    </row>
    <row r="5" spans="1:16" ht="14.5" x14ac:dyDescent="0.25">
      <c r="A5" s="10">
        <v>45753</v>
      </c>
      <c r="B5" s="2" t="str">
        <f t="shared" si="0"/>
        <v>Apr-2025</v>
      </c>
      <c r="C5" s="2" t="str">
        <f t="shared" si="1"/>
        <v>Q1</v>
      </c>
      <c r="D5" s="2" t="s">
        <v>28</v>
      </c>
      <c r="E5" s="11" t="s">
        <v>64</v>
      </c>
      <c r="F5" s="11" t="s">
        <v>65</v>
      </c>
      <c r="G5" s="11" t="s">
        <v>504</v>
      </c>
      <c r="H5" s="11" t="s">
        <v>67</v>
      </c>
      <c r="I5" s="12">
        <v>1</v>
      </c>
      <c r="J5" s="12">
        <v>40</v>
      </c>
      <c r="K5" s="12">
        <v>459.72</v>
      </c>
      <c r="L5" s="12">
        <v>18388.8</v>
      </c>
      <c r="M5" s="12">
        <v>-706.12999999999988</v>
      </c>
      <c r="N5" s="12">
        <v>0</v>
      </c>
      <c r="O5" s="12">
        <v>2298.747421</v>
      </c>
      <c r="P5" s="12">
        <v>19981.417420999998</v>
      </c>
    </row>
    <row r="6" spans="1:16" ht="14.5" x14ac:dyDescent="0.25">
      <c r="A6" s="10">
        <v>45753</v>
      </c>
      <c r="B6" s="2" t="str">
        <f t="shared" si="0"/>
        <v>Apr-2025</v>
      </c>
      <c r="C6" s="2" t="str">
        <f t="shared" si="1"/>
        <v>Q1</v>
      </c>
      <c r="D6" s="2" t="s">
        <v>28</v>
      </c>
      <c r="E6" s="11" t="s">
        <v>64</v>
      </c>
      <c r="F6" s="11" t="s">
        <v>65</v>
      </c>
      <c r="G6" s="11" t="s">
        <v>504</v>
      </c>
      <c r="H6" s="11" t="s">
        <v>68</v>
      </c>
      <c r="I6" s="12">
        <v>1</v>
      </c>
      <c r="J6" s="12">
        <v>40</v>
      </c>
      <c r="K6" s="12">
        <v>260.27999999999997</v>
      </c>
      <c r="L6" s="12">
        <v>10411.200000000001</v>
      </c>
      <c r="M6" s="12">
        <v>-399.79</v>
      </c>
      <c r="N6" s="12">
        <v>0</v>
      </c>
      <c r="O6" s="12">
        <v>1301.4834820000001</v>
      </c>
      <c r="P6" s="12">
        <v>11312.893481999999</v>
      </c>
    </row>
    <row r="7" spans="1:16" ht="14.5" x14ac:dyDescent="0.25">
      <c r="A7" s="10">
        <v>45753</v>
      </c>
      <c r="B7" s="2" t="str">
        <f t="shared" si="0"/>
        <v>Apr-2025</v>
      </c>
      <c r="C7" s="2" t="str">
        <f t="shared" si="1"/>
        <v>Q1</v>
      </c>
      <c r="D7" s="2" t="s">
        <v>28</v>
      </c>
      <c r="E7" s="11" t="s">
        <v>64</v>
      </c>
      <c r="F7" s="11" t="s">
        <v>65</v>
      </c>
      <c r="G7" s="11" t="s">
        <v>505</v>
      </c>
      <c r="H7" s="11" t="s">
        <v>40</v>
      </c>
      <c r="I7" s="12">
        <v>2</v>
      </c>
      <c r="J7" s="12">
        <v>360</v>
      </c>
      <c r="K7" s="12">
        <v>94.65</v>
      </c>
      <c r="L7" s="12">
        <v>34074</v>
      </c>
      <c r="M7" s="12">
        <v>-1308.44</v>
      </c>
      <c r="N7" s="12">
        <v>0</v>
      </c>
      <c r="O7" s="12">
        <v>4259.5233950000002</v>
      </c>
      <c r="P7" s="12">
        <v>37025.083395000001</v>
      </c>
    </row>
    <row r="8" spans="1:16" ht="14.5" x14ac:dyDescent="0.25">
      <c r="A8" s="10">
        <v>45753</v>
      </c>
      <c r="B8" s="2" t="str">
        <f t="shared" si="0"/>
        <v>Apr-2025</v>
      </c>
      <c r="C8" s="2" t="str">
        <f t="shared" si="1"/>
        <v>Q1</v>
      </c>
      <c r="D8" s="2" t="s">
        <v>28</v>
      </c>
      <c r="E8" s="11" t="s">
        <v>64</v>
      </c>
      <c r="F8" s="11" t="s">
        <v>65</v>
      </c>
      <c r="G8" s="11" t="s">
        <v>504</v>
      </c>
      <c r="H8" s="11" t="s">
        <v>69</v>
      </c>
      <c r="I8" s="12">
        <v>1</v>
      </c>
      <c r="J8" s="12">
        <v>100</v>
      </c>
      <c r="K8" s="12">
        <v>189.3</v>
      </c>
      <c r="L8" s="12">
        <v>18930</v>
      </c>
      <c r="M8" s="12">
        <v>-726.91000000000008</v>
      </c>
      <c r="N8" s="12">
        <v>0</v>
      </c>
      <c r="O8" s="12">
        <v>2366.4020310000001</v>
      </c>
      <c r="P8" s="12">
        <v>20569.492031000002</v>
      </c>
    </row>
    <row r="9" spans="1:16" ht="14.5" x14ac:dyDescent="0.25">
      <c r="A9" s="10">
        <v>45753</v>
      </c>
      <c r="B9" s="2" t="str">
        <f t="shared" si="0"/>
        <v>Apr-2025</v>
      </c>
      <c r="C9" s="2" t="str">
        <f t="shared" si="1"/>
        <v>Q1</v>
      </c>
      <c r="D9" s="2" t="s">
        <v>28</v>
      </c>
      <c r="E9" s="11" t="s">
        <v>64</v>
      </c>
      <c r="F9" s="11" t="s">
        <v>65</v>
      </c>
      <c r="G9" s="11" t="s">
        <v>505</v>
      </c>
      <c r="H9" s="11" t="s">
        <v>55</v>
      </c>
      <c r="I9" s="12">
        <v>2</v>
      </c>
      <c r="J9" s="12">
        <v>240</v>
      </c>
      <c r="K9" s="12">
        <v>152.11000000000001</v>
      </c>
      <c r="L9" s="12">
        <v>36506.400000000001</v>
      </c>
      <c r="M9" s="12">
        <v>-1401.85</v>
      </c>
      <c r="N9" s="12">
        <v>0</v>
      </c>
      <c r="O9" s="12">
        <v>4563.592138</v>
      </c>
      <c r="P9" s="12">
        <v>39668.142138000003</v>
      </c>
    </row>
    <row r="10" spans="1:16" ht="14.5" x14ac:dyDescent="0.25">
      <c r="A10" s="10">
        <v>45753</v>
      </c>
      <c r="B10" s="2" t="str">
        <f t="shared" si="0"/>
        <v>Apr-2025</v>
      </c>
      <c r="C10" s="2" t="str">
        <f t="shared" si="1"/>
        <v>Q1</v>
      </c>
      <c r="D10" s="2" t="s">
        <v>28</v>
      </c>
      <c r="E10" s="11" t="s">
        <v>64</v>
      </c>
      <c r="F10" s="11" t="s">
        <v>65</v>
      </c>
      <c r="G10" s="11" t="s">
        <v>505</v>
      </c>
      <c r="H10" s="11" t="s">
        <v>56</v>
      </c>
      <c r="I10" s="12">
        <v>1</v>
      </c>
      <c r="J10" s="12">
        <v>120</v>
      </c>
      <c r="K10" s="12">
        <v>57.46</v>
      </c>
      <c r="L10" s="12">
        <v>6895.2</v>
      </c>
      <c r="M10" s="12">
        <v>-264.77999999999997</v>
      </c>
      <c r="N10" s="12">
        <v>0</v>
      </c>
      <c r="O10" s="12">
        <v>861.95471999999995</v>
      </c>
      <c r="P10" s="12">
        <v>7492.3747199999998</v>
      </c>
    </row>
    <row r="11" spans="1:16" ht="14.5" x14ac:dyDescent="0.25">
      <c r="A11" s="10">
        <v>45753</v>
      </c>
      <c r="B11" s="2" t="str">
        <f t="shared" si="0"/>
        <v>Apr-2025</v>
      </c>
      <c r="C11" s="2" t="str">
        <f t="shared" si="1"/>
        <v>Q1</v>
      </c>
      <c r="D11" s="2" t="s">
        <v>28</v>
      </c>
      <c r="E11" s="11" t="s">
        <v>64</v>
      </c>
      <c r="F11" s="11" t="s">
        <v>65</v>
      </c>
      <c r="G11" s="11" t="s">
        <v>503</v>
      </c>
      <c r="H11" s="11" t="s">
        <v>52</v>
      </c>
      <c r="I11" s="12">
        <v>1</v>
      </c>
      <c r="J11" s="12">
        <v>180</v>
      </c>
      <c r="K11" s="12">
        <v>70.989999999999995</v>
      </c>
      <c r="L11" s="12">
        <v>12778.2</v>
      </c>
      <c r="M11" s="12">
        <v>-490.68</v>
      </c>
      <c r="N11" s="12">
        <v>0</v>
      </c>
      <c r="O11" s="12">
        <v>1597.377823</v>
      </c>
      <c r="P11" s="12">
        <v>13884.897822999999</v>
      </c>
    </row>
    <row r="12" spans="1:16" ht="14.5" x14ac:dyDescent="0.25">
      <c r="A12" s="10">
        <v>45753</v>
      </c>
      <c r="B12" s="2" t="str">
        <f t="shared" si="0"/>
        <v>Apr-2025</v>
      </c>
      <c r="C12" s="2" t="str">
        <f t="shared" si="1"/>
        <v>Q1</v>
      </c>
      <c r="D12" s="2" t="s">
        <v>28</v>
      </c>
      <c r="E12" s="11" t="s">
        <v>64</v>
      </c>
      <c r="F12" s="11" t="s">
        <v>65</v>
      </c>
      <c r="G12" s="11" t="s">
        <v>503</v>
      </c>
      <c r="H12" s="11" t="s">
        <v>41</v>
      </c>
      <c r="I12" s="12">
        <v>1</v>
      </c>
      <c r="J12" s="12">
        <v>180</v>
      </c>
      <c r="K12" s="12">
        <v>60.84</v>
      </c>
      <c r="L12" s="12">
        <v>10951.199999999999</v>
      </c>
      <c r="M12" s="12">
        <v>-420.53</v>
      </c>
      <c r="N12" s="12">
        <v>0</v>
      </c>
      <c r="O12" s="12">
        <v>1368.9872909999999</v>
      </c>
      <c r="P12" s="12">
        <v>11899.657291</v>
      </c>
    </row>
    <row r="13" spans="1:16" ht="14.5" x14ac:dyDescent="0.25">
      <c r="A13" s="10">
        <v>45753</v>
      </c>
      <c r="B13" s="2" t="str">
        <f t="shared" si="0"/>
        <v>Apr-2025</v>
      </c>
      <c r="C13" s="2" t="str">
        <f t="shared" si="1"/>
        <v>Q1</v>
      </c>
      <c r="D13" s="2" t="s">
        <v>28</v>
      </c>
      <c r="E13" s="11" t="s">
        <v>64</v>
      </c>
      <c r="F13" s="11" t="s">
        <v>65</v>
      </c>
      <c r="G13" s="11" t="s">
        <v>503</v>
      </c>
      <c r="H13" s="11" t="s">
        <v>59</v>
      </c>
      <c r="I13" s="12">
        <v>1</v>
      </c>
      <c r="J13" s="12">
        <v>180</v>
      </c>
      <c r="K13" s="12">
        <v>64.23</v>
      </c>
      <c r="L13" s="12">
        <v>11561.4</v>
      </c>
      <c r="M13" s="12">
        <v>-443.96</v>
      </c>
      <c r="N13" s="12">
        <v>0</v>
      </c>
      <c r="O13" s="12">
        <v>1445.2674020000002</v>
      </c>
      <c r="P13" s="12">
        <v>12562.707402</v>
      </c>
    </row>
    <row r="14" spans="1:16" ht="14.5" x14ac:dyDescent="0.25">
      <c r="A14" s="10">
        <v>45753</v>
      </c>
      <c r="B14" s="2" t="str">
        <f t="shared" si="0"/>
        <v>Apr-2025</v>
      </c>
      <c r="C14" s="2" t="str">
        <f t="shared" si="1"/>
        <v>Q1</v>
      </c>
      <c r="D14" s="2" t="s">
        <v>28</v>
      </c>
      <c r="E14" s="11" t="s">
        <v>70</v>
      </c>
      <c r="F14" s="11" t="s">
        <v>71</v>
      </c>
      <c r="G14" s="11" t="s">
        <v>504</v>
      </c>
      <c r="H14" s="11" t="s">
        <v>66</v>
      </c>
      <c r="I14" s="12">
        <v>1</v>
      </c>
      <c r="J14" s="12">
        <v>100</v>
      </c>
      <c r="K14" s="12">
        <v>108.17</v>
      </c>
      <c r="L14" s="12">
        <v>10817</v>
      </c>
      <c r="M14" s="12">
        <v>-415.37</v>
      </c>
      <c r="N14" s="12">
        <v>0</v>
      </c>
      <c r="O14" s="12">
        <v>1352.2120889999999</v>
      </c>
      <c r="P14" s="12">
        <v>11753.842089</v>
      </c>
    </row>
    <row r="15" spans="1:16" ht="14.5" x14ac:dyDescent="0.25">
      <c r="A15" s="10">
        <v>45753</v>
      </c>
      <c r="B15" s="2" t="str">
        <f t="shared" si="0"/>
        <v>Apr-2025</v>
      </c>
      <c r="C15" s="2" t="str">
        <f t="shared" si="1"/>
        <v>Q1</v>
      </c>
      <c r="D15" s="2" t="s">
        <v>28</v>
      </c>
      <c r="E15" s="11" t="s">
        <v>70</v>
      </c>
      <c r="F15" s="11" t="s">
        <v>71</v>
      </c>
      <c r="G15" s="11" t="s">
        <v>503</v>
      </c>
      <c r="H15" s="11" t="s">
        <v>45</v>
      </c>
      <c r="I15" s="12">
        <v>2</v>
      </c>
      <c r="J15" s="12">
        <v>360</v>
      </c>
      <c r="K15" s="12">
        <v>64.23</v>
      </c>
      <c r="L15" s="12">
        <v>23122.799999999999</v>
      </c>
      <c r="M15" s="12">
        <v>-887.92</v>
      </c>
      <c r="N15" s="12">
        <v>0</v>
      </c>
      <c r="O15" s="12">
        <v>2890.5348040000003</v>
      </c>
      <c r="P15" s="12">
        <v>25125.414804</v>
      </c>
    </row>
    <row r="16" spans="1:16" ht="14.5" x14ac:dyDescent="0.25">
      <c r="A16" s="10">
        <v>45753</v>
      </c>
      <c r="B16" s="2" t="str">
        <f t="shared" si="0"/>
        <v>Apr-2025</v>
      </c>
      <c r="C16" s="2" t="str">
        <f t="shared" si="1"/>
        <v>Q1</v>
      </c>
      <c r="D16" s="2" t="s">
        <v>28</v>
      </c>
      <c r="E16" s="11" t="s">
        <v>70</v>
      </c>
      <c r="F16" s="11" t="s">
        <v>71</v>
      </c>
      <c r="G16" s="11" t="s">
        <v>503</v>
      </c>
      <c r="H16" s="11" t="s">
        <v>41</v>
      </c>
      <c r="I16" s="12">
        <v>1</v>
      </c>
      <c r="J16" s="12">
        <v>180</v>
      </c>
      <c r="K16" s="12">
        <v>60.84</v>
      </c>
      <c r="L16" s="12">
        <v>10951.199999999999</v>
      </c>
      <c r="M16" s="12">
        <v>-420.53</v>
      </c>
      <c r="N16" s="12">
        <v>0</v>
      </c>
      <c r="O16" s="12">
        <v>1368.9872909999999</v>
      </c>
      <c r="P16" s="12">
        <v>11899.657291</v>
      </c>
    </row>
    <row r="17" spans="1:16" ht="14.5" x14ac:dyDescent="0.25">
      <c r="A17" s="10">
        <v>45753</v>
      </c>
      <c r="B17" s="2" t="str">
        <f t="shared" si="0"/>
        <v>Apr-2025</v>
      </c>
      <c r="C17" s="2" t="str">
        <f t="shared" si="1"/>
        <v>Q1</v>
      </c>
      <c r="D17" s="2" t="s">
        <v>28</v>
      </c>
      <c r="E17" s="11" t="s">
        <v>70</v>
      </c>
      <c r="F17" s="11" t="s">
        <v>71</v>
      </c>
      <c r="G17" s="11" t="s">
        <v>503</v>
      </c>
      <c r="H17" s="11" t="s">
        <v>51</v>
      </c>
      <c r="I17" s="12">
        <v>1</v>
      </c>
      <c r="J17" s="12">
        <v>180</v>
      </c>
      <c r="K17" s="12">
        <v>64.23</v>
      </c>
      <c r="L17" s="12">
        <v>11561.4</v>
      </c>
      <c r="M17" s="12">
        <v>-443.96</v>
      </c>
      <c r="N17" s="12">
        <v>0</v>
      </c>
      <c r="O17" s="12">
        <v>1445.2674020000002</v>
      </c>
      <c r="P17" s="12">
        <v>12562.707402</v>
      </c>
    </row>
    <row r="18" spans="1:16" ht="14.5" x14ac:dyDescent="0.25">
      <c r="A18" s="10">
        <v>45753</v>
      </c>
      <c r="B18" s="2" t="str">
        <f t="shared" si="0"/>
        <v>Apr-2025</v>
      </c>
      <c r="C18" s="2" t="str">
        <f t="shared" si="1"/>
        <v>Q1</v>
      </c>
      <c r="D18" s="2" t="s">
        <v>28</v>
      </c>
      <c r="E18" s="11" t="s">
        <v>70</v>
      </c>
      <c r="F18" s="11" t="s">
        <v>71</v>
      </c>
      <c r="G18" s="11" t="s">
        <v>503</v>
      </c>
      <c r="H18" s="11" t="s">
        <v>59</v>
      </c>
      <c r="I18" s="12">
        <v>1</v>
      </c>
      <c r="J18" s="12">
        <v>180</v>
      </c>
      <c r="K18" s="12">
        <v>64.23</v>
      </c>
      <c r="L18" s="12">
        <v>11561.4</v>
      </c>
      <c r="M18" s="12">
        <v>-443.96</v>
      </c>
      <c r="N18" s="12">
        <v>0</v>
      </c>
      <c r="O18" s="12">
        <v>1445.2674020000002</v>
      </c>
      <c r="P18" s="12">
        <v>12562.707402</v>
      </c>
    </row>
    <row r="19" spans="1:16" ht="14.5" x14ac:dyDescent="0.25">
      <c r="A19" s="10">
        <v>45753</v>
      </c>
      <c r="B19" s="2" t="str">
        <f t="shared" si="0"/>
        <v>Apr-2025</v>
      </c>
      <c r="C19" s="2" t="str">
        <f t="shared" si="1"/>
        <v>Q1</v>
      </c>
      <c r="D19" s="2" t="s">
        <v>28</v>
      </c>
      <c r="E19" s="11" t="s">
        <v>70</v>
      </c>
      <c r="F19" s="11" t="s">
        <v>71</v>
      </c>
      <c r="G19" s="11" t="s">
        <v>504</v>
      </c>
      <c r="H19" s="11" t="s">
        <v>67</v>
      </c>
      <c r="I19" s="12">
        <v>1</v>
      </c>
      <c r="J19" s="12">
        <v>40</v>
      </c>
      <c r="K19" s="12">
        <v>459.72</v>
      </c>
      <c r="L19" s="12">
        <v>18388.8</v>
      </c>
      <c r="M19" s="12">
        <v>-706.12999999999988</v>
      </c>
      <c r="N19" s="12">
        <v>0</v>
      </c>
      <c r="O19" s="12">
        <v>2298.747421</v>
      </c>
      <c r="P19" s="12">
        <v>19981.417420999998</v>
      </c>
    </row>
    <row r="20" spans="1:16" ht="14.5" x14ac:dyDescent="0.25">
      <c r="A20" s="10">
        <v>45753</v>
      </c>
      <c r="B20" s="2" t="str">
        <f t="shared" si="0"/>
        <v>Apr-2025</v>
      </c>
      <c r="C20" s="2" t="str">
        <f t="shared" si="1"/>
        <v>Q1</v>
      </c>
      <c r="D20" s="2" t="s">
        <v>28</v>
      </c>
      <c r="E20" s="11" t="s">
        <v>70</v>
      </c>
      <c r="F20" s="11" t="s">
        <v>71</v>
      </c>
      <c r="G20" s="11" t="s">
        <v>504</v>
      </c>
      <c r="H20" s="11" t="s">
        <v>68</v>
      </c>
      <c r="I20" s="12">
        <v>1</v>
      </c>
      <c r="J20" s="12">
        <v>40</v>
      </c>
      <c r="K20" s="12">
        <v>260.27999999999997</v>
      </c>
      <c r="L20" s="12">
        <v>10411.200000000001</v>
      </c>
      <c r="M20" s="12">
        <v>-399.79</v>
      </c>
      <c r="N20" s="12">
        <v>0</v>
      </c>
      <c r="O20" s="12">
        <v>1301.4834820000001</v>
      </c>
      <c r="P20" s="12">
        <v>11312.893481999999</v>
      </c>
    </row>
    <row r="21" spans="1:16" ht="14.5" x14ac:dyDescent="0.25">
      <c r="A21" s="10">
        <v>45753</v>
      </c>
      <c r="B21" s="2" t="str">
        <f t="shared" si="0"/>
        <v>Apr-2025</v>
      </c>
      <c r="C21" s="2" t="str">
        <f t="shared" si="1"/>
        <v>Q1</v>
      </c>
      <c r="D21" s="2" t="s">
        <v>28</v>
      </c>
      <c r="E21" s="11" t="s">
        <v>70</v>
      </c>
      <c r="F21" s="11" t="s">
        <v>71</v>
      </c>
      <c r="G21" s="11" t="s">
        <v>505</v>
      </c>
      <c r="H21" s="11" t="s">
        <v>40</v>
      </c>
      <c r="I21" s="12">
        <v>2</v>
      </c>
      <c r="J21" s="12">
        <v>360</v>
      </c>
      <c r="K21" s="12">
        <v>94.65</v>
      </c>
      <c r="L21" s="12">
        <v>34074</v>
      </c>
      <c r="M21" s="12">
        <v>-1308.44</v>
      </c>
      <c r="N21" s="12">
        <v>0</v>
      </c>
      <c r="O21" s="12">
        <v>4259.5233950000002</v>
      </c>
      <c r="P21" s="12">
        <v>37025.083395000001</v>
      </c>
    </row>
    <row r="22" spans="1:16" ht="14.5" x14ac:dyDescent="0.25">
      <c r="A22" s="10">
        <v>45753</v>
      </c>
      <c r="B22" s="2" t="str">
        <f t="shared" si="0"/>
        <v>Apr-2025</v>
      </c>
      <c r="C22" s="2" t="str">
        <f t="shared" si="1"/>
        <v>Q1</v>
      </c>
      <c r="D22" s="2" t="s">
        <v>28</v>
      </c>
      <c r="E22" s="11" t="s">
        <v>70</v>
      </c>
      <c r="F22" s="11" t="s">
        <v>71</v>
      </c>
      <c r="G22" s="11" t="s">
        <v>504</v>
      </c>
      <c r="H22" s="11" t="s">
        <v>69</v>
      </c>
      <c r="I22" s="12">
        <v>1</v>
      </c>
      <c r="J22" s="12">
        <v>100</v>
      </c>
      <c r="K22" s="12">
        <v>189.3</v>
      </c>
      <c r="L22" s="12">
        <v>18930</v>
      </c>
      <c r="M22" s="12">
        <v>-726.91000000000008</v>
      </c>
      <c r="N22" s="12">
        <v>0</v>
      </c>
      <c r="O22" s="12">
        <v>2366.4020310000001</v>
      </c>
      <c r="P22" s="12">
        <v>20569.492031000002</v>
      </c>
    </row>
    <row r="23" spans="1:16" ht="14.5" x14ac:dyDescent="0.25">
      <c r="A23" s="10">
        <v>45753</v>
      </c>
      <c r="B23" s="2" t="str">
        <f t="shared" si="0"/>
        <v>Apr-2025</v>
      </c>
      <c r="C23" s="2" t="str">
        <f t="shared" si="1"/>
        <v>Q1</v>
      </c>
      <c r="D23" s="2" t="s">
        <v>28</v>
      </c>
      <c r="E23" s="11" t="s">
        <v>70</v>
      </c>
      <c r="F23" s="11" t="s">
        <v>71</v>
      </c>
      <c r="G23" s="11" t="s">
        <v>503</v>
      </c>
      <c r="H23" s="11" t="s">
        <v>52</v>
      </c>
      <c r="I23" s="12">
        <v>1</v>
      </c>
      <c r="J23" s="12">
        <v>180</v>
      </c>
      <c r="K23" s="12">
        <v>70.989999999999995</v>
      </c>
      <c r="L23" s="12">
        <v>12778.2</v>
      </c>
      <c r="M23" s="12">
        <v>-490.68</v>
      </c>
      <c r="N23" s="12">
        <v>0</v>
      </c>
      <c r="O23" s="12">
        <v>1597.377823</v>
      </c>
      <c r="P23" s="12">
        <v>13884.897822999999</v>
      </c>
    </row>
    <row r="24" spans="1:16" ht="14.5" x14ac:dyDescent="0.25">
      <c r="A24" s="10">
        <v>45753</v>
      </c>
      <c r="B24" s="2" t="str">
        <f t="shared" si="0"/>
        <v>Apr-2025</v>
      </c>
      <c r="C24" s="2" t="str">
        <f t="shared" si="1"/>
        <v>Q1</v>
      </c>
      <c r="D24" s="2" t="s">
        <v>28</v>
      </c>
      <c r="E24" s="11" t="s">
        <v>70</v>
      </c>
      <c r="F24" s="11" t="s">
        <v>71</v>
      </c>
      <c r="G24" s="11" t="s">
        <v>505</v>
      </c>
      <c r="H24" s="11" t="s">
        <v>56</v>
      </c>
      <c r="I24" s="12">
        <v>1</v>
      </c>
      <c r="J24" s="12">
        <v>120</v>
      </c>
      <c r="K24" s="12">
        <v>57.46</v>
      </c>
      <c r="L24" s="12">
        <v>6895.2</v>
      </c>
      <c r="M24" s="12">
        <v>-264.77999999999997</v>
      </c>
      <c r="N24" s="12">
        <v>0</v>
      </c>
      <c r="O24" s="12">
        <v>861.95471999999995</v>
      </c>
      <c r="P24" s="12">
        <v>7492.3747199999998</v>
      </c>
    </row>
    <row r="25" spans="1:16" ht="14.5" x14ac:dyDescent="0.25">
      <c r="A25" s="10">
        <v>45753</v>
      </c>
      <c r="B25" s="2" t="str">
        <f t="shared" si="0"/>
        <v>Apr-2025</v>
      </c>
      <c r="C25" s="2" t="str">
        <f t="shared" si="1"/>
        <v>Q1</v>
      </c>
      <c r="D25" s="2" t="s">
        <v>28</v>
      </c>
      <c r="E25" s="11" t="s">
        <v>70</v>
      </c>
      <c r="F25" s="11" t="s">
        <v>71</v>
      </c>
      <c r="G25" s="11" t="s">
        <v>505</v>
      </c>
      <c r="H25" s="11" t="s">
        <v>55</v>
      </c>
      <c r="I25" s="12">
        <v>2</v>
      </c>
      <c r="J25" s="12">
        <v>240</v>
      </c>
      <c r="K25" s="12">
        <v>152.11000000000001</v>
      </c>
      <c r="L25" s="12">
        <v>36506.400000000001</v>
      </c>
      <c r="M25" s="12">
        <v>-1401.85</v>
      </c>
      <c r="N25" s="12">
        <v>0</v>
      </c>
      <c r="O25" s="12">
        <v>4563.592138</v>
      </c>
      <c r="P25" s="12">
        <v>39668.142138000003</v>
      </c>
    </row>
    <row r="26" spans="1:16" ht="14.5" x14ac:dyDescent="0.25">
      <c r="A26" s="10">
        <v>45753</v>
      </c>
      <c r="B26" s="2" t="str">
        <f t="shared" si="0"/>
        <v>Apr-2025</v>
      </c>
      <c r="C26" s="2" t="str">
        <f t="shared" si="1"/>
        <v>Q1</v>
      </c>
      <c r="D26" s="2" t="s">
        <v>28</v>
      </c>
      <c r="E26" s="11" t="s">
        <v>72</v>
      </c>
      <c r="F26" s="11" t="s">
        <v>73</v>
      </c>
      <c r="G26" s="11" t="s">
        <v>503</v>
      </c>
      <c r="H26" s="11" t="s">
        <v>52</v>
      </c>
      <c r="I26" s="12">
        <v>1</v>
      </c>
      <c r="J26" s="12">
        <v>180</v>
      </c>
      <c r="K26" s="12">
        <v>70.989999999999995</v>
      </c>
      <c r="L26" s="12">
        <v>12778.2</v>
      </c>
      <c r="M26" s="12">
        <v>-490.68</v>
      </c>
      <c r="N26" s="12">
        <v>0</v>
      </c>
      <c r="O26" s="12">
        <v>1597.377823</v>
      </c>
      <c r="P26" s="12">
        <v>13884.897822999999</v>
      </c>
    </row>
    <row r="27" spans="1:16" ht="14.5" x14ac:dyDescent="0.25">
      <c r="A27" s="10">
        <v>45753</v>
      </c>
      <c r="B27" s="2" t="str">
        <f t="shared" si="0"/>
        <v>Apr-2025</v>
      </c>
      <c r="C27" s="2" t="str">
        <f t="shared" si="1"/>
        <v>Q1</v>
      </c>
      <c r="D27" s="2" t="s">
        <v>28</v>
      </c>
      <c r="E27" s="11" t="s">
        <v>72</v>
      </c>
      <c r="F27" s="11" t="s">
        <v>73</v>
      </c>
      <c r="G27" s="11" t="s">
        <v>503</v>
      </c>
      <c r="H27" s="11" t="s">
        <v>51</v>
      </c>
      <c r="I27" s="12">
        <v>1</v>
      </c>
      <c r="J27" s="12">
        <v>180</v>
      </c>
      <c r="K27" s="12">
        <v>64.23</v>
      </c>
      <c r="L27" s="12">
        <v>11561.4</v>
      </c>
      <c r="M27" s="12">
        <v>-443.96</v>
      </c>
      <c r="N27" s="12">
        <v>0</v>
      </c>
      <c r="O27" s="12">
        <v>1445.2674020000002</v>
      </c>
      <c r="P27" s="12">
        <v>12562.707402</v>
      </c>
    </row>
    <row r="28" spans="1:16" ht="14.5" x14ac:dyDescent="0.25">
      <c r="A28" s="10">
        <v>45753</v>
      </c>
      <c r="B28" s="2" t="str">
        <f t="shared" si="0"/>
        <v>Apr-2025</v>
      </c>
      <c r="C28" s="2" t="str">
        <f t="shared" si="1"/>
        <v>Q1</v>
      </c>
      <c r="D28" s="2" t="s">
        <v>28</v>
      </c>
      <c r="E28" s="11" t="s">
        <v>72</v>
      </c>
      <c r="F28" s="11" t="s">
        <v>73</v>
      </c>
      <c r="G28" s="11" t="s">
        <v>505</v>
      </c>
      <c r="H28" s="11" t="s">
        <v>55</v>
      </c>
      <c r="I28" s="12">
        <v>2</v>
      </c>
      <c r="J28" s="12">
        <v>240</v>
      </c>
      <c r="K28" s="12">
        <v>152.11000000000001</v>
      </c>
      <c r="L28" s="12">
        <v>36506.400000000001</v>
      </c>
      <c r="M28" s="12">
        <v>-1401.85</v>
      </c>
      <c r="N28" s="12">
        <v>0</v>
      </c>
      <c r="O28" s="12">
        <v>4563.592138</v>
      </c>
      <c r="P28" s="12">
        <v>39668.142138000003</v>
      </c>
    </row>
    <row r="29" spans="1:16" ht="14.5" x14ac:dyDescent="0.25">
      <c r="A29" s="10">
        <v>45753</v>
      </c>
      <c r="B29" s="2" t="str">
        <f t="shared" si="0"/>
        <v>Apr-2025</v>
      </c>
      <c r="C29" s="2" t="str">
        <f t="shared" si="1"/>
        <v>Q1</v>
      </c>
      <c r="D29" s="2" t="s">
        <v>28</v>
      </c>
      <c r="E29" s="11" t="s">
        <v>72</v>
      </c>
      <c r="F29" s="11" t="s">
        <v>73</v>
      </c>
      <c r="G29" s="11" t="s">
        <v>505</v>
      </c>
      <c r="H29" s="11" t="s">
        <v>56</v>
      </c>
      <c r="I29" s="12">
        <v>1</v>
      </c>
      <c r="J29" s="12">
        <v>120</v>
      </c>
      <c r="K29" s="12">
        <v>57.46</v>
      </c>
      <c r="L29" s="12">
        <v>6895.2</v>
      </c>
      <c r="M29" s="12">
        <v>-264.77999999999997</v>
      </c>
      <c r="N29" s="12">
        <v>0</v>
      </c>
      <c r="O29" s="12">
        <v>861.95471999999995</v>
      </c>
      <c r="P29" s="12">
        <v>7492.3747199999998</v>
      </c>
    </row>
    <row r="30" spans="1:16" ht="14.5" x14ac:dyDescent="0.25">
      <c r="A30" s="10">
        <v>45753</v>
      </c>
      <c r="B30" s="2" t="str">
        <f t="shared" si="0"/>
        <v>Apr-2025</v>
      </c>
      <c r="C30" s="2" t="str">
        <f t="shared" si="1"/>
        <v>Q1</v>
      </c>
      <c r="D30" s="2" t="s">
        <v>28</v>
      </c>
      <c r="E30" s="11" t="s">
        <v>72</v>
      </c>
      <c r="F30" s="11" t="s">
        <v>73</v>
      </c>
      <c r="G30" s="11" t="s">
        <v>504</v>
      </c>
      <c r="H30" s="11" t="s">
        <v>69</v>
      </c>
      <c r="I30" s="12">
        <v>1</v>
      </c>
      <c r="J30" s="12">
        <v>100</v>
      </c>
      <c r="K30" s="12">
        <v>189.3</v>
      </c>
      <c r="L30" s="12">
        <v>18930</v>
      </c>
      <c r="M30" s="12">
        <v>-726.91000000000008</v>
      </c>
      <c r="N30" s="12">
        <v>0</v>
      </c>
      <c r="O30" s="12">
        <v>2366.4020310000001</v>
      </c>
      <c r="P30" s="12">
        <v>20569.492031000002</v>
      </c>
    </row>
    <row r="31" spans="1:16" ht="14.5" x14ac:dyDescent="0.25">
      <c r="A31" s="10">
        <v>45753</v>
      </c>
      <c r="B31" s="2" t="str">
        <f t="shared" si="0"/>
        <v>Apr-2025</v>
      </c>
      <c r="C31" s="2" t="str">
        <f t="shared" si="1"/>
        <v>Q1</v>
      </c>
      <c r="D31" s="2" t="s">
        <v>28</v>
      </c>
      <c r="E31" s="11" t="s">
        <v>72</v>
      </c>
      <c r="F31" s="11" t="s">
        <v>73</v>
      </c>
      <c r="G31" s="11" t="s">
        <v>505</v>
      </c>
      <c r="H31" s="11" t="s">
        <v>40</v>
      </c>
      <c r="I31" s="12">
        <v>2</v>
      </c>
      <c r="J31" s="12">
        <v>360</v>
      </c>
      <c r="K31" s="12">
        <v>94.65</v>
      </c>
      <c r="L31" s="12">
        <v>34074</v>
      </c>
      <c r="M31" s="12">
        <v>-1308.44</v>
      </c>
      <c r="N31" s="12">
        <v>0</v>
      </c>
      <c r="O31" s="12">
        <v>4259.5233950000002</v>
      </c>
      <c r="P31" s="12">
        <v>37025.083395000001</v>
      </c>
    </row>
    <row r="32" spans="1:16" ht="14.5" x14ac:dyDescent="0.25">
      <c r="A32" s="10">
        <v>45753</v>
      </c>
      <c r="B32" s="2" t="str">
        <f t="shared" si="0"/>
        <v>Apr-2025</v>
      </c>
      <c r="C32" s="2" t="str">
        <f t="shared" si="1"/>
        <v>Q1</v>
      </c>
      <c r="D32" s="2" t="s">
        <v>28</v>
      </c>
      <c r="E32" s="11" t="s">
        <v>72</v>
      </c>
      <c r="F32" s="11" t="s">
        <v>73</v>
      </c>
      <c r="G32" s="11" t="s">
        <v>504</v>
      </c>
      <c r="H32" s="11" t="s">
        <v>67</v>
      </c>
      <c r="I32" s="12">
        <v>1</v>
      </c>
      <c r="J32" s="12">
        <v>40</v>
      </c>
      <c r="K32" s="12">
        <v>459.72</v>
      </c>
      <c r="L32" s="12">
        <v>18388.8</v>
      </c>
      <c r="M32" s="12">
        <v>-706.12999999999988</v>
      </c>
      <c r="N32" s="12">
        <v>0</v>
      </c>
      <c r="O32" s="12">
        <v>2298.747421</v>
      </c>
      <c r="P32" s="12">
        <v>19981.417420999998</v>
      </c>
    </row>
    <row r="33" spans="1:16" ht="14.5" x14ac:dyDescent="0.25">
      <c r="A33" s="10">
        <v>45753</v>
      </c>
      <c r="B33" s="2" t="str">
        <f t="shared" si="0"/>
        <v>Apr-2025</v>
      </c>
      <c r="C33" s="2" t="str">
        <f t="shared" si="1"/>
        <v>Q1</v>
      </c>
      <c r="D33" s="2" t="s">
        <v>28</v>
      </c>
      <c r="E33" s="11" t="s">
        <v>72</v>
      </c>
      <c r="F33" s="11" t="s">
        <v>73</v>
      </c>
      <c r="G33" s="11" t="s">
        <v>503</v>
      </c>
      <c r="H33" s="11" t="s">
        <v>45</v>
      </c>
      <c r="I33" s="12">
        <v>2</v>
      </c>
      <c r="J33" s="12">
        <v>360</v>
      </c>
      <c r="K33" s="12">
        <v>64.23</v>
      </c>
      <c r="L33" s="12">
        <v>23122.799999999999</v>
      </c>
      <c r="M33" s="12">
        <v>-887.92</v>
      </c>
      <c r="N33" s="12">
        <v>0</v>
      </c>
      <c r="O33" s="12">
        <v>2890.5348040000003</v>
      </c>
      <c r="P33" s="12">
        <v>25125.414804</v>
      </c>
    </row>
    <row r="34" spans="1:16" ht="14.5" x14ac:dyDescent="0.25">
      <c r="A34" s="10">
        <v>45753</v>
      </c>
      <c r="B34" s="2" t="str">
        <f t="shared" si="0"/>
        <v>Apr-2025</v>
      </c>
      <c r="C34" s="2" t="str">
        <f t="shared" si="1"/>
        <v>Q1</v>
      </c>
      <c r="D34" s="2" t="s">
        <v>28</v>
      </c>
      <c r="E34" s="11" t="s">
        <v>72</v>
      </c>
      <c r="F34" s="11" t="s">
        <v>73</v>
      </c>
      <c r="G34" s="11" t="s">
        <v>504</v>
      </c>
      <c r="H34" s="11" t="s">
        <v>66</v>
      </c>
      <c r="I34" s="12">
        <v>1</v>
      </c>
      <c r="J34" s="12">
        <v>100</v>
      </c>
      <c r="K34" s="12">
        <v>108.17</v>
      </c>
      <c r="L34" s="12">
        <v>10817</v>
      </c>
      <c r="M34" s="12">
        <v>-415.37</v>
      </c>
      <c r="N34" s="12">
        <v>0</v>
      </c>
      <c r="O34" s="12">
        <v>1352.2120889999999</v>
      </c>
      <c r="P34" s="12">
        <v>11753.842089</v>
      </c>
    </row>
    <row r="35" spans="1:16" ht="14.5" x14ac:dyDescent="0.25">
      <c r="A35" s="10">
        <v>45753</v>
      </c>
      <c r="B35" s="2" t="str">
        <f t="shared" si="0"/>
        <v>Apr-2025</v>
      </c>
      <c r="C35" s="2" t="str">
        <f t="shared" si="1"/>
        <v>Q1</v>
      </c>
      <c r="D35" s="2" t="s">
        <v>28</v>
      </c>
      <c r="E35" s="11" t="s">
        <v>72</v>
      </c>
      <c r="F35" s="11" t="s">
        <v>73</v>
      </c>
      <c r="G35" s="11" t="s">
        <v>503</v>
      </c>
      <c r="H35" s="11" t="s">
        <v>41</v>
      </c>
      <c r="I35" s="12">
        <v>1</v>
      </c>
      <c r="J35" s="12">
        <v>180</v>
      </c>
      <c r="K35" s="12">
        <v>60.84</v>
      </c>
      <c r="L35" s="12">
        <v>10951.199999999999</v>
      </c>
      <c r="M35" s="12">
        <v>-420.53</v>
      </c>
      <c r="N35" s="12">
        <v>0</v>
      </c>
      <c r="O35" s="12">
        <v>1368.9872909999999</v>
      </c>
      <c r="P35" s="12">
        <v>11899.657291</v>
      </c>
    </row>
    <row r="36" spans="1:16" ht="14.5" x14ac:dyDescent="0.25">
      <c r="A36" s="10">
        <v>45753</v>
      </c>
      <c r="B36" s="2" t="str">
        <f t="shared" si="0"/>
        <v>Apr-2025</v>
      </c>
      <c r="C36" s="2" t="str">
        <f t="shared" si="1"/>
        <v>Q1</v>
      </c>
      <c r="D36" s="2" t="s">
        <v>28</v>
      </c>
      <c r="E36" s="11" t="s">
        <v>72</v>
      </c>
      <c r="F36" s="11" t="s">
        <v>73</v>
      </c>
      <c r="G36" s="11" t="s">
        <v>503</v>
      </c>
      <c r="H36" s="11" t="s">
        <v>59</v>
      </c>
      <c r="I36" s="12">
        <v>1</v>
      </c>
      <c r="J36" s="12">
        <v>180</v>
      </c>
      <c r="K36" s="12">
        <v>64.23</v>
      </c>
      <c r="L36" s="12">
        <v>11561.4</v>
      </c>
      <c r="M36" s="12">
        <v>-443.96</v>
      </c>
      <c r="N36" s="12">
        <v>0</v>
      </c>
      <c r="O36" s="12">
        <v>1445.2674020000002</v>
      </c>
      <c r="P36" s="12">
        <v>12562.707402</v>
      </c>
    </row>
    <row r="37" spans="1:16" ht="14.5" x14ac:dyDescent="0.25">
      <c r="A37" s="10">
        <v>45753</v>
      </c>
      <c r="B37" s="2" t="str">
        <f t="shared" si="0"/>
        <v>Apr-2025</v>
      </c>
      <c r="C37" s="2" t="str">
        <f t="shared" si="1"/>
        <v>Q1</v>
      </c>
      <c r="D37" s="2" t="s">
        <v>28</v>
      </c>
      <c r="E37" s="11" t="s">
        <v>72</v>
      </c>
      <c r="F37" s="11" t="s">
        <v>73</v>
      </c>
      <c r="G37" s="11" t="s">
        <v>504</v>
      </c>
      <c r="H37" s="11" t="s">
        <v>68</v>
      </c>
      <c r="I37" s="12">
        <v>1</v>
      </c>
      <c r="J37" s="12">
        <v>40</v>
      </c>
      <c r="K37" s="12">
        <v>260.27999999999997</v>
      </c>
      <c r="L37" s="12">
        <v>10411.200000000001</v>
      </c>
      <c r="M37" s="12">
        <v>-399.79</v>
      </c>
      <c r="N37" s="12">
        <v>0</v>
      </c>
      <c r="O37" s="12">
        <v>1301.4834820000001</v>
      </c>
      <c r="P37" s="12">
        <v>11312.893481999999</v>
      </c>
    </row>
    <row r="38" spans="1:16" ht="14.5" x14ac:dyDescent="0.25">
      <c r="A38" s="10">
        <v>45753</v>
      </c>
      <c r="B38" s="2" t="str">
        <f t="shared" ref="B38:B101" si="2">+TEXT(A38,"MMM-yyy")</f>
        <v>Apr-2025</v>
      </c>
      <c r="C38" s="2" t="str">
        <f t="shared" ref="C38:C101" si="3">"Q" &amp; CHOOSE(MONTH(A38),4,4,4,1,1,1,2,2,2,3,3,3)</f>
        <v>Q1</v>
      </c>
      <c r="D38" s="2" t="s">
        <v>28</v>
      </c>
      <c r="E38" s="11" t="s">
        <v>74</v>
      </c>
      <c r="F38" s="11" t="s">
        <v>75</v>
      </c>
      <c r="G38" s="11" t="s">
        <v>503</v>
      </c>
      <c r="H38" s="11" t="s">
        <v>41</v>
      </c>
      <c r="I38" s="12">
        <v>1</v>
      </c>
      <c r="J38" s="12">
        <v>180</v>
      </c>
      <c r="K38" s="12">
        <v>60.84</v>
      </c>
      <c r="L38" s="12">
        <v>10951.199999999999</v>
      </c>
      <c r="M38" s="12">
        <v>-420.53</v>
      </c>
      <c r="N38" s="12">
        <v>0</v>
      </c>
      <c r="O38" s="12">
        <v>1368.9872909999999</v>
      </c>
      <c r="P38" s="12">
        <v>11899.657291</v>
      </c>
    </row>
    <row r="39" spans="1:16" ht="14.5" x14ac:dyDescent="0.25">
      <c r="A39" s="10">
        <v>45753</v>
      </c>
      <c r="B39" s="2" t="str">
        <f t="shared" si="2"/>
        <v>Apr-2025</v>
      </c>
      <c r="C39" s="2" t="str">
        <f t="shared" si="3"/>
        <v>Q1</v>
      </c>
      <c r="D39" s="2" t="s">
        <v>28</v>
      </c>
      <c r="E39" s="11" t="s">
        <v>74</v>
      </c>
      <c r="F39" s="11" t="s">
        <v>75</v>
      </c>
      <c r="G39" s="11" t="s">
        <v>504</v>
      </c>
      <c r="H39" s="11" t="s">
        <v>67</v>
      </c>
      <c r="I39" s="12">
        <v>1</v>
      </c>
      <c r="J39" s="12">
        <v>40</v>
      </c>
      <c r="K39" s="12">
        <v>459.72</v>
      </c>
      <c r="L39" s="12">
        <v>18388.8</v>
      </c>
      <c r="M39" s="12">
        <v>-706.12999999999988</v>
      </c>
      <c r="N39" s="12">
        <v>0</v>
      </c>
      <c r="O39" s="12">
        <v>2298.747421</v>
      </c>
      <c r="P39" s="12">
        <v>19981.417420999998</v>
      </c>
    </row>
    <row r="40" spans="1:16" ht="14.5" x14ac:dyDescent="0.25">
      <c r="A40" s="10">
        <v>45753</v>
      </c>
      <c r="B40" s="2" t="str">
        <f t="shared" si="2"/>
        <v>Apr-2025</v>
      </c>
      <c r="C40" s="2" t="str">
        <f t="shared" si="3"/>
        <v>Q1</v>
      </c>
      <c r="D40" s="2" t="s">
        <v>28</v>
      </c>
      <c r="E40" s="11" t="s">
        <v>74</v>
      </c>
      <c r="F40" s="11" t="s">
        <v>75</v>
      </c>
      <c r="G40" s="11" t="s">
        <v>503</v>
      </c>
      <c r="H40" s="11" t="s">
        <v>45</v>
      </c>
      <c r="I40" s="12">
        <v>2</v>
      </c>
      <c r="J40" s="12">
        <v>360</v>
      </c>
      <c r="K40" s="12">
        <v>64.23</v>
      </c>
      <c r="L40" s="12">
        <v>23122.799999999999</v>
      </c>
      <c r="M40" s="12">
        <v>-887.92</v>
      </c>
      <c r="N40" s="12">
        <v>0</v>
      </c>
      <c r="O40" s="12">
        <v>2890.5348040000003</v>
      </c>
      <c r="P40" s="12">
        <v>25125.414804</v>
      </c>
    </row>
    <row r="41" spans="1:16" ht="14.5" x14ac:dyDescent="0.25">
      <c r="A41" s="10">
        <v>45753</v>
      </c>
      <c r="B41" s="2" t="str">
        <f t="shared" si="2"/>
        <v>Apr-2025</v>
      </c>
      <c r="C41" s="2" t="str">
        <f t="shared" si="3"/>
        <v>Q1</v>
      </c>
      <c r="D41" s="2" t="s">
        <v>28</v>
      </c>
      <c r="E41" s="11" t="s">
        <v>74</v>
      </c>
      <c r="F41" s="11" t="s">
        <v>75</v>
      </c>
      <c r="G41" s="11" t="s">
        <v>503</v>
      </c>
      <c r="H41" s="11" t="s">
        <v>51</v>
      </c>
      <c r="I41" s="12">
        <v>1</v>
      </c>
      <c r="J41" s="12">
        <v>180</v>
      </c>
      <c r="K41" s="12">
        <v>64.23</v>
      </c>
      <c r="L41" s="12">
        <v>11561.4</v>
      </c>
      <c r="M41" s="12">
        <v>-443.96</v>
      </c>
      <c r="N41" s="12">
        <v>0</v>
      </c>
      <c r="O41" s="12">
        <v>1445.2674020000002</v>
      </c>
      <c r="P41" s="12">
        <v>12562.707402</v>
      </c>
    </row>
    <row r="42" spans="1:16" ht="14.5" x14ac:dyDescent="0.25">
      <c r="A42" s="10">
        <v>45753</v>
      </c>
      <c r="B42" s="2" t="str">
        <f t="shared" si="2"/>
        <v>Apr-2025</v>
      </c>
      <c r="C42" s="2" t="str">
        <f t="shared" si="3"/>
        <v>Q1</v>
      </c>
      <c r="D42" s="2" t="s">
        <v>28</v>
      </c>
      <c r="E42" s="11" t="s">
        <v>74</v>
      </c>
      <c r="F42" s="11" t="s">
        <v>75</v>
      </c>
      <c r="G42" s="11" t="s">
        <v>504</v>
      </c>
      <c r="H42" s="11" t="s">
        <v>66</v>
      </c>
      <c r="I42" s="12">
        <v>1</v>
      </c>
      <c r="J42" s="12">
        <v>100</v>
      </c>
      <c r="K42" s="12">
        <v>108.17</v>
      </c>
      <c r="L42" s="12">
        <v>10817</v>
      </c>
      <c r="M42" s="12">
        <v>-415.37</v>
      </c>
      <c r="N42" s="12">
        <v>0</v>
      </c>
      <c r="O42" s="12">
        <v>1352.2120889999999</v>
      </c>
      <c r="P42" s="12">
        <v>11753.842089</v>
      </c>
    </row>
    <row r="43" spans="1:16" ht="14.5" x14ac:dyDescent="0.25">
      <c r="A43" s="10">
        <v>45753</v>
      </c>
      <c r="B43" s="2" t="str">
        <f t="shared" si="2"/>
        <v>Apr-2025</v>
      </c>
      <c r="C43" s="2" t="str">
        <f t="shared" si="3"/>
        <v>Q1</v>
      </c>
      <c r="D43" s="2" t="s">
        <v>28</v>
      </c>
      <c r="E43" s="11" t="s">
        <v>74</v>
      </c>
      <c r="F43" s="11" t="s">
        <v>75</v>
      </c>
      <c r="G43" s="11" t="s">
        <v>503</v>
      </c>
      <c r="H43" s="11" t="s">
        <v>52</v>
      </c>
      <c r="I43" s="12">
        <v>1</v>
      </c>
      <c r="J43" s="12">
        <v>180</v>
      </c>
      <c r="K43" s="12">
        <v>70.989999999999995</v>
      </c>
      <c r="L43" s="12">
        <v>12778.2</v>
      </c>
      <c r="M43" s="12">
        <v>-490.68</v>
      </c>
      <c r="N43" s="12">
        <v>0</v>
      </c>
      <c r="O43" s="12">
        <v>1597.377823</v>
      </c>
      <c r="P43" s="12">
        <v>13884.897822999999</v>
      </c>
    </row>
    <row r="44" spans="1:16" ht="14.5" x14ac:dyDescent="0.25">
      <c r="A44" s="10">
        <v>45753</v>
      </c>
      <c r="B44" s="2" t="str">
        <f t="shared" si="2"/>
        <v>Apr-2025</v>
      </c>
      <c r="C44" s="2" t="str">
        <f t="shared" si="3"/>
        <v>Q1</v>
      </c>
      <c r="D44" s="2" t="s">
        <v>28</v>
      </c>
      <c r="E44" s="11" t="s">
        <v>74</v>
      </c>
      <c r="F44" s="11" t="s">
        <v>75</v>
      </c>
      <c r="G44" s="11" t="s">
        <v>504</v>
      </c>
      <c r="H44" s="11" t="s">
        <v>68</v>
      </c>
      <c r="I44" s="12">
        <v>1</v>
      </c>
      <c r="J44" s="12">
        <v>40</v>
      </c>
      <c r="K44" s="12">
        <v>260.27999999999997</v>
      </c>
      <c r="L44" s="12">
        <v>10411.200000000001</v>
      </c>
      <c r="M44" s="12">
        <v>-399.79</v>
      </c>
      <c r="N44" s="12">
        <v>0</v>
      </c>
      <c r="O44" s="12">
        <v>1301.4834820000001</v>
      </c>
      <c r="P44" s="12">
        <v>11312.893481999999</v>
      </c>
    </row>
    <row r="45" spans="1:16" ht="14.5" x14ac:dyDescent="0.25">
      <c r="A45" s="10">
        <v>45753</v>
      </c>
      <c r="B45" s="2" t="str">
        <f t="shared" si="2"/>
        <v>Apr-2025</v>
      </c>
      <c r="C45" s="2" t="str">
        <f t="shared" si="3"/>
        <v>Q1</v>
      </c>
      <c r="D45" s="2" t="s">
        <v>28</v>
      </c>
      <c r="E45" s="11" t="s">
        <v>74</v>
      </c>
      <c r="F45" s="11" t="s">
        <v>75</v>
      </c>
      <c r="G45" s="11" t="s">
        <v>505</v>
      </c>
      <c r="H45" s="11" t="s">
        <v>55</v>
      </c>
      <c r="I45" s="12">
        <v>2</v>
      </c>
      <c r="J45" s="12">
        <v>240</v>
      </c>
      <c r="K45" s="12">
        <v>152.11000000000001</v>
      </c>
      <c r="L45" s="12">
        <v>36506.400000000001</v>
      </c>
      <c r="M45" s="12">
        <v>-1401.85</v>
      </c>
      <c r="N45" s="12">
        <v>0</v>
      </c>
      <c r="O45" s="12">
        <v>4563.592138</v>
      </c>
      <c r="P45" s="12">
        <v>39668.142138000003</v>
      </c>
    </row>
    <row r="46" spans="1:16" ht="14.5" x14ac:dyDescent="0.25">
      <c r="A46" s="10">
        <v>45753</v>
      </c>
      <c r="B46" s="2" t="str">
        <f t="shared" si="2"/>
        <v>Apr-2025</v>
      </c>
      <c r="C46" s="2" t="str">
        <f t="shared" si="3"/>
        <v>Q1</v>
      </c>
      <c r="D46" s="2" t="s">
        <v>28</v>
      </c>
      <c r="E46" s="11" t="s">
        <v>74</v>
      </c>
      <c r="F46" s="11" t="s">
        <v>75</v>
      </c>
      <c r="G46" s="11" t="s">
        <v>503</v>
      </c>
      <c r="H46" s="11" t="s">
        <v>59</v>
      </c>
      <c r="I46" s="12">
        <v>1</v>
      </c>
      <c r="J46" s="12">
        <v>180</v>
      </c>
      <c r="K46" s="12">
        <v>64.23</v>
      </c>
      <c r="L46" s="12">
        <v>11561.4</v>
      </c>
      <c r="M46" s="12">
        <v>-443.96</v>
      </c>
      <c r="N46" s="12">
        <v>0</v>
      </c>
      <c r="O46" s="12">
        <v>1445.2674020000002</v>
      </c>
      <c r="P46" s="12">
        <v>12562.707402</v>
      </c>
    </row>
    <row r="47" spans="1:16" ht="14.5" x14ac:dyDescent="0.25">
      <c r="A47" s="10">
        <v>45753</v>
      </c>
      <c r="B47" s="2" t="str">
        <f t="shared" si="2"/>
        <v>Apr-2025</v>
      </c>
      <c r="C47" s="2" t="str">
        <f t="shared" si="3"/>
        <v>Q1</v>
      </c>
      <c r="D47" s="2" t="s">
        <v>28</v>
      </c>
      <c r="E47" s="11" t="s">
        <v>74</v>
      </c>
      <c r="F47" s="11" t="s">
        <v>75</v>
      </c>
      <c r="G47" s="11" t="s">
        <v>505</v>
      </c>
      <c r="H47" s="11" t="s">
        <v>56</v>
      </c>
      <c r="I47" s="12">
        <v>1</v>
      </c>
      <c r="J47" s="12">
        <v>120</v>
      </c>
      <c r="K47" s="12">
        <v>57.46</v>
      </c>
      <c r="L47" s="12">
        <v>6895.2</v>
      </c>
      <c r="M47" s="12">
        <v>-264.77999999999997</v>
      </c>
      <c r="N47" s="12">
        <v>0</v>
      </c>
      <c r="O47" s="12">
        <v>861.95471999999995</v>
      </c>
      <c r="P47" s="12">
        <v>7492.3747199999998</v>
      </c>
    </row>
    <row r="48" spans="1:16" ht="14.5" x14ac:dyDescent="0.25">
      <c r="A48" s="10">
        <v>45753</v>
      </c>
      <c r="B48" s="2" t="str">
        <f t="shared" si="2"/>
        <v>Apr-2025</v>
      </c>
      <c r="C48" s="2" t="str">
        <f t="shared" si="3"/>
        <v>Q1</v>
      </c>
      <c r="D48" s="2" t="s">
        <v>28</v>
      </c>
      <c r="E48" s="11" t="s">
        <v>74</v>
      </c>
      <c r="F48" s="11" t="s">
        <v>75</v>
      </c>
      <c r="G48" s="11" t="s">
        <v>504</v>
      </c>
      <c r="H48" s="11" t="s">
        <v>69</v>
      </c>
      <c r="I48" s="12">
        <v>1</v>
      </c>
      <c r="J48" s="12">
        <v>100</v>
      </c>
      <c r="K48" s="12">
        <v>189.3</v>
      </c>
      <c r="L48" s="12">
        <v>18930</v>
      </c>
      <c r="M48" s="12">
        <v>-726.91000000000008</v>
      </c>
      <c r="N48" s="12">
        <v>0</v>
      </c>
      <c r="O48" s="12">
        <v>2366.4020310000001</v>
      </c>
      <c r="P48" s="12">
        <v>20569.492031000002</v>
      </c>
    </row>
    <row r="49" spans="1:16" ht="14.5" x14ac:dyDescent="0.25">
      <c r="A49" s="10">
        <v>45753</v>
      </c>
      <c r="B49" s="2" t="str">
        <f t="shared" si="2"/>
        <v>Apr-2025</v>
      </c>
      <c r="C49" s="2" t="str">
        <f t="shared" si="3"/>
        <v>Q1</v>
      </c>
      <c r="D49" s="2" t="s">
        <v>28</v>
      </c>
      <c r="E49" s="11" t="s">
        <v>74</v>
      </c>
      <c r="F49" s="11" t="s">
        <v>75</v>
      </c>
      <c r="G49" s="11" t="s">
        <v>505</v>
      </c>
      <c r="H49" s="11" t="s">
        <v>40</v>
      </c>
      <c r="I49" s="12">
        <v>2</v>
      </c>
      <c r="J49" s="12">
        <v>360</v>
      </c>
      <c r="K49" s="12">
        <v>94.65</v>
      </c>
      <c r="L49" s="12">
        <v>34074</v>
      </c>
      <c r="M49" s="12">
        <v>-1308.44</v>
      </c>
      <c r="N49" s="12">
        <v>0</v>
      </c>
      <c r="O49" s="12">
        <v>4259.5233950000002</v>
      </c>
      <c r="P49" s="12">
        <v>37025.083395000001</v>
      </c>
    </row>
    <row r="50" spans="1:16" ht="14.5" x14ac:dyDescent="0.25">
      <c r="A50" s="10">
        <v>45753</v>
      </c>
      <c r="B50" s="2" t="str">
        <f t="shared" si="2"/>
        <v>Apr-2025</v>
      </c>
      <c r="C50" s="2" t="str">
        <f t="shared" si="3"/>
        <v>Q1</v>
      </c>
      <c r="D50" s="2" t="s">
        <v>28</v>
      </c>
      <c r="E50" s="11" t="s">
        <v>76</v>
      </c>
      <c r="F50" s="11" t="s">
        <v>75</v>
      </c>
      <c r="G50" s="11" t="s">
        <v>504</v>
      </c>
      <c r="H50" s="11" t="s">
        <v>61</v>
      </c>
      <c r="I50" s="12">
        <v>1</v>
      </c>
      <c r="J50" s="12">
        <v>40</v>
      </c>
      <c r="K50" s="12">
        <v>297.52</v>
      </c>
      <c r="L50" s="12">
        <v>11900.8</v>
      </c>
      <c r="M50" s="12">
        <v>-456.99</v>
      </c>
      <c r="N50" s="12">
        <v>0</v>
      </c>
      <c r="O50" s="12">
        <v>0</v>
      </c>
      <c r="P50" s="12">
        <v>11443.81</v>
      </c>
    </row>
    <row r="51" spans="1:16" ht="14.5" x14ac:dyDescent="0.25">
      <c r="A51" s="10">
        <v>45753</v>
      </c>
      <c r="B51" s="2" t="str">
        <f t="shared" si="2"/>
        <v>Apr-2025</v>
      </c>
      <c r="C51" s="2" t="str">
        <f t="shared" si="3"/>
        <v>Q1</v>
      </c>
      <c r="D51" s="2" t="s">
        <v>28</v>
      </c>
      <c r="E51" s="11" t="s">
        <v>76</v>
      </c>
      <c r="F51" s="11" t="s">
        <v>75</v>
      </c>
      <c r="G51" s="11" t="s">
        <v>504</v>
      </c>
      <c r="H51" s="11" t="s">
        <v>53</v>
      </c>
      <c r="I51" s="12">
        <v>1</v>
      </c>
      <c r="J51" s="12">
        <v>100</v>
      </c>
      <c r="K51" s="12">
        <v>124.88</v>
      </c>
      <c r="L51" s="12">
        <v>12488</v>
      </c>
      <c r="M51" s="12">
        <v>-479.54</v>
      </c>
      <c r="N51" s="12">
        <v>0</v>
      </c>
      <c r="O51" s="12">
        <v>0</v>
      </c>
      <c r="P51" s="12">
        <v>12008.46</v>
      </c>
    </row>
    <row r="52" spans="1:16" ht="14.5" x14ac:dyDescent="0.25">
      <c r="A52" s="10">
        <v>45753</v>
      </c>
      <c r="B52" s="2" t="str">
        <f t="shared" si="2"/>
        <v>Apr-2025</v>
      </c>
      <c r="C52" s="2" t="str">
        <f t="shared" si="3"/>
        <v>Q1</v>
      </c>
      <c r="D52" s="2" t="s">
        <v>28</v>
      </c>
      <c r="E52" s="11" t="s">
        <v>77</v>
      </c>
      <c r="F52" s="11" t="s">
        <v>15</v>
      </c>
      <c r="G52" s="11" t="s">
        <v>504</v>
      </c>
      <c r="H52" s="11" t="s">
        <v>61</v>
      </c>
      <c r="I52" s="12">
        <v>1</v>
      </c>
      <c r="J52" s="12">
        <v>40</v>
      </c>
      <c r="K52" s="12">
        <v>297.52</v>
      </c>
      <c r="L52" s="12">
        <v>11900.8</v>
      </c>
      <c r="M52" s="12">
        <v>-456.99</v>
      </c>
      <c r="N52" s="12">
        <v>0</v>
      </c>
      <c r="O52" s="12">
        <v>0</v>
      </c>
      <c r="P52" s="12">
        <v>11443.81</v>
      </c>
    </row>
    <row r="53" spans="1:16" ht="14.5" x14ac:dyDescent="0.25">
      <c r="A53" s="10">
        <v>45753</v>
      </c>
      <c r="B53" s="2" t="str">
        <f t="shared" si="2"/>
        <v>Apr-2025</v>
      </c>
      <c r="C53" s="2" t="str">
        <f t="shared" si="3"/>
        <v>Q1</v>
      </c>
      <c r="D53" s="2" t="s">
        <v>28</v>
      </c>
      <c r="E53" s="11" t="s">
        <v>77</v>
      </c>
      <c r="F53" s="11" t="s">
        <v>15</v>
      </c>
      <c r="G53" s="11" t="s">
        <v>504</v>
      </c>
      <c r="H53" s="11" t="s">
        <v>53</v>
      </c>
      <c r="I53" s="12">
        <v>1</v>
      </c>
      <c r="J53" s="12">
        <v>100</v>
      </c>
      <c r="K53" s="12">
        <v>124.88</v>
      </c>
      <c r="L53" s="12">
        <v>12488</v>
      </c>
      <c r="M53" s="12">
        <v>-479.54</v>
      </c>
      <c r="N53" s="12">
        <v>0</v>
      </c>
      <c r="O53" s="12">
        <v>0</v>
      </c>
      <c r="P53" s="12">
        <v>12008.46</v>
      </c>
    </row>
    <row r="54" spans="1:16" ht="14.5" x14ac:dyDescent="0.25">
      <c r="A54" s="10">
        <v>45753</v>
      </c>
      <c r="B54" s="2" t="str">
        <f t="shared" si="2"/>
        <v>Apr-2025</v>
      </c>
      <c r="C54" s="2" t="str">
        <f t="shared" si="3"/>
        <v>Q1</v>
      </c>
      <c r="D54" s="2" t="s">
        <v>28</v>
      </c>
      <c r="E54" s="11" t="s">
        <v>78</v>
      </c>
      <c r="F54" s="11" t="s">
        <v>15</v>
      </c>
      <c r="G54" s="11" t="s">
        <v>503</v>
      </c>
      <c r="H54" s="11" t="s">
        <v>59</v>
      </c>
      <c r="I54" s="12">
        <v>1</v>
      </c>
      <c r="J54" s="12">
        <v>180</v>
      </c>
      <c r="K54" s="12">
        <v>64.23</v>
      </c>
      <c r="L54" s="12">
        <v>11561.4</v>
      </c>
      <c r="M54" s="12">
        <v>-443.96</v>
      </c>
      <c r="N54" s="12">
        <v>0</v>
      </c>
      <c r="O54" s="12">
        <v>1445.2674020000002</v>
      </c>
      <c r="P54" s="12">
        <v>12562.707402</v>
      </c>
    </row>
    <row r="55" spans="1:16" ht="14.5" x14ac:dyDescent="0.25">
      <c r="A55" s="10">
        <v>45753</v>
      </c>
      <c r="B55" s="2" t="str">
        <f t="shared" si="2"/>
        <v>Apr-2025</v>
      </c>
      <c r="C55" s="2" t="str">
        <f t="shared" si="3"/>
        <v>Q1</v>
      </c>
      <c r="D55" s="2" t="s">
        <v>28</v>
      </c>
      <c r="E55" s="11" t="s">
        <v>78</v>
      </c>
      <c r="F55" s="11" t="s">
        <v>15</v>
      </c>
      <c r="G55" s="11" t="s">
        <v>504</v>
      </c>
      <c r="H55" s="11" t="s">
        <v>68</v>
      </c>
      <c r="I55" s="12">
        <v>1</v>
      </c>
      <c r="J55" s="12">
        <v>40</v>
      </c>
      <c r="K55" s="12">
        <v>260.27999999999997</v>
      </c>
      <c r="L55" s="12">
        <v>10411.200000000001</v>
      </c>
      <c r="M55" s="12">
        <v>-399.79</v>
      </c>
      <c r="N55" s="12">
        <v>0</v>
      </c>
      <c r="O55" s="12">
        <v>1301.4834820000001</v>
      </c>
      <c r="P55" s="12">
        <v>11312.893481999999</v>
      </c>
    </row>
    <row r="56" spans="1:16" ht="14.5" x14ac:dyDescent="0.25">
      <c r="A56" s="10">
        <v>45753</v>
      </c>
      <c r="B56" s="2" t="str">
        <f t="shared" si="2"/>
        <v>Apr-2025</v>
      </c>
      <c r="C56" s="2" t="str">
        <f t="shared" si="3"/>
        <v>Q1</v>
      </c>
      <c r="D56" s="2" t="s">
        <v>28</v>
      </c>
      <c r="E56" s="11" t="s">
        <v>78</v>
      </c>
      <c r="F56" s="11" t="s">
        <v>15</v>
      </c>
      <c r="G56" s="11" t="s">
        <v>503</v>
      </c>
      <c r="H56" s="11" t="s">
        <v>41</v>
      </c>
      <c r="I56" s="12">
        <v>1</v>
      </c>
      <c r="J56" s="12">
        <v>180</v>
      </c>
      <c r="K56" s="12">
        <v>60.84</v>
      </c>
      <c r="L56" s="12">
        <v>10951.199999999999</v>
      </c>
      <c r="M56" s="12">
        <v>-420.53</v>
      </c>
      <c r="N56" s="12">
        <v>0</v>
      </c>
      <c r="O56" s="12">
        <v>1368.9872909999999</v>
      </c>
      <c r="P56" s="12">
        <v>11899.657291</v>
      </c>
    </row>
    <row r="57" spans="1:16" ht="14.5" x14ac:dyDescent="0.25">
      <c r="A57" s="10">
        <v>45753</v>
      </c>
      <c r="B57" s="2" t="str">
        <f t="shared" si="2"/>
        <v>Apr-2025</v>
      </c>
      <c r="C57" s="2" t="str">
        <f t="shared" si="3"/>
        <v>Q1</v>
      </c>
      <c r="D57" s="2" t="s">
        <v>28</v>
      </c>
      <c r="E57" s="11" t="s">
        <v>78</v>
      </c>
      <c r="F57" s="11" t="s">
        <v>15</v>
      </c>
      <c r="G57" s="11" t="s">
        <v>504</v>
      </c>
      <c r="H57" s="11" t="s">
        <v>67</v>
      </c>
      <c r="I57" s="12">
        <v>1</v>
      </c>
      <c r="J57" s="12">
        <v>40</v>
      </c>
      <c r="K57" s="12">
        <v>459.72</v>
      </c>
      <c r="L57" s="12">
        <v>18388.8</v>
      </c>
      <c r="M57" s="12">
        <v>-706.12999999999988</v>
      </c>
      <c r="N57" s="12">
        <v>0</v>
      </c>
      <c r="O57" s="12">
        <v>2298.747421</v>
      </c>
      <c r="P57" s="12">
        <v>19981.417420999998</v>
      </c>
    </row>
    <row r="58" spans="1:16" ht="14.5" x14ac:dyDescent="0.25">
      <c r="A58" s="10">
        <v>45753</v>
      </c>
      <c r="B58" s="2" t="str">
        <f t="shared" si="2"/>
        <v>Apr-2025</v>
      </c>
      <c r="C58" s="2" t="str">
        <f t="shared" si="3"/>
        <v>Q1</v>
      </c>
      <c r="D58" s="2" t="s">
        <v>28</v>
      </c>
      <c r="E58" s="11" t="s">
        <v>78</v>
      </c>
      <c r="F58" s="11" t="s">
        <v>15</v>
      </c>
      <c r="G58" s="11" t="s">
        <v>505</v>
      </c>
      <c r="H58" s="11" t="s">
        <v>55</v>
      </c>
      <c r="I58" s="12">
        <v>2</v>
      </c>
      <c r="J58" s="12">
        <v>240</v>
      </c>
      <c r="K58" s="12">
        <v>152.11000000000001</v>
      </c>
      <c r="L58" s="12">
        <v>36506.400000000001</v>
      </c>
      <c r="M58" s="12">
        <v>-1401.85</v>
      </c>
      <c r="N58" s="12">
        <v>0</v>
      </c>
      <c r="O58" s="12">
        <v>4563.592138</v>
      </c>
      <c r="P58" s="12">
        <v>39668.142138000003</v>
      </c>
    </row>
    <row r="59" spans="1:16" ht="14.5" x14ac:dyDescent="0.25">
      <c r="A59" s="10">
        <v>45753</v>
      </c>
      <c r="B59" s="2" t="str">
        <f t="shared" si="2"/>
        <v>Apr-2025</v>
      </c>
      <c r="C59" s="2" t="str">
        <f t="shared" si="3"/>
        <v>Q1</v>
      </c>
      <c r="D59" s="2" t="s">
        <v>28</v>
      </c>
      <c r="E59" s="11" t="s">
        <v>78</v>
      </c>
      <c r="F59" s="11" t="s">
        <v>15</v>
      </c>
      <c r="G59" s="11" t="s">
        <v>505</v>
      </c>
      <c r="H59" s="11" t="s">
        <v>40</v>
      </c>
      <c r="I59" s="12">
        <v>2</v>
      </c>
      <c r="J59" s="12">
        <v>360</v>
      </c>
      <c r="K59" s="12">
        <v>94.65</v>
      </c>
      <c r="L59" s="12">
        <v>34074</v>
      </c>
      <c r="M59" s="12">
        <v>-1308.44</v>
      </c>
      <c r="N59" s="12">
        <v>0</v>
      </c>
      <c r="O59" s="12">
        <v>4259.5233950000002</v>
      </c>
      <c r="P59" s="12">
        <v>37025.083395000001</v>
      </c>
    </row>
    <row r="60" spans="1:16" ht="14.5" x14ac:dyDescent="0.25">
      <c r="A60" s="10">
        <v>45753</v>
      </c>
      <c r="B60" s="2" t="str">
        <f t="shared" si="2"/>
        <v>Apr-2025</v>
      </c>
      <c r="C60" s="2" t="str">
        <f t="shared" si="3"/>
        <v>Q1</v>
      </c>
      <c r="D60" s="2" t="s">
        <v>28</v>
      </c>
      <c r="E60" s="11" t="s">
        <v>78</v>
      </c>
      <c r="F60" s="11" t="s">
        <v>15</v>
      </c>
      <c r="G60" s="11" t="s">
        <v>503</v>
      </c>
      <c r="H60" s="11" t="s">
        <v>52</v>
      </c>
      <c r="I60" s="12">
        <v>1</v>
      </c>
      <c r="J60" s="12">
        <v>180</v>
      </c>
      <c r="K60" s="12">
        <v>70.989999999999995</v>
      </c>
      <c r="L60" s="12">
        <v>12778.2</v>
      </c>
      <c r="M60" s="12">
        <v>-490.68</v>
      </c>
      <c r="N60" s="12">
        <v>0</v>
      </c>
      <c r="O60" s="12">
        <v>1597.377823</v>
      </c>
      <c r="P60" s="12">
        <v>13884.897822999999</v>
      </c>
    </row>
    <row r="61" spans="1:16" ht="14.5" x14ac:dyDescent="0.25">
      <c r="A61" s="10">
        <v>45753</v>
      </c>
      <c r="B61" s="2" t="str">
        <f t="shared" si="2"/>
        <v>Apr-2025</v>
      </c>
      <c r="C61" s="2" t="str">
        <f t="shared" si="3"/>
        <v>Q1</v>
      </c>
      <c r="D61" s="2" t="s">
        <v>28</v>
      </c>
      <c r="E61" s="11" t="s">
        <v>78</v>
      </c>
      <c r="F61" s="11" t="s">
        <v>15</v>
      </c>
      <c r="G61" s="11" t="s">
        <v>505</v>
      </c>
      <c r="H61" s="11" t="s">
        <v>56</v>
      </c>
      <c r="I61" s="12">
        <v>1</v>
      </c>
      <c r="J61" s="12">
        <v>120</v>
      </c>
      <c r="K61" s="12">
        <v>57.46</v>
      </c>
      <c r="L61" s="12">
        <v>6895.2</v>
      </c>
      <c r="M61" s="12">
        <v>-264.77999999999997</v>
      </c>
      <c r="N61" s="12">
        <v>0</v>
      </c>
      <c r="O61" s="12">
        <v>861.95471999999995</v>
      </c>
      <c r="P61" s="12">
        <v>7492.3747199999998</v>
      </c>
    </row>
    <row r="62" spans="1:16" ht="14.5" x14ac:dyDescent="0.25">
      <c r="A62" s="10">
        <v>45753</v>
      </c>
      <c r="B62" s="2" t="str">
        <f t="shared" si="2"/>
        <v>Apr-2025</v>
      </c>
      <c r="C62" s="2" t="str">
        <f t="shared" si="3"/>
        <v>Q1</v>
      </c>
      <c r="D62" s="2" t="s">
        <v>28</v>
      </c>
      <c r="E62" s="11" t="s">
        <v>78</v>
      </c>
      <c r="F62" s="11" t="s">
        <v>15</v>
      </c>
      <c r="G62" s="11" t="s">
        <v>504</v>
      </c>
      <c r="H62" s="11" t="s">
        <v>69</v>
      </c>
      <c r="I62" s="12">
        <v>1</v>
      </c>
      <c r="J62" s="12">
        <v>100</v>
      </c>
      <c r="K62" s="12">
        <v>189.3</v>
      </c>
      <c r="L62" s="12">
        <v>18930</v>
      </c>
      <c r="M62" s="12">
        <v>-726.91000000000008</v>
      </c>
      <c r="N62" s="12">
        <v>0</v>
      </c>
      <c r="O62" s="12">
        <v>2366.4020310000001</v>
      </c>
      <c r="P62" s="12">
        <v>20569.492031000002</v>
      </c>
    </row>
    <row r="63" spans="1:16" ht="14.5" x14ac:dyDescent="0.25">
      <c r="A63" s="10">
        <v>45753</v>
      </c>
      <c r="B63" s="2" t="str">
        <f t="shared" si="2"/>
        <v>Apr-2025</v>
      </c>
      <c r="C63" s="2" t="str">
        <f t="shared" si="3"/>
        <v>Q1</v>
      </c>
      <c r="D63" s="2" t="s">
        <v>28</v>
      </c>
      <c r="E63" s="11" t="s">
        <v>78</v>
      </c>
      <c r="F63" s="11" t="s">
        <v>15</v>
      </c>
      <c r="G63" s="11" t="s">
        <v>503</v>
      </c>
      <c r="H63" s="11" t="s">
        <v>45</v>
      </c>
      <c r="I63" s="12">
        <v>2</v>
      </c>
      <c r="J63" s="12">
        <v>360</v>
      </c>
      <c r="K63" s="12">
        <v>64.23</v>
      </c>
      <c r="L63" s="12">
        <v>23122.799999999999</v>
      </c>
      <c r="M63" s="12">
        <v>-887.92</v>
      </c>
      <c r="N63" s="12">
        <v>0</v>
      </c>
      <c r="O63" s="12">
        <v>2890.5348040000003</v>
      </c>
      <c r="P63" s="12">
        <v>25125.414804</v>
      </c>
    </row>
    <row r="64" spans="1:16" ht="14.5" x14ac:dyDescent="0.25">
      <c r="A64" s="10">
        <v>45753</v>
      </c>
      <c r="B64" s="2" t="str">
        <f t="shared" si="2"/>
        <v>Apr-2025</v>
      </c>
      <c r="C64" s="2" t="str">
        <f t="shared" si="3"/>
        <v>Q1</v>
      </c>
      <c r="D64" s="2" t="s">
        <v>28</v>
      </c>
      <c r="E64" s="11" t="s">
        <v>78</v>
      </c>
      <c r="F64" s="11" t="s">
        <v>15</v>
      </c>
      <c r="G64" s="11" t="s">
        <v>503</v>
      </c>
      <c r="H64" s="11" t="s">
        <v>51</v>
      </c>
      <c r="I64" s="12">
        <v>1</v>
      </c>
      <c r="J64" s="12">
        <v>180</v>
      </c>
      <c r="K64" s="12">
        <v>64.23</v>
      </c>
      <c r="L64" s="12">
        <v>11561.4</v>
      </c>
      <c r="M64" s="12">
        <v>-443.96</v>
      </c>
      <c r="N64" s="12">
        <v>0</v>
      </c>
      <c r="O64" s="12">
        <v>1445.2674020000002</v>
      </c>
      <c r="P64" s="12">
        <v>12562.707402</v>
      </c>
    </row>
    <row r="65" spans="1:16" ht="14.5" x14ac:dyDescent="0.25">
      <c r="A65" s="10">
        <v>45753</v>
      </c>
      <c r="B65" s="2" t="str">
        <f t="shared" si="2"/>
        <v>Apr-2025</v>
      </c>
      <c r="C65" s="2" t="str">
        <f t="shared" si="3"/>
        <v>Q1</v>
      </c>
      <c r="D65" s="2" t="s">
        <v>28</v>
      </c>
      <c r="E65" s="11" t="s">
        <v>78</v>
      </c>
      <c r="F65" s="11" t="s">
        <v>15</v>
      </c>
      <c r="G65" s="11" t="s">
        <v>504</v>
      </c>
      <c r="H65" s="11" t="s">
        <v>66</v>
      </c>
      <c r="I65" s="12">
        <v>1</v>
      </c>
      <c r="J65" s="12">
        <v>100</v>
      </c>
      <c r="K65" s="12">
        <v>108.17</v>
      </c>
      <c r="L65" s="12">
        <v>10817</v>
      </c>
      <c r="M65" s="12">
        <v>-415.37</v>
      </c>
      <c r="N65" s="12">
        <v>0</v>
      </c>
      <c r="O65" s="12">
        <v>1352.2120889999999</v>
      </c>
      <c r="P65" s="12">
        <v>11753.842089</v>
      </c>
    </row>
    <row r="66" spans="1:16" ht="14.5" x14ac:dyDescent="0.25">
      <c r="A66" s="10">
        <v>45753</v>
      </c>
      <c r="B66" s="2" t="str">
        <f t="shared" si="2"/>
        <v>Apr-2025</v>
      </c>
      <c r="C66" s="2" t="str">
        <f t="shared" si="3"/>
        <v>Q1</v>
      </c>
      <c r="D66" s="2" t="s">
        <v>28</v>
      </c>
      <c r="E66" s="11" t="s">
        <v>79</v>
      </c>
      <c r="F66" s="11" t="s">
        <v>65</v>
      </c>
      <c r="G66" s="11" t="s">
        <v>504</v>
      </c>
      <c r="H66" s="11" t="s">
        <v>53</v>
      </c>
      <c r="I66" s="12">
        <v>1</v>
      </c>
      <c r="J66" s="12">
        <v>100</v>
      </c>
      <c r="K66" s="12">
        <v>124.88</v>
      </c>
      <c r="L66" s="12">
        <v>12488</v>
      </c>
      <c r="M66" s="12">
        <v>-479.54</v>
      </c>
      <c r="N66" s="12">
        <v>0</v>
      </c>
      <c r="O66" s="12">
        <v>0</v>
      </c>
      <c r="P66" s="12">
        <v>12008.46</v>
      </c>
    </row>
    <row r="67" spans="1:16" ht="14.5" x14ac:dyDescent="0.25">
      <c r="A67" s="10">
        <v>45753</v>
      </c>
      <c r="B67" s="2" t="str">
        <f t="shared" si="2"/>
        <v>Apr-2025</v>
      </c>
      <c r="C67" s="2" t="str">
        <f t="shared" si="3"/>
        <v>Q1</v>
      </c>
      <c r="D67" s="2" t="s">
        <v>28</v>
      </c>
      <c r="E67" s="11" t="s">
        <v>79</v>
      </c>
      <c r="F67" s="11" t="s">
        <v>65</v>
      </c>
      <c r="G67" s="11" t="s">
        <v>504</v>
      </c>
      <c r="H67" s="11" t="s">
        <v>61</v>
      </c>
      <c r="I67" s="12">
        <v>1</v>
      </c>
      <c r="J67" s="12">
        <v>40</v>
      </c>
      <c r="K67" s="12">
        <v>297.52</v>
      </c>
      <c r="L67" s="12">
        <v>11900.8</v>
      </c>
      <c r="M67" s="12">
        <v>-456.99</v>
      </c>
      <c r="N67" s="12">
        <v>0</v>
      </c>
      <c r="O67" s="12">
        <v>0</v>
      </c>
      <c r="P67" s="12">
        <v>11443.81</v>
      </c>
    </row>
    <row r="68" spans="1:16" ht="14.5" x14ac:dyDescent="0.25">
      <c r="A68" s="10">
        <v>45753</v>
      </c>
      <c r="B68" s="2" t="str">
        <f t="shared" si="2"/>
        <v>Apr-2025</v>
      </c>
      <c r="C68" s="2" t="str">
        <f t="shared" si="3"/>
        <v>Q1</v>
      </c>
      <c r="D68" s="2" t="s">
        <v>28</v>
      </c>
      <c r="E68" s="11" t="s">
        <v>80</v>
      </c>
      <c r="F68" s="11" t="s">
        <v>71</v>
      </c>
      <c r="G68" s="11" t="s">
        <v>504</v>
      </c>
      <c r="H68" s="11" t="s">
        <v>61</v>
      </c>
      <c r="I68" s="12">
        <v>1</v>
      </c>
      <c r="J68" s="12">
        <v>40</v>
      </c>
      <c r="K68" s="12">
        <v>297.52</v>
      </c>
      <c r="L68" s="12">
        <v>11900.8</v>
      </c>
      <c r="M68" s="12">
        <v>-456.99</v>
      </c>
      <c r="N68" s="12">
        <v>0</v>
      </c>
      <c r="O68" s="12">
        <v>0</v>
      </c>
      <c r="P68" s="12">
        <v>11443.81</v>
      </c>
    </row>
    <row r="69" spans="1:16" ht="14.5" x14ac:dyDescent="0.25">
      <c r="A69" s="10">
        <v>45753</v>
      </c>
      <c r="B69" s="2" t="str">
        <f t="shared" si="2"/>
        <v>Apr-2025</v>
      </c>
      <c r="C69" s="2" t="str">
        <f t="shared" si="3"/>
        <v>Q1</v>
      </c>
      <c r="D69" s="2" t="s">
        <v>28</v>
      </c>
      <c r="E69" s="11" t="s">
        <v>80</v>
      </c>
      <c r="F69" s="11" t="s">
        <v>71</v>
      </c>
      <c r="G69" s="11" t="s">
        <v>504</v>
      </c>
      <c r="H69" s="11" t="s">
        <v>53</v>
      </c>
      <c r="I69" s="12">
        <v>1</v>
      </c>
      <c r="J69" s="12">
        <v>100</v>
      </c>
      <c r="K69" s="12">
        <v>124.88</v>
      </c>
      <c r="L69" s="12">
        <v>12488</v>
      </c>
      <c r="M69" s="12">
        <v>-479.54</v>
      </c>
      <c r="N69" s="12">
        <v>0</v>
      </c>
      <c r="O69" s="12">
        <v>0</v>
      </c>
      <c r="P69" s="12">
        <v>12008.46</v>
      </c>
    </row>
    <row r="70" spans="1:16" ht="14.5" x14ac:dyDescent="0.25">
      <c r="A70" s="10">
        <v>45753</v>
      </c>
      <c r="B70" s="2" t="str">
        <f t="shared" si="2"/>
        <v>Apr-2025</v>
      </c>
      <c r="C70" s="2" t="str">
        <f t="shared" si="3"/>
        <v>Q1</v>
      </c>
      <c r="D70" s="2" t="s">
        <v>28</v>
      </c>
      <c r="E70" s="11" t="s">
        <v>81</v>
      </c>
      <c r="F70" s="11" t="s">
        <v>73</v>
      </c>
      <c r="G70" s="11" t="s">
        <v>504</v>
      </c>
      <c r="H70" s="11" t="s">
        <v>53</v>
      </c>
      <c r="I70" s="12">
        <v>1</v>
      </c>
      <c r="J70" s="12">
        <v>100</v>
      </c>
      <c r="K70" s="12">
        <v>124.88</v>
      </c>
      <c r="L70" s="12">
        <v>12488</v>
      </c>
      <c r="M70" s="12">
        <v>-479.54</v>
      </c>
      <c r="N70" s="12">
        <v>0</v>
      </c>
      <c r="O70" s="12">
        <v>0</v>
      </c>
      <c r="P70" s="12">
        <v>12008.46</v>
      </c>
    </row>
    <row r="71" spans="1:16" ht="14.5" x14ac:dyDescent="0.25">
      <c r="A71" s="10">
        <v>45753</v>
      </c>
      <c r="B71" s="2" t="str">
        <f t="shared" si="2"/>
        <v>Apr-2025</v>
      </c>
      <c r="C71" s="2" t="str">
        <f t="shared" si="3"/>
        <v>Q1</v>
      </c>
      <c r="D71" s="2" t="s">
        <v>28</v>
      </c>
      <c r="E71" s="11" t="s">
        <v>81</v>
      </c>
      <c r="F71" s="11" t="s">
        <v>73</v>
      </c>
      <c r="G71" s="11" t="s">
        <v>504</v>
      </c>
      <c r="H71" s="11" t="s">
        <v>61</v>
      </c>
      <c r="I71" s="12">
        <v>1</v>
      </c>
      <c r="J71" s="12">
        <v>40</v>
      </c>
      <c r="K71" s="12">
        <v>297.52</v>
      </c>
      <c r="L71" s="12">
        <v>11900.8</v>
      </c>
      <c r="M71" s="12">
        <v>-456.99</v>
      </c>
      <c r="N71" s="12">
        <v>0</v>
      </c>
      <c r="O71" s="12">
        <v>0</v>
      </c>
      <c r="P71" s="12">
        <v>11443.81</v>
      </c>
    </row>
    <row r="72" spans="1:16" ht="14.5" x14ac:dyDescent="0.25">
      <c r="A72" s="10">
        <v>45754</v>
      </c>
      <c r="B72" s="2" t="str">
        <f t="shared" si="2"/>
        <v>Apr-2025</v>
      </c>
      <c r="C72" s="2" t="str">
        <f t="shared" si="3"/>
        <v>Q1</v>
      </c>
      <c r="D72" s="2" t="s">
        <v>28</v>
      </c>
      <c r="E72" s="11" t="s">
        <v>82</v>
      </c>
      <c r="F72" s="11" t="s">
        <v>83</v>
      </c>
      <c r="G72" s="11" t="s">
        <v>505</v>
      </c>
      <c r="H72" s="11" t="s">
        <v>56</v>
      </c>
      <c r="I72" s="12">
        <v>1</v>
      </c>
      <c r="J72" s="12">
        <v>120</v>
      </c>
      <c r="K72" s="12">
        <v>57.46</v>
      </c>
      <c r="L72" s="12">
        <v>6895.2</v>
      </c>
      <c r="M72" s="12">
        <v>-264.77999999999997</v>
      </c>
      <c r="N72" s="12">
        <v>0</v>
      </c>
      <c r="O72" s="12">
        <v>861.95471999999995</v>
      </c>
      <c r="P72" s="12">
        <v>7492.3747199999998</v>
      </c>
    </row>
    <row r="73" spans="1:16" ht="14.5" x14ac:dyDescent="0.25">
      <c r="A73" s="10">
        <v>45754</v>
      </c>
      <c r="B73" s="2" t="str">
        <f t="shared" si="2"/>
        <v>Apr-2025</v>
      </c>
      <c r="C73" s="2" t="str">
        <f t="shared" si="3"/>
        <v>Q1</v>
      </c>
      <c r="D73" s="2" t="s">
        <v>28</v>
      </c>
      <c r="E73" s="11" t="s">
        <v>82</v>
      </c>
      <c r="F73" s="11" t="s">
        <v>83</v>
      </c>
      <c r="G73" s="11" t="s">
        <v>504</v>
      </c>
      <c r="H73" s="11" t="s">
        <v>67</v>
      </c>
      <c r="I73" s="12">
        <v>1</v>
      </c>
      <c r="J73" s="12">
        <v>40</v>
      </c>
      <c r="K73" s="12">
        <v>459.72</v>
      </c>
      <c r="L73" s="12">
        <v>18388.8</v>
      </c>
      <c r="M73" s="12">
        <v>-706.12999999999988</v>
      </c>
      <c r="N73" s="12">
        <v>0</v>
      </c>
      <c r="O73" s="12">
        <v>2298.747421</v>
      </c>
      <c r="P73" s="12">
        <v>19981.417420999998</v>
      </c>
    </row>
    <row r="74" spans="1:16" ht="14.5" x14ac:dyDescent="0.25">
      <c r="A74" s="10">
        <v>45754</v>
      </c>
      <c r="B74" s="2" t="str">
        <f t="shared" si="2"/>
        <v>Apr-2025</v>
      </c>
      <c r="C74" s="2" t="str">
        <f t="shared" si="3"/>
        <v>Q1</v>
      </c>
      <c r="D74" s="2" t="s">
        <v>28</v>
      </c>
      <c r="E74" s="11" t="s">
        <v>82</v>
      </c>
      <c r="F74" s="11" t="s">
        <v>83</v>
      </c>
      <c r="G74" s="11" t="s">
        <v>503</v>
      </c>
      <c r="H74" s="11" t="s">
        <v>41</v>
      </c>
      <c r="I74" s="12">
        <v>1</v>
      </c>
      <c r="J74" s="12">
        <v>180</v>
      </c>
      <c r="K74" s="12">
        <v>60.84</v>
      </c>
      <c r="L74" s="12">
        <v>10951.199999999999</v>
      </c>
      <c r="M74" s="12">
        <v>-420.53</v>
      </c>
      <c r="N74" s="12">
        <v>0</v>
      </c>
      <c r="O74" s="12">
        <v>1368.9872909999999</v>
      </c>
      <c r="P74" s="12">
        <v>11899.657291</v>
      </c>
    </row>
    <row r="75" spans="1:16" ht="14.5" x14ac:dyDescent="0.25">
      <c r="A75" s="10">
        <v>45754</v>
      </c>
      <c r="B75" s="2" t="str">
        <f t="shared" si="2"/>
        <v>Apr-2025</v>
      </c>
      <c r="C75" s="2" t="str">
        <f t="shared" si="3"/>
        <v>Q1</v>
      </c>
      <c r="D75" s="2" t="s">
        <v>28</v>
      </c>
      <c r="E75" s="11" t="s">
        <v>82</v>
      </c>
      <c r="F75" s="11" t="s">
        <v>83</v>
      </c>
      <c r="G75" s="11" t="s">
        <v>503</v>
      </c>
      <c r="H75" s="11" t="s">
        <v>59</v>
      </c>
      <c r="I75" s="12">
        <v>1</v>
      </c>
      <c r="J75" s="12">
        <v>180</v>
      </c>
      <c r="K75" s="12">
        <v>64.23</v>
      </c>
      <c r="L75" s="12">
        <v>11561.4</v>
      </c>
      <c r="M75" s="12">
        <v>-443.96</v>
      </c>
      <c r="N75" s="12">
        <v>0</v>
      </c>
      <c r="O75" s="12">
        <v>1445.2674020000002</v>
      </c>
      <c r="P75" s="12">
        <v>12562.707402</v>
      </c>
    </row>
    <row r="76" spans="1:16" ht="14.5" x14ac:dyDescent="0.25">
      <c r="A76" s="10">
        <v>45754</v>
      </c>
      <c r="B76" s="2" t="str">
        <f t="shared" si="2"/>
        <v>Apr-2025</v>
      </c>
      <c r="C76" s="2" t="str">
        <f t="shared" si="3"/>
        <v>Q1</v>
      </c>
      <c r="D76" s="2" t="s">
        <v>28</v>
      </c>
      <c r="E76" s="11" t="s">
        <v>82</v>
      </c>
      <c r="F76" s="11" t="s">
        <v>83</v>
      </c>
      <c r="G76" s="11" t="s">
        <v>503</v>
      </c>
      <c r="H76" s="11" t="s">
        <v>51</v>
      </c>
      <c r="I76" s="12">
        <v>1</v>
      </c>
      <c r="J76" s="12">
        <v>180</v>
      </c>
      <c r="K76" s="12">
        <v>64.23</v>
      </c>
      <c r="L76" s="12">
        <v>11561.4</v>
      </c>
      <c r="M76" s="12">
        <v>-443.96</v>
      </c>
      <c r="N76" s="12">
        <v>0</v>
      </c>
      <c r="O76" s="12">
        <v>1445.2674020000002</v>
      </c>
      <c r="P76" s="12">
        <v>12562.707402</v>
      </c>
    </row>
    <row r="77" spans="1:16" ht="14.5" x14ac:dyDescent="0.25">
      <c r="A77" s="10">
        <v>45754</v>
      </c>
      <c r="B77" s="2" t="str">
        <f t="shared" si="2"/>
        <v>Apr-2025</v>
      </c>
      <c r="C77" s="2" t="str">
        <f t="shared" si="3"/>
        <v>Q1</v>
      </c>
      <c r="D77" s="2" t="s">
        <v>28</v>
      </c>
      <c r="E77" s="11" t="s">
        <v>82</v>
      </c>
      <c r="F77" s="11" t="s">
        <v>83</v>
      </c>
      <c r="G77" s="11" t="s">
        <v>505</v>
      </c>
      <c r="H77" s="11" t="s">
        <v>55</v>
      </c>
      <c r="I77" s="12">
        <v>2</v>
      </c>
      <c r="J77" s="12">
        <v>240</v>
      </c>
      <c r="K77" s="12">
        <v>152.11000000000001</v>
      </c>
      <c r="L77" s="12">
        <v>36506.400000000001</v>
      </c>
      <c r="M77" s="12">
        <v>-1401.85</v>
      </c>
      <c r="N77" s="12">
        <v>0</v>
      </c>
      <c r="O77" s="12">
        <v>4563.592138</v>
      </c>
      <c r="P77" s="12">
        <v>39668.142138000003</v>
      </c>
    </row>
    <row r="78" spans="1:16" ht="14.5" x14ac:dyDescent="0.25">
      <c r="A78" s="10">
        <v>45754</v>
      </c>
      <c r="B78" s="2" t="str">
        <f t="shared" si="2"/>
        <v>Apr-2025</v>
      </c>
      <c r="C78" s="2" t="str">
        <f t="shared" si="3"/>
        <v>Q1</v>
      </c>
      <c r="D78" s="2" t="s">
        <v>28</v>
      </c>
      <c r="E78" s="11" t="s">
        <v>82</v>
      </c>
      <c r="F78" s="11" t="s">
        <v>83</v>
      </c>
      <c r="G78" s="11" t="s">
        <v>504</v>
      </c>
      <c r="H78" s="11" t="s">
        <v>68</v>
      </c>
      <c r="I78" s="12">
        <v>1</v>
      </c>
      <c r="J78" s="12">
        <v>40</v>
      </c>
      <c r="K78" s="12">
        <v>260.27999999999997</v>
      </c>
      <c r="L78" s="12">
        <v>10411.200000000001</v>
      </c>
      <c r="M78" s="12">
        <v>-399.79</v>
      </c>
      <c r="N78" s="12">
        <v>0</v>
      </c>
      <c r="O78" s="12">
        <v>1301.4834820000001</v>
      </c>
      <c r="P78" s="12">
        <v>11312.893481999999</v>
      </c>
    </row>
    <row r="79" spans="1:16" ht="14.5" x14ac:dyDescent="0.25">
      <c r="A79" s="10">
        <v>45754</v>
      </c>
      <c r="B79" s="2" t="str">
        <f t="shared" si="2"/>
        <v>Apr-2025</v>
      </c>
      <c r="C79" s="2" t="str">
        <f t="shared" si="3"/>
        <v>Q1</v>
      </c>
      <c r="D79" s="2" t="s">
        <v>28</v>
      </c>
      <c r="E79" s="11" t="s">
        <v>82</v>
      </c>
      <c r="F79" s="11" t="s">
        <v>83</v>
      </c>
      <c r="G79" s="11" t="s">
        <v>505</v>
      </c>
      <c r="H79" s="11" t="s">
        <v>40</v>
      </c>
      <c r="I79" s="12">
        <v>2</v>
      </c>
      <c r="J79" s="12">
        <v>360</v>
      </c>
      <c r="K79" s="12">
        <v>94.65</v>
      </c>
      <c r="L79" s="12">
        <v>34074</v>
      </c>
      <c r="M79" s="12">
        <v>-1308.44</v>
      </c>
      <c r="N79" s="12">
        <v>0</v>
      </c>
      <c r="O79" s="12">
        <v>4259.5233950000002</v>
      </c>
      <c r="P79" s="12">
        <v>37025.083395000001</v>
      </c>
    </row>
    <row r="80" spans="1:16" ht="14.5" x14ac:dyDescent="0.25">
      <c r="A80" s="10">
        <v>45754</v>
      </c>
      <c r="B80" s="2" t="str">
        <f t="shared" si="2"/>
        <v>Apr-2025</v>
      </c>
      <c r="C80" s="2" t="str">
        <f t="shared" si="3"/>
        <v>Q1</v>
      </c>
      <c r="D80" s="2" t="s">
        <v>28</v>
      </c>
      <c r="E80" s="11" t="s">
        <v>82</v>
      </c>
      <c r="F80" s="11" t="s">
        <v>83</v>
      </c>
      <c r="G80" s="11" t="s">
        <v>504</v>
      </c>
      <c r="H80" s="11" t="s">
        <v>66</v>
      </c>
      <c r="I80" s="12">
        <v>1</v>
      </c>
      <c r="J80" s="12">
        <v>100</v>
      </c>
      <c r="K80" s="12">
        <v>108.17</v>
      </c>
      <c r="L80" s="12">
        <v>10817</v>
      </c>
      <c r="M80" s="12">
        <v>-415.37</v>
      </c>
      <c r="N80" s="12">
        <v>0</v>
      </c>
      <c r="O80" s="12">
        <v>1352.2120889999999</v>
      </c>
      <c r="P80" s="12">
        <v>11753.842089</v>
      </c>
    </row>
    <row r="81" spans="1:16" ht="14.5" x14ac:dyDescent="0.25">
      <c r="A81" s="10">
        <v>45754</v>
      </c>
      <c r="B81" s="2" t="str">
        <f t="shared" si="2"/>
        <v>Apr-2025</v>
      </c>
      <c r="C81" s="2" t="str">
        <f t="shared" si="3"/>
        <v>Q1</v>
      </c>
      <c r="D81" s="2" t="s">
        <v>28</v>
      </c>
      <c r="E81" s="11" t="s">
        <v>82</v>
      </c>
      <c r="F81" s="11" t="s">
        <v>83</v>
      </c>
      <c r="G81" s="11" t="s">
        <v>503</v>
      </c>
      <c r="H81" s="11" t="s">
        <v>45</v>
      </c>
      <c r="I81" s="12">
        <v>2</v>
      </c>
      <c r="J81" s="12">
        <v>360</v>
      </c>
      <c r="K81" s="12">
        <v>64.23</v>
      </c>
      <c r="L81" s="12">
        <v>23122.799999999999</v>
      </c>
      <c r="M81" s="12">
        <v>-887.92</v>
      </c>
      <c r="N81" s="12">
        <v>0</v>
      </c>
      <c r="O81" s="12">
        <v>2890.5348040000003</v>
      </c>
      <c r="P81" s="12">
        <v>25125.414804</v>
      </c>
    </row>
    <row r="82" spans="1:16" ht="14.5" x14ac:dyDescent="0.25">
      <c r="A82" s="10">
        <v>45754</v>
      </c>
      <c r="B82" s="2" t="str">
        <f t="shared" si="2"/>
        <v>Apr-2025</v>
      </c>
      <c r="C82" s="2" t="str">
        <f t="shared" si="3"/>
        <v>Q1</v>
      </c>
      <c r="D82" s="2" t="s">
        <v>28</v>
      </c>
      <c r="E82" s="11" t="s">
        <v>82</v>
      </c>
      <c r="F82" s="11" t="s">
        <v>83</v>
      </c>
      <c r="G82" s="11" t="s">
        <v>504</v>
      </c>
      <c r="H82" s="11" t="s">
        <v>69</v>
      </c>
      <c r="I82" s="12">
        <v>1</v>
      </c>
      <c r="J82" s="12">
        <v>100</v>
      </c>
      <c r="K82" s="12">
        <v>189.3</v>
      </c>
      <c r="L82" s="12">
        <v>18930</v>
      </c>
      <c r="M82" s="12">
        <v>-726.91000000000008</v>
      </c>
      <c r="N82" s="12">
        <v>0</v>
      </c>
      <c r="O82" s="12">
        <v>2366.4020310000001</v>
      </c>
      <c r="P82" s="12">
        <v>20569.492031000002</v>
      </c>
    </row>
    <row r="83" spans="1:16" ht="14.5" x14ac:dyDescent="0.25">
      <c r="A83" s="10">
        <v>45754</v>
      </c>
      <c r="B83" s="2" t="str">
        <f t="shared" si="2"/>
        <v>Apr-2025</v>
      </c>
      <c r="C83" s="2" t="str">
        <f t="shared" si="3"/>
        <v>Q1</v>
      </c>
      <c r="D83" s="2" t="s">
        <v>28</v>
      </c>
      <c r="E83" s="11" t="s">
        <v>82</v>
      </c>
      <c r="F83" s="11" t="s">
        <v>83</v>
      </c>
      <c r="G83" s="11" t="s">
        <v>503</v>
      </c>
      <c r="H83" s="11" t="s">
        <v>52</v>
      </c>
      <c r="I83" s="12">
        <v>1</v>
      </c>
      <c r="J83" s="12">
        <v>180</v>
      </c>
      <c r="K83" s="12">
        <v>70.989999999999995</v>
      </c>
      <c r="L83" s="12">
        <v>12778.2</v>
      </c>
      <c r="M83" s="12">
        <v>-490.68</v>
      </c>
      <c r="N83" s="12">
        <v>0</v>
      </c>
      <c r="O83" s="12">
        <v>1597.377823</v>
      </c>
      <c r="P83" s="12">
        <v>13884.897822999999</v>
      </c>
    </row>
    <row r="84" spans="1:16" ht="14.5" x14ac:dyDescent="0.25">
      <c r="A84" s="10">
        <v>45754</v>
      </c>
      <c r="B84" s="2" t="str">
        <f t="shared" si="2"/>
        <v>Apr-2025</v>
      </c>
      <c r="C84" s="2" t="str">
        <f t="shared" si="3"/>
        <v>Q1</v>
      </c>
      <c r="D84" s="2" t="s">
        <v>28</v>
      </c>
      <c r="E84" s="11" t="s">
        <v>84</v>
      </c>
      <c r="F84" s="11" t="s">
        <v>83</v>
      </c>
      <c r="G84" s="11" t="s">
        <v>504</v>
      </c>
      <c r="H84" s="11" t="s">
        <v>53</v>
      </c>
      <c r="I84" s="12">
        <v>1</v>
      </c>
      <c r="J84" s="12">
        <v>100</v>
      </c>
      <c r="K84" s="12">
        <v>124.88</v>
      </c>
      <c r="L84" s="12">
        <v>12488</v>
      </c>
      <c r="M84" s="12">
        <v>-479.54</v>
      </c>
      <c r="N84" s="12">
        <v>0</v>
      </c>
      <c r="O84" s="12">
        <v>0</v>
      </c>
      <c r="P84" s="12">
        <v>12008.46</v>
      </c>
    </row>
    <row r="85" spans="1:16" ht="14.5" x14ac:dyDescent="0.25">
      <c r="A85" s="10">
        <v>45754</v>
      </c>
      <c r="B85" s="2" t="str">
        <f t="shared" si="2"/>
        <v>Apr-2025</v>
      </c>
      <c r="C85" s="2" t="str">
        <f t="shared" si="3"/>
        <v>Q1</v>
      </c>
      <c r="D85" s="2" t="s">
        <v>28</v>
      </c>
      <c r="E85" s="11" t="s">
        <v>84</v>
      </c>
      <c r="F85" s="11" t="s">
        <v>83</v>
      </c>
      <c r="G85" s="11" t="s">
        <v>504</v>
      </c>
      <c r="H85" s="11" t="s">
        <v>61</v>
      </c>
      <c r="I85" s="12">
        <v>1</v>
      </c>
      <c r="J85" s="12">
        <v>40</v>
      </c>
      <c r="K85" s="12">
        <v>297.52</v>
      </c>
      <c r="L85" s="12">
        <v>11900.8</v>
      </c>
      <c r="M85" s="12">
        <v>-456.99</v>
      </c>
      <c r="N85" s="12">
        <v>0</v>
      </c>
      <c r="O85" s="12">
        <v>0</v>
      </c>
      <c r="P85" s="12">
        <v>11443.81</v>
      </c>
    </row>
    <row r="86" spans="1:16" ht="14.5" x14ac:dyDescent="0.25">
      <c r="A86" s="10">
        <v>45755</v>
      </c>
      <c r="B86" s="2" t="str">
        <f t="shared" si="2"/>
        <v>Apr-2025</v>
      </c>
      <c r="C86" s="2" t="str">
        <f t="shared" si="3"/>
        <v>Q1</v>
      </c>
      <c r="D86" s="2" t="s">
        <v>28</v>
      </c>
      <c r="E86" s="11" t="s">
        <v>85</v>
      </c>
      <c r="F86" s="11" t="s">
        <v>14</v>
      </c>
      <c r="G86" s="11" t="s">
        <v>504</v>
      </c>
      <c r="H86" s="11" t="s">
        <v>61</v>
      </c>
      <c r="I86" s="12">
        <v>1</v>
      </c>
      <c r="J86" s="12">
        <v>40</v>
      </c>
      <c r="K86" s="12">
        <v>309.39999999999998</v>
      </c>
      <c r="L86" s="12">
        <v>12376</v>
      </c>
      <c r="M86" s="12">
        <v>-475.24</v>
      </c>
      <c r="N86" s="12">
        <v>0</v>
      </c>
      <c r="O86" s="12">
        <v>0</v>
      </c>
      <c r="P86" s="12">
        <v>11900.76</v>
      </c>
    </row>
    <row r="87" spans="1:16" ht="14.5" x14ac:dyDescent="0.25">
      <c r="A87" s="10">
        <v>45755</v>
      </c>
      <c r="B87" s="2" t="str">
        <f t="shared" si="2"/>
        <v>Apr-2025</v>
      </c>
      <c r="C87" s="2" t="str">
        <f t="shared" si="3"/>
        <v>Q1</v>
      </c>
      <c r="D87" s="2" t="s">
        <v>28</v>
      </c>
      <c r="E87" s="11" t="s">
        <v>85</v>
      </c>
      <c r="F87" s="11" t="s">
        <v>14</v>
      </c>
      <c r="G87" s="11" t="s">
        <v>504</v>
      </c>
      <c r="H87" s="11" t="s">
        <v>53</v>
      </c>
      <c r="I87" s="12">
        <v>1</v>
      </c>
      <c r="J87" s="12">
        <v>100</v>
      </c>
      <c r="K87" s="12">
        <v>129.88</v>
      </c>
      <c r="L87" s="12">
        <v>12988.000000000002</v>
      </c>
      <c r="M87" s="12">
        <v>-498.74</v>
      </c>
      <c r="N87" s="12">
        <v>0</v>
      </c>
      <c r="O87" s="12">
        <v>0</v>
      </c>
      <c r="P87" s="12">
        <v>12489.26</v>
      </c>
    </row>
    <row r="88" spans="1:16" ht="14.5" x14ac:dyDescent="0.25">
      <c r="A88" s="10">
        <v>45755</v>
      </c>
      <c r="B88" s="2" t="str">
        <f t="shared" si="2"/>
        <v>Apr-2025</v>
      </c>
      <c r="C88" s="2" t="str">
        <f t="shared" si="3"/>
        <v>Q1</v>
      </c>
      <c r="D88" s="2" t="s">
        <v>28</v>
      </c>
      <c r="E88" s="11" t="s">
        <v>86</v>
      </c>
      <c r="F88" s="11" t="s">
        <v>14</v>
      </c>
      <c r="G88" s="11" t="s">
        <v>503</v>
      </c>
      <c r="H88" s="11" t="s">
        <v>48</v>
      </c>
      <c r="I88" s="12">
        <v>1</v>
      </c>
      <c r="J88" s="12">
        <v>180</v>
      </c>
      <c r="K88" s="12">
        <v>135.21</v>
      </c>
      <c r="L88" s="12">
        <v>24337.8</v>
      </c>
      <c r="M88" s="12">
        <v>-934.56999999999994</v>
      </c>
      <c r="N88" s="12">
        <v>0</v>
      </c>
      <c r="O88" s="12">
        <v>3042.420204</v>
      </c>
      <c r="P88" s="12">
        <v>26445.650204000001</v>
      </c>
    </row>
    <row r="89" spans="1:16" ht="14.5" x14ac:dyDescent="0.25">
      <c r="A89" s="10">
        <v>45755</v>
      </c>
      <c r="B89" s="2" t="str">
        <f t="shared" si="2"/>
        <v>Apr-2025</v>
      </c>
      <c r="C89" s="2" t="str">
        <f t="shared" si="3"/>
        <v>Q1</v>
      </c>
      <c r="D89" s="2" t="s">
        <v>28</v>
      </c>
      <c r="E89" s="11" t="s">
        <v>86</v>
      </c>
      <c r="F89" s="11" t="s">
        <v>14</v>
      </c>
      <c r="G89" s="11" t="s">
        <v>503</v>
      </c>
      <c r="H89" s="11" t="s">
        <v>87</v>
      </c>
      <c r="I89" s="12">
        <v>1</v>
      </c>
      <c r="J89" s="12">
        <v>180</v>
      </c>
      <c r="K89" s="12">
        <v>114.93</v>
      </c>
      <c r="L89" s="12">
        <v>20687.400000000001</v>
      </c>
      <c r="M89" s="12">
        <v>-794.4</v>
      </c>
      <c r="N89" s="12">
        <v>0</v>
      </c>
      <c r="O89" s="12">
        <v>2586.0902579999997</v>
      </c>
      <c r="P89" s="12">
        <v>22479.090258</v>
      </c>
    </row>
    <row r="90" spans="1:16" ht="14.5" x14ac:dyDescent="0.25">
      <c r="A90" s="10">
        <v>45755</v>
      </c>
      <c r="B90" s="2" t="str">
        <f t="shared" si="2"/>
        <v>Apr-2025</v>
      </c>
      <c r="C90" s="2" t="str">
        <f t="shared" si="3"/>
        <v>Q1</v>
      </c>
      <c r="D90" s="2" t="s">
        <v>28</v>
      </c>
      <c r="E90" s="11" t="s">
        <v>86</v>
      </c>
      <c r="F90" s="11" t="s">
        <v>14</v>
      </c>
      <c r="G90" s="11" t="s">
        <v>503</v>
      </c>
      <c r="H90" s="11" t="s">
        <v>46</v>
      </c>
      <c r="I90" s="12">
        <v>1</v>
      </c>
      <c r="J90" s="12">
        <v>120</v>
      </c>
      <c r="K90" s="12">
        <v>121.69</v>
      </c>
      <c r="L90" s="12">
        <v>14602.800000000001</v>
      </c>
      <c r="M90" s="12">
        <v>-560.75</v>
      </c>
      <c r="N90" s="12">
        <v>0</v>
      </c>
      <c r="O90" s="12">
        <v>1825.466682</v>
      </c>
      <c r="P90" s="12">
        <v>15867.516681999999</v>
      </c>
    </row>
    <row r="91" spans="1:16" ht="14.5" x14ac:dyDescent="0.25">
      <c r="A91" s="10">
        <v>45755</v>
      </c>
      <c r="B91" s="2" t="str">
        <f t="shared" si="2"/>
        <v>Apr-2025</v>
      </c>
      <c r="C91" s="2" t="str">
        <f t="shared" si="3"/>
        <v>Q1</v>
      </c>
      <c r="D91" s="2" t="s">
        <v>28</v>
      </c>
      <c r="E91" s="11" t="s">
        <v>86</v>
      </c>
      <c r="F91" s="11" t="s">
        <v>14</v>
      </c>
      <c r="G91" s="11" t="s">
        <v>503</v>
      </c>
      <c r="H91" s="11" t="s">
        <v>59</v>
      </c>
      <c r="I91" s="12">
        <v>1</v>
      </c>
      <c r="J91" s="12">
        <v>180</v>
      </c>
      <c r="K91" s="12">
        <v>64.23</v>
      </c>
      <c r="L91" s="12">
        <v>11561.4</v>
      </c>
      <c r="M91" s="12">
        <v>-443.96</v>
      </c>
      <c r="N91" s="12">
        <v>0</v>
      </c>
      <c r="O91" s="12">
        <v>1445.2673439999999</v>
      </c>
      <c r="P91" s="12">
        <v>12562.707344</v>
      </c>
    </row>
    <row r="92" spans="1:16" ht="14.5" x14ac:dyDescent="0.25">
      <c r="A92" s="10">
        <v>45755</v>
      </c>
      <c r="B92" s="2" t="str">
        <f t="shared" si="2"/>
        <v>Apr-2025</v>
      </c>
      <c r="C92" s="2" t="str">
        <f t="shared" si="3"/>
        <v>Q1</v>
      </c>
      <c r="D92" s="2" t="s">
        <v>28</v>
      </c>
      <c r="E92" s="11" t="s">
        <v>86</v>
      </c>
      <c r="F92" s="11" t="s">
        <v>14</v>
      </c>
      <c r="G92" s="11" t="s">
        <v>503</v>
      </c>
      <c r="H92" s="11" t="s">
        <v>57</v>
      </c>
      <c r="I92" s="12">
        <v>1</v>
      </c>
      <c r="J92" s="12">
        <v>180</v>
      </c>
      <c r="K92" s="12">
        <v>121.69</v>
      </c>
      <c r="L92" s="12">
        <v>21904.199999999997</v>
      </c>
      <c r="M92" s="12">
        <v>-841.12</v>
      </c>
      <c r="N92" s="12">
        <v>0</v>
      </c>
      <c r="O92" s="12">
        <v>2738.2006740000002</v>
      </c>
      <c r="P92" s="12">
        <v>23801.280674000001</v>
      </c>
    </row>
    <row r="93" spans="1:16" ht="14.5" x14ac:dyDescent="0.25">
      <c r="A93" s="10">
        <v>45755</v>
      </c>
      <c r="B93" s="2" t="str">
        <f t="shared" si="2"/>
        <v>Apr-2025</v>
      </c>
      <c r="C93" s="2" t="str">
        <f t="shared" si="3"/>
        <v>Q1</v>
      </c>
      <c r="D93" s="2" t="s">
        <v>28</v>
      </c>
      <c r="E93" s="11" t="s">
        <v>86</v>
      </c>
      <c r="F93" s="11" t="s">
        <v>14</v>
      </c>
      <c r="G93" s="11" t="s">
        <v>503</v>
      </c>
      <c r="H93" s="11" t="s">
        <v>45</v>
      </c>
      <c r="I93" s="12">
        <v>1</v>
      </c>
      <c r="J93" s="12">
        <v>180</v>
      </c>
      <c r="K93" s="12">
        <v>64.23</v>
      </c>
      <c r="L93" s="12">
        <v>11561.4</v>
      </c>
      <c r="M93" s="12">
        <v>-443.96</v>
      </c>
      <c r="N93" s="12">
        <v>0</v>
      </c>
      <c r="O93" s="12">
        <v>1445.2673439999999</v>
      </c>
      <c r="P93" s="12">
        <v>12562.707344</v>
      </c>
    </row>
    <row r="94" spans="1:16" ht="14.5" x14ac:dyDescent="0.25">
      <c r="A94" s="10">
        <v>45755</v>
      </c>
      <c r="B94" s="2" t="str">
        <f t="shared" si="2"/>
        <v>Apr-2025</v>
      </c>
      <c r="C94" s="2" t="str">
        <f t="shared" si="3"/>
        <v>Q1</v>
      </c>
      <c r="D94" s="2" t="s">
        <v>28</v>
      </c>
      <c r="E94" s="11" t="s">
        <v>86</v>
      </c>
      <c r="F94" s="11" t="s">
        <v>14</v>
      </c>
      <c r="G94" s="11" t="s">
        <v>503</v>
      </c>
      <c r="H94" s="11" t="s">
        <v>42</v>
      </c>
      <c r="I94" s="12">
        <v>1</v>
      </c>
      <c r="J94" s="12">
        <v>120</v>
      </c>
      <c r="K94" s="12">
        <v>141.97</v>
      </c>
      <c r="L94" s="12">
        <v>17036.400000000001</v>
      </c>
      <c r="M94" s="12">
        <v>-654.20000000000005</v>
      </c>
      <c r="N94" s="12">
        <v>0</v>
      </c>
      <c r="O94" s="12">
        <v>2129.686213</v>
      </c>
      <c r="P94" s="12">
        <v>18511.886213000002</v>
      </c>
    </row>
    <row r="95" spans="1:16" ht="14.5" x14ac:dyDescent="0.25">
      <c r="A95" s="10">
        <v>45755</v>
      </c>
      <c r="B95" s="2" t="str">
        <f t="shared" si="2"/>
        <v>Apr-2025</v>
      </c>
      <c r="C95" s="2" t="str">
        <f t="shared" si="3"/>
        <v>Q1</v>
      </c>
      <c r="D95" s="2" t="s">
        <v>28</v>
      </c>
      <c r="E95" s="11" t="s">
        <v>86</v>
      </c>
      <c r="F95" s="11" t="s">
        <v>14</v>
      </c>
      <c r="G95" s="11" t="s">
        <v>503</v>
      </c>
      <c r="H95" s="11" t="s">
        <v>52</v>
      </c>
      <c r="I95" s="12">
        <v>1</v>
      </c>
      <c r="J95" s="12">
        <v>180</v>
      </c>
      <c r="K95" s="12">
        <v>70.989999999999995</v>
      </c>
      <c r="L95" s="12">
        <v>12778.2</v>
      </c>
      <c r="M95" s="12">
        <v>-490.68</v>
      </c>
      <c r="N95" s="12">
        <v>0</v>
      </c>
      <c r="O95" s="12">
        <v>1597.3777600000001</v>
      </c>
      <c r="P95" s="12">
        <v>13884.89776</v>
      </c>
    </row>
    <row r="96" spans="1:16" ht="14.5" x14ac:dyDescent="0.25">
      <c r="A96" s="10">
        <v>45755</v>
      </c>
      <c r="B96" s="2" t="str">
        <f t="shared" si="2"/>
        <v>Apr-2025</v>
      </c>
      <c r="C96" s="2" t="str">
        <f t="shared" si="3"/>
        <v>Q1</v>
      </c>
      <c r="D96" s="2" t="s">
        <v>28</v>
      </c>
      <c r="E96" s="11" t="s">
        <v>86</v>
      </c>
      <c r="F96" s="11" t="s">
        <v>14</v>
      </c>
      <c r="G96" s="11" t="s">
        <v>503</v>
      </c>
      <c r="H96" s="11" t="s">
        <v>44</v>
      </c>
      <c r="I96" s="12">
        <v>1</v>
      </c>
      <c r="J96" s="12">
        <v>180</v>
      </c>
      <c r="K96" s="12">
        <v>155.49</v>
      </c>
      <c r="L96" s="12">
        <v>27988.2</v>
      </c>
      <c r="M96" s="12">
        <v>-1074.75</v>
      </c>
      <c r="N96" s="12">
        <v>0</v>
      </c>
      <c r="O96" s="12">
        <v>3498.7488490000001</v>
      </c>
      <c r="P96" s="12">
        <v>30412.198849</v>
      </c>
    </row>
    <row r="97" spans="1:16" ht="14.5" x14ac:dyDescent="0.25">
      <c r="A97" s="10">
        <v>45755</v>
      </c>
      <c r="B97" s="2" t="str">
        <f t="shared" si="2"/>
        <v>Apr-2025</v>
      </c>
      <c r="C97" s="2" t="str">
        <f t="shared" si="3"/>
        <v>Q1</v>
      </c>
      <c r="D97" s="2" t="s">
        <v>28</v>
      </c>
      <c r="E97" s="11" t="s">
        <v>86</v>
      </c>
      <c r="F97" s="11" t="s">
        <v>14</v>
      </c>
      <c r="G97" s="11" t="s">
        <v>503</v>
      </c>
      <c r="H97" s="11" t="s">
        <v>47</v>
      </c>
      <c r="I97" s="12">
        <v>1</v>
      </c>
      <c r="J97" s="12">
        <v>120</v>
      </c>
      <c r="K97" s="12">
        <v>121.69</v>
      </c>
      <c r="L97" s="12">
        <v>14602.800000000001</v>
      </c>
      <c r="M97" s="12">
        <v>-560.75</v>
      </c>
      <c r="N97" s="12">
        <v>0</v>
      </c>
      <c r="O97" s="12">
        <v>1825.466682</v>
      </c>
      <c r="P97" s="12">
        <v>15867.516681999999</v>
      </c>
    </row>
    <row r="98" spans="1:16" ht="14.5" x14ac:dyDescent="0.25">
      <c r="A98" s="10">
        <v>45755</v>
      </c>
      <c r="B98" s="2" t="str">
        <f t="shared" si="2"/>
        <v>Apr-2025</v>
      </c>
      <c r="C98" s="2" t="str">
        <f t="shared" si="3"/>
        <v>Q1</v>
      </c>
      <c r="D98" s="2" t="s">
        <v>28</v>
      </c>
      <c r="E98" s="11" t="s">
        <v>86</v>
      </c>
      <c r="F98" s="11" t="s">
        <v>14</v>
      </c>
      <c r="G98" s="11" t="s">
        <v>503</v>
      </c>
      <c r="H98" s="11" t="s">
        <v>63</v>
      </c>
      <c r="I98" s="12">
        <v>1</v>
      </c>
      <c r="J98" s="12">
        <v>80</v>
      </c>
      <c r="K98" s="12">
        <v>189.3</v>
      </c>
      <c r="L98" s="12">
        <v>15144</v>
      </c>
      <c r="M98" s="12">
        <v>-581.53</v>
      </c>
      <c r="N98" s="12">
        <v>0</v>
      </c>
      <c r="O98" s="12">
        <v>1893.1212889999999</v>
      </c>
      <c r="P98" s="12">
        <v>16455.591289</v>
      </c>
    </row>
    <row r="99" spans="1:16" ht="14.5" x14ac:dyDescent="0.25">
      <c r="A99" s="10">
        <v>45755</v>
      </c>
      <c r="B99" s="2" t="str">
        <f t="shared" si="2"/>
        <v>Apr-2025</v>
      </c>
      <c r="C99" s="2" t="str">
        <f t="shared" si="3"/>
        <v>Q1</v>
      </c>
      <c r="D99" s="2" t="s">
        <v>28</v>
      </c>
      <c r="E99" s="11" t="s">
        <v>86</v>
      </c>
      <c r="F99" s="11" t="s">
        <v>14</v>
      </c>
      <c r="G99" s="11" t="s">
        <v>505</v>
      </c>
      <c r="H99" s="11" t="s">
        <v>43</v>
      </c>
      <c r="I99" s="12">
        <v>1</v>
      </c>
      <c r="J99" s="12">
        <v>40</v>
      </c>
      <c r="K99" s="12">
        <v>297.45999999999998</v>
      </c>
      <c r="L99" s="12">
        <v>11898.4</v>
      </c>
      <c r="M99" s="12">
        <v>-456.9</v>
      </c>
      <c r="N99" s="12">
        <v>0</v>
      </c>
      <c r="O99" s="12">
        <v>1487.3951489999999</v>
      </c>
      <c r="P99" s="12">
        <v>12928.895149</v>
      </c>
    </row>
    <row r="100" spans="1:16" ht="14.5" x14ac:dyDescent="0.25">
      <c r="A100" s="10">
        <v>45755</v>
      </c>
      <c r="B100" s="2" t="str">
        <f t="shared" si="2"/>
        <v>Apr-2025</v>
      </c>
      <c r="C100" s="2" t="str">
        <f t="shared" si="3"/>
        <v>Q1</v>
      </c>
      <c r="D100" s="2" t="s">
        <v>28</v>
      </c>
      <c r="E100" s="11" t="s">
        <v>86</v>
      </c>
      <c r="F100" s="11" t="s">
        <v>14</v>
      </c>
      <c r="G100" s="11" t="s">
        <v>505</v>
      </c>
      <c r="H100" s="11" t="s">
        <v>55</v>
      </c>
      <c r="I100" s="12">
        <v>1</v>
      </c>
      <c r="J100" s="12">
        <v>120</v>
      </c>
      <c r="K100" s="12">
        <v>152.11000000000001</v>
      </c>
      <c r="L100" s="12">
        <v>18253.2</v>
      </c>
      <c r="M100" s="12">
        <v>-700.92</v>
      </c>
      <c r="N100" s="12">
        <v>0</v>
      </c>
      <c r="O100" s="12">
        <v>2281.7966280000001</v>
      </c>
      <c r="P100" s="12">
        <v>19834.076627999999</v>
      </c>
    </row>
    <row r="101" spans="1:16" ht="14.5" x14ac:dyDescent="0.25">
      <c r="A101" s="10">
        <v>45755</v>
      </c>
      <c r="B101" s="2" t="str">
        <f t="shared" si="2"/>
        <v>Apr-2025</v>
      </c>
      <c r="C101" s="2" t="str">
        <f t="shared" si="3"/>
        <v>Q1</v>
      </c>
      <c r="D101" s="2" t="s">
        <v>28</v>
      </c>
      <c r="E101" s="11" t="s">
        <v>86</v>
      </c>
      <c r="F101" s="11" t="s">
        <v>14</v>
      </c>
      <c r="G101" s="11" t="s">
        <v>505</v>
      </c>
      <c r="H101" s="11" t="s">
        <v>40</v>
      </c>
      <c r="I101" s="12">
        <v>1</v>
      </c>
      <c r="J101" s="12">
        <v>180</v>
      </c>
      <c r="K101" s="12">
        <v>94.65</v>
      </c>
      <c r="L101" s="12">
        <v>17037</v>
      </c>
      <c r="M101" s="12">
        <v>-654.22</v>
      </c>
      <c r="N101" s="12">
        <v>0</v>
      </c>
      <c r="O101" s="12">
        <v>2129.7616129999997</v>
      </c>
      <c r="P101" s="12">
        <v>18512.541613000001</v>
      </c>
    </row>
    <row r="102" spans="1:16" ht="14.5" x14ac:dyDescent="0.25">
      <c r="A102" s="10">
        <v>45755</v>
      </c>
      <c r="B102" s="2" t="str">
        <f t="shared" ref="B102:B165" si="4">+TEXT(A102,"MMM-yyy")</f>
        <v>Apr-2025</v>
      </c>
      <c r="C102" s="2" t="str">
        <f t="shared" ref="C102:C165" si="5">"Q" &amp; CHOOSE(MONTH(A102),4,4,4,1,1,1,2,2,2,3,3,3)</f>
        <v>Q1</v>
      </c>
      <c r="D102" s="2" t="s">
        <v>28</v>
      </c>
      <c r="E102" s="11" t="s">
        <v>86</v>
      </c>
      <c r="F102" s="11" t="s">
        <v>14</v>
      </c>
      <c r="G102" s="11" t="s">
        <v>503</v>
      </c>
      <c r="H102" s="11" t="s">
        <v>51</v>
      </c>
      <c r="I102" s="12">
        <v>1</v>
      </c>
      <c r="J102" s="12">
        <v>180</v>
      </c>
      <c r="K102" s="12">
        <v>64.23</v>
      </c>
      <c r="L102" s="12">
        <v>11561.4</v>
      </c>
      <c r="M102" s="12">
        <v>-443.96</v>
      </c>
      <c r="N102" s="12">
        <v>0</v>
      </c>
      <c r="O102" s="12">
        <v>1445.2673439999999</v>
      </c>
      <c r="P102" s="12">
        <v>12562.707344</v>
      </c>
    </row>
    <row r="103" spans="1:16" ht="14.5" x14ac:dyDescent="0.25">
      <c r="A103" s="10">
        <v>45755</v>
      </c>
      <c r="B103" s="2" t="str">
        <f t="shared" si="4"/>
        <v>Apr-2025</v>
      </c>
      <c r="C103" s="2" t="str">
        <f t="shared" si="5"/>
        <v>Q1</v>
      </c>
      <c r="D103" s="2" t="s">
        <v>28</v>
      </c>
      <c r="E103" s="11" t="s">
        <v>86</v>
      </c>
      <c r="F103" s="11" t="s">
        <v>14</v>
      </c>
      <c r="G103" s="11" t="s">
        <v>505</v>
      </c>
      <c r="H103" s="11" t="s">
        <v>49</v>
      </c>
      <c r="I103" s="12">
        <v>1</v>
      </c>
      <c r="J103" s="12">
        <v>180</v>
      </c>
      <c r="K103" s="12">
        <v>182.53</v>
      </c>
      <c r="L103" s="12">
        <v>32855.4</v>
      </c>
      <c r="M103" s="12">
        <v>-1261.6499999999999</v>
      </c>
      <c r="N103" s="12">
        <v>0</v>
      </c>
      <c r="O103" s="12">
        <v>4107.1879099999996</v>
      </c>
      <c r="P103" s="12">
        <v>35700.937910000001</v>
      </c>
    </row>
    <row r="104" spans="1:16" ht="14.5" x14ac:dyDescent="0.25">
      <c r="A104" s="10">
        <v>45755</v>
      </c>
      <c r="B104" s="2" t="str">
        <f t="shared" si="4"/>
        <v>Apr-2025</v>
      </c>
      <c r="C104" s="2" t="str">
        <f t="shared" si="5"/>
        <v>Q1</v>
      </c>
      <c r="D104" s="2" t="s">
        <v>28</v>
      </c>
      <c r="E104" s="11" t="s">
        <v>86</v>
      </c>
      <c r="F104" s="11" t="s">
        <v>14</v>
      </c>
      <c r="G104" s="11" t="s">
        <v>503</v>
      </c>
      <c r="H104" s="11" t="s">
        <v>41</v>
      </c>
      <c r="I104" s="12">
        <v>1</v>
      </c>
      <c r="J104" s="12">
        <v>180</v>
      </c>
      <c r="K104" s="12">
        <v>60.84</v>
      </c>
      <c r="L104" s="12">
        <v>10951.199999999999</v>
      </c>
      <c r="M104" s="12">
        <v>-420.53</v>
      </c>
      <c r="N104" s="12">
        <v>0</v>
      </c>
      <c r="O104" s="12">
        <v>1368.9872370000001</v>
      </c>
      <c r="P104" s="12">
        <v>11899.657236999999</v>
      </c>
    </row>
    <row r="105" spans="1:16" ht="14.5" x14ac:dyDescent="0.25">
      <c r="A105" s="10">
        <v>45755</v>
      </c>
      <c r="B105" s="2" t="str">
        <f t="shared" si="4"/>
        <v>Apr-2025</v>
      </c>
      <c r="C105" s="2" t="str">
        <f t="shared" si="5"/>
        <v>Q1</v>
      </c>
      <c r="D105" s="2" t="s">
        <v>28</v>
      </c>
      <c r="E105" s="11" t="s">
        <v>86</v>
      </c>
      <c r="F105" s="11" t="s">
        <v>14</v>
      </c>
      <c r="G105" s="11" t="s">
        <v>505</v>
      </c>
      <c r="H105" s="11" t="s">
        <v>62</v>
      </c>
      <c r="I105" s="12">
        <v>1</v>
      </c>
      <c r="J105" s="12">
        <v>40</v>
      </c>
      <c r="K105" s="12">
        <v>439.44</v>
      </c>
      <c r="L105" s="12">
        <v>17577.599999999999</v>
      </c>
      <c r="M105" s="12">
        <v>-674.98</v>
      </c>
      <c r="N105" s="12">
        <v>0</v>
      </c>
      <c r="O105" s="12">
        <v>2197.340819</v>
      </c>
      <c r="P105" s="12">
        <v>19099.960819</v>
      </c>
    </row>
    <row r="106" spans="1:16" ht="14.5" x14ac:dyDescent="0.25">
      <c r="A106" s="10">
        <v>45755</v>
      </c>
      <c r="B106" s="2" t="str">
        <f t="shared" si="4"/>
        <v>Apr-2025</v>
      </c>
      <c r="C106" s="2" t="str">
        <f t="shared" si="5"/>
        <v>Q1</v>
      </c>
      <c r="D106" s="2" t="s">
        <v>28</v>
      </c>
      <c r="E106" s="11" t="s">
        <v>88</v>
      </c>
      <c r="F106" s="11" t="s">
        <v>14</v>
      </c>
      <c r="G106" s="11" t="s">
        <v>506</v>
      </c>
      <c r="H106" s="11" t="s">
        <v>54</v>
      </c>
      <c r="I106" s="12">
        <v>2</v>
      </c>
      <c r="J106" s="12">
        <v>96</v>
      </c>
      <c r="K106" s="12">
        <v>310.99</v>
      </c>
      <c r="L106" s="12">
        <v>29855.039999999997</v>
      </c>
      <c r="M106" s="12">
        <v>-1146.43</v>
      </c>
      <c r="N106" s="12">
        <v>0</v>
      </c>
      <c r="O106" s="12">
        <v>3732.119087</v>
      </c>
      <c r="P106" s="12">
        <v>32440.729087</v>
      </c>
    </row>
    <row r="107" spans="1:16" ht="14.5" x14ac:dyDescent="0.25">
      <c r="A107" s="10">
        <v>45755</v>
      </c>
      <c r="B107" s="2" t="str">
        <f t="shared" si="4"/>
        <v>Apr-2025</v>
      </c>
      <c r="C107" s="2" t="str">
        <f t="shared" si="5"/>
        <v>Q1</v>
      </c>
      <c r="D107" s="2" t="s">
        <v>28</v>
      </c>
      <c r="E107" s="11" t="s">
        <v>88</v>
      </c>
      <c r="F107" s="11" t="s">
        <v>14</v>
      </c>
      <c r="G107" s="11" t="s">
        <v>506</v>
      </c>
      <c r="H107" s="11" t="s">
        <v>39</v>
      </c>
      <c r="I107" s="12">
        <v>2</v>
      </c>
      <c r="J107" s="12">
        <v>144</v>
      </c>
      <c r="K107" s="12">
        <v>131.83000000000001</v>
      </c>
      <c r="L107" s="12">
        <v>18983.52</v>
      </c>
      <c r="M107" s="12">
        <v>-728.96999999999991</v>
      </c>
      <c r="N107" s="12">
        <v>0</v>
      </c>
      <c r="O107" s="12">
        <v>2373.0913640000003</v>
      </c>
      <c r="P107" s="12">
        <v>20627.641363999999</v>
      </c>
    </row>
    <row r="108" spans="1:16" ht="14.5" x14ac:dyDescent="0.25">
      <c r="A108" s="10">
        <v>45755</v>
      </c>
      <c r="B108" s="2" t="str">
        <f t="shared" si="4"/>
        <v>Apr-2025</v>
      </c>
      <c r="C108" s="2" t="str">
        <f t="shared" si="5"/>
        <v>Q1</v>
      </c>
      <c r="D108" s="2" t="s">
        <v>28</v>
      </c>
      <c r="E108" s="11" t="s">
        <v>88</v>
      </c>
      <c r="F108" s="11" t="s">
        <v>14</v>
      </c>
      <c r="G108" s="11" t="s">
        <v>504</v>
      </c>
      <c r="H108" s="11" t="s">
        <v>68</v>
      </c>
      <c r="I108" s="12">
        <v>1</v>
      </c>
      <c r="J108" s="12">
        <v>40</v>
      </c>
      <c r="K108" s="12">
        <v>260.27999999999997</v>
      </c>
      <c r="L108" s="12">
        <v>10411.200000000001</v>
      </c>
      <c r="M108" s="12">
        <v>-399.79</v>
      </c>
      <c r="N108" s="12">
        <v>0</v>
      </c>
      <c r="O108" s="12">
        <v>1301.4832260000001</v>
      </c>
      <c r="P108" s="12">
        <v>11312.893226</v>
      </c>
    </row>
    <row r="109" spans="1:16" ht="14.5" x14ac:dyDescent="0.25">
      <c r="A109" s="10">
        <v>45755</v>
      </c>
      <c r="B109" s="2" t="str">
        <f t="shared" si="4"/>
        <v>Apr-2025</v>
      </c>
      <c r="C109" s="2" t="str">
        <f t="shared" si="5"/>
        <v>Q1</v>
      </c>
      <c r="D109" s="2" t="s">
        <v>28</v>
      </c>
      <c r="E109" s="11" t="s">
        <v>88</v>
      </c>
      <c r="F109" s="11" t="s">
        <v>14</v>
      </c>
      <c r="G109" s="11" t="s">
        <v>503</v>
      </c>
      <c r="H109" s="11" t="s">
        <v>89</v>
      </c>
      <c r="I109" s="12">
        <v>1</v>
      </c>
      <c r="J109" s="12">
        <v>120</v>
      </c>
      <c r="K109" s="12">
        <v>118.31</v>
      </c>
      <c r="L109" s="12">
        <v>14197.199999999999</v>
      </c>
      <c r="M109" s="12">
        <v>-545.16999999999996</v>
      </c>
      <c r="N109" s="12">
        <v>0</v>
      </c>
      <c r="O109" s="12">
        <v>1774.7637990000001</v>
      </c>
      <c r="P109" s="12">
        <v>15426.793798999999</v>
      </c>
    </row>
    <row r="110" spans="1:16" ht="14.5" x14ac:dyDescent="0.25">
      <c r="A110" s="10">
        <v>45755</v>
      </c>
      <c r="B110" s="2" t="str">
        <f t="shared" si="4"/>
        <v>Apr-2025</v>
      </c>
      <c r="C110" s="2" t="str">
        <f t="shared" si="5"/>
        <v>Q1</v>
      </c>
      <c r="D110" s="2" t="s">
        <v>28</v>
      </c>
      <c r="E110" s="11" t="s">
        <v>88</v>
      </c>
      <c r="F110" s="11" t="s">
        <v>14</v>
      </c>
      <c r="G110" s="11" t="s">
        <v>505</v>
      </c>
      <c r="H110" s="11" t="s">
        <v>56</v>
      </c>
      <c r="I110" s="12">
        <v>1</v>
      </c>
      <c r="J110" s="12">
        <v>120</v>
      </c>
      <c r="K110" s="12">
        <v>57.46</v>
      </c>
      <c r="L110" s="12">
        <v>6895.2</v>
      </c>
      <c r="M110" s="12">
        <v>-264.77999999999997</v>
      </c>
      <c r="N110" s="12">
        <v>0</v>
      </c>
      <c r="O110" s="12">
        <v>861.95455099999992</v>
      </c>
      <c r="P110" s="12">
        <v>7492.3745509999999</v>
      </c>
    </row>
    <row r="111" spans="1:16" ht="14.5" x14ac:dyDescent="0.25">
      <c r="A111" s="10">
        <v>45755</v>
      </c>
      <c r="B111" s="2" t="str">
        <f t="shared" si="4"/>
        <v>Apr-2025</v>
      </c>
      <c r="C111" s="2" t="str">
        <f t="shared" si="5"/>
        <v>Q1</v>
      </c>
      <c r="D111" s="2" t="s">
        <v>28</v>
      </c>
      <c r="E111" s="11" t="s">
        <v>88</v>
      </c>
      <c r="F111" s="11" t="s">
        <v>14</v>
      </c>
      <c r="G111" s="11" t="s">
        <v>505</v>
      </c>
      <c r="H111" s="11" t="s">
        <v>50</v>
      </c>
      <c r="I111" s="12">
        <v>1</v>
      </c>
      <c r="J111" s="12">
        <v>80</v>
      </c>
      <c r="K111" s="12">
        <v>169.01</v>
      </c>
      <c r="L111" s="12">
        <v>13520.8</v>
      </c>
      <c r="M111" s="12">
        <v>-519.20000000000005</v>
      </c>
      <c r="N111" s="12">
        <v>0</v>
      </c>
      <c r="O111" s="12">
        <v>1690.207903</v>
      </c>
      <c r="P111" s="12">
        <v>14691.807903000001</v>
      </c>
    </row>
    <row r="112" spans="1:16" ht="14.5" x14ac:dyDescent="0.25">
      <c r="A112" s="10">
        <v>45755</v>
      </c>
      <c r="B112" s="2" t="str">
        <f t="shared" si="4"/>
        <v>Apr-2025</v>
      </c>
      <c r="C112" s="2" t="str">
        <f t="shared" si="5"/>
        <v>Q1</v>
      </c>
      <c r="D112" s="2" t="s">
        <v>28</v>
      </c>
      <c r="E112" s="11" t="s">
        <v>88</v>
      </c>
      <c r="F112" s="11" t="s">
        <v>14</v>
      </c>
      <c r="G112" s="11" t="s">
        <v>504</v>
      </c>
      <c r="H112" s="11" t="s">
        <v>66</v>
      </c>
      <c r="I112" s="12">
        <v>1</v>
      </c>
      <c r="J112" s="12">
        <v>100</v>
      </c>
      <c r="K112" s="12">
        <v>108.17</v>
      </c>
      <c r="L112" s="12">
        <v>10817</v>
      </c>
      <c r="M112" s="12">
        <v>-415.37</v>
      </c>
      <c r="N112" s="12">
        <v>0</v>
      </c>
      <c r="O112" s="12">
        <v>1352.2118229999999</v>
      </c>
      <c r="P112" s="12">
        <v>11753.841823000001</v>
      </c>
    </row>
    <row r="113" spans="1:16" ht="14.5" x14ac:dyDescent="0.25">
      <c r="A113" s="10">
        <v>45755</v>
      </c>
      <c r="B113" s="2" t="str">
        <f t="shared" si="4"/>
        <v>Apr-2025</v>
      </c>
      <c r="C113" s="2" t="str">
        <f t="shared" si="5"/>
        <v>Q1</v>
      </c>
      <c r="D113" s="2" t="s">
        <v>28</v>
      </c>
      <c r="E113" s="11" t="s">
        <v>88</v>
      </c>
      <c r="F113" s="11" t="s">
        <v>14</v>
      </c>
      <c r="G113" s="11" t="s">
        <v>507</v>
      </c>
      <c r="H113" s="11" t="s">
        <v>90</v>
      </c>
      <c r="I113" s="12">
        <v>1</v>
      </c>
      <c r="J113" s="12">
        <v>120</v>
      </c>
      <c r="K113" s="12">
        <v>57.46</v>
      </c>
      <c r="L113" s="12">
        <v>6895.2</v>
      </c>
      <c r="M113" s="12">
        <v>-264.77999999999997</v>
      </c>
      <c r="N113" s="12">
        <v>0</v>
      </c>
      <c r="O113" s="12">
        <v>861.95455099999992</v>
      </c>
      <c r="P113" s="12">
        <v>7492.3745509999999</v>
      </c>
    </row>
    <row r="114" spans="1:16" ht="14.5" x14ac:dyDescent="0.25">
      <c r="A114" s="10">
        <v>45755</v>
      </c>
      <c r="B114" s="2" t="str">
        <f t="shared" si="4"/>
        <v>Apr-2025</v>
      </c>
      <c r="C114" s="2" t="str">
        <f t="shared" si="5"/>
        <v>Q1</v>
      </c>
      <c r="D114" s="2" t="s">
        <v>28</v>
      </c>
      <c r="E114" s="11" t="s">
        <v>88</v>
      </c>
      <c r="F114" s="11" t="s">
        <v>14</v>
      </c>
      <c r="G114" s="11" t="s">
        <v>504</v>
      </c>
      <c r="H114" s="11" t="s">
        <v>69</v>
      </c>
      <c r="I114" s="12">
        <v>1</v>
      </c>
      <c r="J114" s="12">
        <v>100</v>
      </c>
      <c r="K114" s="12">
        <v>189.3</v>
      </c>
      <c r="L114" s="12">
        <v>18930</v>
      </c>
      <c r="M114" s="12">
        <v>-726.91000000000008</v>
      </c>
      <c r="N114" s="12">
        <v>0</v>
      </c>
      <c r="O114" s="12">
        <v>2366.4015649999997</v>
      </c>
      <c r="P114" s="12">
        <v>20569.491565</v>
      </c>
    </row>
    <row r="115" spans="1:16" ht="14.5" x14ac:dyDescent="0.25">
      <c r="A115" s="10">
        <v>45755</v>
      </c>
      <c r="B115" s="2" t="str">
        <f t="shared" si="4"/>
        <v>Apr-2025</v>
      </c>
      <c r="C115" s="2" t="str">
        <f t="shared" si="5"/>
        <v>Q1</v>
      </c>
      <c r="D115" s="2" t="s">
        <v>28</v>
      </c>
      <c r="E115" s="11" t="s">
        <v>88</v>
      </c>
      <c r="F115" s="11" t="s">
        <v>14</v>
      </c>
      <c r="G115" s="11" t="s">
        <v>507</v>
      </c>
      <c r="H115" s="11" t="s">
        <v>60</v>
      </c>
      <c r="I115" s="12">
        <v>2</v>
      </c>
      <c r="J115" s="12">
        <v>120</v>
      </c>
      <c r="K115" s="12">
        <v>98.03</v>
      </c>
      <c r="L115" s="12">
        <v>11763.6</v>
      </c>
      <c r="M115" s="12">
        <v>-451.72</v>
      </c>
      <c r="N115" s="12">
        <v>0</v>
      </c>
      <c r="O115" s="12">
        <v>1470.544316</v>
      </c>
      <c r="P115" s="12">
        <v>12782.424316000001</v>
      </c>
    </row>
    <row r="116" spans="1:16" ht="14.5" x14ac:dyDescent="0.25">
      <c r="A116" s="10">
        <v>45755</v>
      </c>
      <c r="B116" s="2" t="str">
        <f t="shared" si="4"/>
        <v>Apr-2025</v>
      </c>
      <c r="C116" s="2" t="str">
        <f t="shared" si="5"/>
        <v>Q1</v>
      </c>
      <c r="D116" s="2" t="s">
        <v>28</v>
      </c>
      <c r="E116" s="11" t="s">
        <v>88</v>
      </c>
      <c r="F116" s="11" t="s">
        <v>14</v>
      </c>
      <c r="G116" s="11" t="s">
        <v>504</v>
      </c>
      <c r="H116" s="11" t="s">
        <v>67</v>
      </c>
      <c r="I116" s="12">
        <v>1</v>
      </c>
      <c r="J116" s="12">
        <v>40</v>
      </c>
      <c r="K116" s="12">
        <v>459.72</v>
      </c>
      <c r="L116" s="12">
        <v>18388.8</v>
      </c>
      <c r="M116" s="12">
        <v>-706.12999999999988</v>
      </c>
      <c r="N116" s="12">
        <v>0</v>
      </c>
      <c r="O116" s="12">
        <v>2298.7469690000003</v>
      </c>
      <c r="P116" s="12">
        <v>19981.416969000002</v>
      </c>
    </row>
    <row r="117" spans="1:16" ht="14.5" x14ac:dyDescent="0.25">
      <c r="A117" s="10">
        <v>45755</v>
      </c>
      <c r="B117" s="2" t="str">
        <f t="shared" si="4"/>
        <v>Apr-2025</v>
      </c>
      <c r="C117" s="2" t="str">
        <f t="shared" si="5"/>
        <v>Q1</v>
      </c>
      <c r="D117" s="2" t="s">
        <v>28</v>
      </c>
      <c r="E117" s="11" t="s">
        <v>88</v>
      </c>
      <c r="F117" s="11" t="s">
        <v>14</v>
      </c>
      <c r="G117" s="11" t="s">
        <v>506</v>
      </c>
      <c r="H117" s="11" t="s">
        <v>58</v>
      </c>
      <c r="I117" s="12">
        <v>2</v>
      </c>
      <c r="J117" s="12">
        <v>144</v>
      </c>
      <c r="K117" s="12">
        <v>148.72999999999999</v>
      </c>
      <c r="L117" s="12">
        <v>21417.119999999999</v>
      </c>
      <c r="M117" s="12">
        <v>-822.42</v>
      </c>
      <c r="N117" s="12">
        <v>0</v>
      </c>
      <c r="O117" s="12">
        <v>2677.3108469999997</v>
      </c>
      <c r="P117" s="12">
        <v>23272.010847000001</v>
      </c>
    </row>
    <row r="118" spans="1:16" ht="14.5" x14ac:dyDescent="0.25">
      <c r="A118" s="10">
        <v>45760</v>
      </c>
      <c r="B118" s="2" t="str">
        <f t="shared" si="4"/>
        <v>Apr-2025</v>
      </c>
      <c r="C118" s="2" t="str">
        <f t="shared" si="5"/>
        <v>Q1</v>
      </c>
      <c r="D118" s="2" t="s">
        <v>28</v>
      </c>
      <c r="E118" s="11" t="s">
        <v>91</v>
      </c>
      <c r="F118" s="11" t="s">
        <v>38</v>
      </c>
      <c r="G118" s="11" t="s">
        <v>503</v>
      </c>
      <c r="H118" s="11" t="s">
        <v>44</v>
      </c>
      <c r="I118" s="12">
        <v>0.03</v>
      </c>
      <c r="J118" s="12">
        <v>5</v>
      </c>
      <c r="K118" s="12">
        <v>155.49</v>
      </c>
      <c r="L118" s="12">
        <v>777.44999999999993</v>
      </c>
      <c r="M118" s="12">
        <v>-29.85</v>
      </c>
      <c r="N118" s="12">
        <v>0</v>
      </c>
      <c r="O118" s="12">
        <v>97.187963999999994</v>
      </c>
      <c r="P118" s="12">
        <v>844.78796399999999</v>
      </c>
    </row>
    <row r="119" spans="1:16" ht="14.5" x14ac:dyDescent="0.25">
      <c r="A119" s="10">
        <v>45760</v>
      </c>
      <c r="B119" s="2" t="str">
        <f t="shared" si="4"/>
        <v>Apr-2025</v>
      </c>
      <c r="C119" s="2" t="str">
        <f t="shared" si="5"/>
        <v>Q1</v>
      </c>
      <c r="D119" s="2" t="s">
        <v>28</v>
      </c>
      <c r="E119" s="11" t="s">
        <v>91</v>
      </c>
      <c r="F119" s="11" t="s">
        <v>38</v>
      </c>
      <c r="G119" s="11" t="s">
        <v>505</v>
      </c>
      <c r="H119" s="11" t="s">
        <v>43</v>
      </c>
      <c r="I119" s="12">
        <v>0.13</v>
      </c>
      <c r="J119" s="12">
        <v>5</v>
      </c>
      <c r="K119" s="12">
        <v>297.45999999999998</v>
      </c>
      <c r="L119" s="12">
        <v>1487.3</v>
      </c>
      <c r="M119" s="12">
        <v>-57.11</v>
      </c>
      <c r="N119" s="12">
        <v>0</v>
      </c>
      <c r="O119" s="12">
        <v>185.92463100000001</v>
      </c>
      <c r="P119" s="12">
        <v>1616.1146309999999</v>
      </c>
    </row>
    <row r="120" spans="1:16" ht="14.5" x14ac:dyDescent="0.25">
      <c r="A120" s="10">
        <v>45760</v>
      </c>
      <c r="B120" s="2" t="str">
        <f t="shared" si="4"/>
        <v>Apr-2025</v>
      </c>
      <c r="C120" s="2" t="str">
        <f t="shared" si="5"/>
        <v>Q1</v>
      </c>
      <c r="D120" s="2" t="s">
        <v>28</v>
      </c>
      <c r="E120" s="11" t="s">
        <v>91</v>
      </c>
      <c r="F120" s="11" t="s">
        <v>38</v>
      </c>
      <c r="G120" s="11" t="s">
        <v>505</v>
      </c>
      <c r="H120" s="11" t="s">
        <v>49</v>
      </c>
      <c r="I120" s="12">
        <v>0.03</v>
      </c>
      <c r="J120" s="12">
        <v>5</v>
      </c>
      <c r="K120" s="12">
        <v>182.53</v>
      </c>
      <c r="L120" s="12">
        <v>912.65</v>
      </c>
      <c r="M120" s="12">
        <v>-35.049999999999997</v>
      </c>
      <c r="N120" s="12">
        <v>0</v>
      </c>
      <c r="O120" s="12">
        <v>114.08795800000001</v>
      </c>
      <c r="P120" s="12">
        <v>991.68795799999998</v>
      </c>
    </row>
    <row r="121" spans="1:16" ht="14.5" x14ac:dyDescent="0.25">
      <c r="A121" s="10">
        <v>45760</v>
      </c>
      <c r="B121" s="2" t="str">
        <f t="shared" si="4"/>
        <v>Apr-2025</v>
      </c>
      <c r="C121" s="2" t="str">
        <f t="shared" si="5"/>
        <v>Q1</v>
      </c>
      <c r="D121" s="2" t="s">
        <v>28</v>
      </c>
      <c r="E121" s="11" t="s">
        <v>91</v>
      </c>
      <c r="F121" s="11" t="s">
        <v>38</v>
      </c>
      <c r="G121" s="11" t="s">
        <v>503</v>
      </c>
      <c r="H121" s="11" t="s">
        <v>45</v>
      </c>
      <c r="I121" s="12">
        <v>0.03</v>
      </c>
      <c r="J121" s="12">
        <v>5</v>
      </c>
      <c r="K121" s="12">
        <v>64.23</v>
      </c>
      <c r="L121" s="12">
        <v>321.14999999999998</v>
      </c>
      <c r="M121" s="12">
        <v>-12.33</v>
      </c>
      <c r="N121" s="12">
        <v>0</v>
      </c>
      <c r="O121" s="12">
        <v>40.146584999999995</v>
      </c>
      <c r="P121" s="12">
        <v>348.96658500000001</v>
      </c>
    </row>
    <row r="122" spans="1:16" ht="14.5" x14ac:dyDescent="0.25">
      <c r="A122" s="10">
        <v>45760</v>
      </c>
      <c r="B122" s="2" t="str">
        <f t="shared" si="4"/>
        <v>Apr-2025</v>
      </c>
      <c r="C122" s="2" t="str">
        <f t="shared" si="5"/>
        <v>Q1</v>
      </c>
      <c r="D122" s="2" t="s">
        <v>28</v>
      </c>
      <c r="E122" s="11" t="s">
        <v>91</v>
      </c>
      <c r="F122" s="11" t="s">
        <v>38</v>
      </c>
      <c r="G122" s="11" t="s">
        <v>503</v>
      </c>
      <c r="H122" s="11" t="s">
        <v>41</v>
      </c>
      <c r="I122" s="12">
        <v>0.03</v>
      </c>
      <c r="J122" s="12">
        <v>5</v>
      </c>
      <c r="K122" s="12">
        <v>60.84</v>
      </c>
      <c r="L122" s="12">
        <v>304.2</v>
      </c>
      <c r="M122" s="12">
        <v>-11.68</v>
      </c>
      <c r="N122" s="12">
        <v>0</v>
      </c>
      <c r="O122" s="12">
        <v>38.027585999999999</v>
      </c>
      <c r="P122" s="12">
        <v>330.54758600000002</v>
      </c>
    </row>
    <row r="123" spans="1:16" ht="14.5" x14ac:dyDescent="0.25">
      <c r="A123" s="10">
        <v>45760</v>
      </c>
      <c r="B123" s="2" t="str">
        <f t="shared" si="4"/>
        <v>Apr-2025</v>
      </c>
      <c r="C123" s="2" t="str">
        <f t="shared" si="5"/>
        <v>Q1</v>
      </c>
      <c r="D123" s="2" t="s">
        <v>28</v>
      </c>
      <c r="E123" s="11" t="s">
        <v>91</v>
      </c>
      <c r="F123" s="11" t="s">
        <v>38</v>
      </c>
      <c r="G123" s="11" t="s">
        <v>503</v>
      </c>
      <c r="H123" s="11" t="s">
        <v>46</v>
      </c>
      <c r="I123" s="12">
        <v>0.04</v>
      </c>
      <c r="J123" s="12">
        <v>5</v>
      </c>
      <c r="K123" s="12">
        <v>121.69</v>
      </c>
      <c r="L123" s="12">
        <v>608.44999999999993</v>
      </c>
      <c r="M123" s="12">
        <v>-23.36</v>
      </c>
      <c r="N123" s="12">
        <v>0</v>
      </c>
      <c r="O123" s="12">
        <v>76.061672000000002</v>
      </c>
      <c r="P123" s="12">
        <v>661.15167199999996</v>
      </c>
    </row>
    <row r="124" spans="1:16" ht="14.5" x14ac:dyDescent="0.25">
      <c r="A124" s="10">
        <v>45760</v>
      </c>
      <c r="B124" s="2" t="str">
        <f t="shared" si="4"/>
        <v>Apr-2025</v>
      </c>
      <c r="C124" s="2" t="str">
        <f t="shared" si="5"/>
        <v>Q1</v>
      </c>
      <c r="D124" s="2" t="s">
        <v>28</v>
      </c>
      <c r="E124" s="11" t="s">
        <v>91</v>
      </c>
      <c r="F124" s="11" t="s">
        <v>38</v>
      </c>
      <c r="G124" s="11" t="s">
        <v>503</v>
      </c>
      <c r="H124" s="11" t="s">
        <v>87</v>
      </c>
      <c r="I124" s="12">
        <v>0.03</v>
      </c>
      <c r="J124" s="12">
        <v>5</v>
      </c>
      <c r="K124" s="12">
        <v>114.93</v>
      </c>
      <c r="L124" s="12">
        <v>574.65</v>
      </c>
      <c r="M124" s="12">
        <v>-22.07</v>
      </c>
      <c r="N124" s="12">
        <v>0</v>
      </c>
      <c r="O124" s="12">
        <v>71.83537299999999</v>
      </c>
      <c r="P124" s="12">
        <v>624.41537300000005</v>
      </c>
    </row>
    <row r="125" spans="1:16" ht="14.5" x14ac:dyDescent="0.25">
      <c r="A125" s="10">
        <v>45760</v>
      </c>
      <c r="B125" s="2" t="str">
        <f t="shared" si="4"/>
        <v>Apr-2025</v>
      </c>
      <c r="C125" s="2" t="str">
        <f t="shared" si="5"/>
        <v>Q1</v>
      </c>
      <c r="D125" s="2" t="s">
        <v>28</v>
      </c>
      <c r="E125" s="11" t="s">
        <v>91</v>
      </c>
      <c r="F125" s="11" t="s">
        <v>38</v>
      </c>
      <c r="G125" s="11" t="s">
        <v>505</v>
      </c>
      <c r="H125" s="11" t="s">
        <v>40</v>
      </c>
      <c r="I125" s="12">
        <v>0.03</v>
      </c>
      <c r="J125" s="12">
        <v>5</v>
      </c>
      <c r="K125" s="12">
        <v>94.65</v>
      </c>
      <c r="L125" s="12">
        <v>473.25</v>
      </c>
      <c r="M125" s="12">
        <v>-18.170000000000002</v>
      </c>
      <c r="N125" s="12">
        <v>0</v>
      </c>
      <c r="O125" s="12">
        <v>59.160378000000001</v>
      </c>
      <c r="P125" s="12">
        <v>514.24037799999996</v>
      </c>
    </row>
    <row r="126" spans="1:16" ht="14.5" x14ac:dyDescent="0.25">
      <c r="A126" s="10">
        <v>45760</v>
      </c>
      <c r="B126" s="2" t="str">
        <f t="shared" si="4"/>
        <v>Apr-2025</v>
      </c>
      <c r="C126" s="2" t="str">
        <f t="shared" si="5"/>
        <v>Q1</v>
      </c>
      <c r="D126" s="2" t="s">
        <v>28</v>
      </c>
      <c r="E126" s="11" t="s">
        <v>91</v>
      </c>
      <c r="F126" s="11" t="s">
        <v>38</v>
      </c>
      <c r="G126" s="11" t="s">
        <v>503</v>
      </c>
      <c r="H126" s="11" t="s">
        <v>42</v>
      </c>
      <c r="I126" s="12">
        <v>0.04</v>
      </c>
      <c r="J126" s="12">
        <v>5</v>
      </c>
      <c r="K126" s="12">
        <v>141.97</v>
      </c>
      <c r="L126" s="12">
        <v>709.84999999999991</v>
      </c>
      <c r="M126" s="12">
        <v>-27.26</v>
      </c>
      <c r="N126" s="12">
        <v>0</v>
      </c>
      <c r="O126" s="12">
        <v>88.736666999999997</v>
      </c>
      <c r="P126" s="12">
        <v>771.32666700000004</v>
      </c>
    </row>
    <row r="127" spans="1:16" ht="14.5" x14ac:dyDescent="0.25">
      <c r="A127" s="10">
        <v>45760</v>
      </c>
      <c r="B127" s="2" t="str">
        <f t="shared" si="4"/>
        <v>Apr-2025</v>
      </c>
      <c r="C127" s="2" t="str">
        <f t="shared" si="5"/>
        <v>Q1</v>
      </c>
      <c r="D127" s="2" t="s">
        <v>28</v>
      </c>
      <c r="E127" s="11" t="s">
        <v>91</v>
      </c>
      <c r="F127" s="11" t="s">
        <v>38</v>
      </c>
      <c r="G127" s="11" t="s">
        <v>505</v>
      </c>
      <c r="H127" s="11" t="s">
        <v>55</v>
      </c>
      <c r="I127" s="12">
        <v>0.04</v>
      </c>
      <c r="J127" s="12">
        <v>5</v>
      </c>
      <c r="K127" s="12">
        <v>152.11000000000001</v>
      </c>
      <c r="L127" s="12">
        <v>760.55000000000007</v>
      </c>
      <c r="M127" s="12">
        <v>-29.21</v>
      </c>
      <c r="N127" s="12">
        <v>0</v>
      </c>
      <c r="O127" s="12">
        <v>95.074164999999994</v>
      </c>
      <c r="P127" s="12">
        <v>826.41416500000003</v>
      </c>
    </row>
    <row r="128" spans="1:16" ht="14.5" x14ac:dyDescent="0.25">
      <c r="A128" s="10">
        <v>45760</v>
      </c>
      <c r="B128" s="2" t="str">
        <f t="shared" si="4"/>
        <v>Apr-2025</v>
      </c>
      <c r="C128" s="2" t="str">
        <f t="shared" si="5"/>
        <v>Q1</v>
      </c>
      <c r="D128" s="2" t="s">
        <v>28</v>
      </c>
      <c r="E128" s="11" t="s">
        <v>91</v>
      </c>
      <c r="F128" s="11" t="s">
        <v>38</v>
      </c>
      <c r="G128" s="11" t="s">
        <v>503</v>
      </c>
      <c r="H128" s="11" t="s">
        <v>59</v>
      </c>
      <c r="I128" s="12">
        <v>0.03</v>
      </c>
      <c r="J128" s="12">
        <v>5</v>
      </c>
      <c r="K128" s="12">
        <v>64.23</v>
      </c>
      <c r="L128" s="12">
        <v>321.14999999999998</v>
      </c>
      <c r="M128" s="12">
        <v>-12.33</v>
      </c>
      <c r="N128" s="12">
        <v>0</v>
      </c>
      <c r="O128" s="12">
        <v>40.146584999999995</v>
      </c>
      <c r="P128" s="12">
        <v>348.96658500000001</v>
      </c>
    </row>
    <row r="129" spans="1:16" ht="14.5" x14ac:dyDescent="0.25">
      <c r="A129" s="10">
        <v>45760</v>
      </c>
      <c r="B129" s="2" t="str">
        <f t="shared" si="4"/>
        <v>Apr-2025</v>
      </c>
      <c r="C129" s="2" t="str">
        <f t="shared" si="5"/>
        <v>Q1</v>
      </c>
      <c r="D129" s="2" t="s">
        <v>28</v>
      </c>
      <c r="E129" s="11" t="s">
        <v>91</v>
      </c>
      <c r="F129" s="11" t="s">
        <v>38</v>
      </c>
      <c r="G129" s="11" t="s">
        <v>505</v>
      </c>
      <c r="H129" s="11" t="s">
        <v>62</v>
      </c>
      <c r="I129" s="12">
        <v>0.13</v>
      </c>
      <c r="J129" s="12">
        <v>5</v>
      </c>
      <c r="K129" s="12">
        <v>439.44</v>
      </c>
      <c r="L129" s="12">
        <v>2197.1999999999998</v>
      </c>
      <c r="M129" s="12">
        <v>-84.37</v>
      </c>
      <c r="N129" s="12">
        <v>0</v>
      </c>
      <c r="O129" s="12">
        <v>274.667798</v>
      </c>
      <c r="P129" s="12">
        <v>2387.4977979999999</v>
      </c>
    </row>
    <row r="130" spans="1:16" ht="14.5" x14ac:dyDescent="0.25">
      <c r="A130" s="10">
        <v>45760</v>
      </c>
      <c r="B130" s="2" t="str">
        <f t="shared" si="4"/>
        <v>Apr-2025</v>
      </c>
      <c r="C130" s="2" t="str">
        <f t="shared" si="5"/>
        <v>Q1</v>
      </c>
      <c r="D130" s="2" t="s">
        <v>28</v>
      </c>
      <c r="E130" s="11" t="s">
        <v>91</v>
      </c>
      <c r="F130" s="11" t="s">
        <v>38</v>
      </c>
      <c r="G130" s="11" t="s">
        <v>503</v>
      </c>
      <c r="H130" s="11" t="s">
        <v>48</v>
      </c>
      <c r="I130" s="12">
        <v>0.03</v>
      </c>
      <c r="J130" s="12">
        <v>5</v>
      </c>
      <c r="K130" s="12">
        <v>135.21</v>
      </c>
      <c r="L130" s="12">
        <v>676.05</v>
      </c>
      <c r="M130" s="12">
        <v>-25.96</v>
      </c>
      <c r="N130" s="12">
        <v>0</v>
      </c>
      <c r="O130" s="12">
        <v>84.511668999999998</v>
      </c>
      <c r="P130" s="12">
        <v>734.60166900000002</v>
      </c>
    </row>
    <row r="131" spans="1:16" ht="14.5" x14ac:dyDescent="0.25">
      <c r="A131" s="10">
        <v>45760</v>
      </c>
      <c r="B131" s="2" t="str">
        <f t="shared" si="4"/>
        <v>Apr-2025</v>
      </c>
      <c r="C131" s="2" t="str">
        <f t="shared" si="5"/>
        <v>Q1</v>
      </c>
      <c r="D131" s="2" t="s">
        <v>28</v>
      </c>
      <c r="E131" s="11" t="s">
        <v>91</v>
      </c>
      <c r="F131" s="11" t="s">
        <v>38</v>
      </c>
      <c r="G131" s="11" t="s">
        <v>503</v>
      </c>
      <c r="H131" s="11" t="s">
        <v>57</v>
      </c>
      <c r="I131" s="12">
        <v>0.03</v>
      </c>
      <c r="J131" s="12">
        <v>5</v>
      </c>
      <c r="K131" s="12">
        <v>121.69</v>
      </c>
      <c r="L131" s="12">
        <v>608.44999999999993</v>
      </c>
      <c r="M131" s="12">
        <v>-23.36</v>
      </c>
      <c r="N131" s="12">
        <v>0</v>
      </c>
      <c r="O131" s="12">
        <v>76.061672000000002</v>
      </c>
      <c r="P131" s="12">
        <v>661.15167199999996</v>
      </c>
    </row>
    <row r="132" spans="1:16" ht="14.5" x14ac:dyDescent="0.25">
      <c r="A132" s="10">
        <v>45760</v>
      </c>
      <c r="B132" s="2" t="str">
        <f t="shared" si="4"/>
        <v>Apr-2025</v>
      </c>
      <c r="C132" s="2" t="str">
        <f t="shared" si="5"/>
        <v>Q1</v>
      </c>
      <c r="D132" s="2" t="s">
        <v>28</v>
      </c>
      <c r="E132" s="11" t="s">
        <v>91</v>
      </c>
      <c r="F132" s="11" t="s">
        <v>38</v>
      </c>
      <c r="G132" s="11" t="s">
        <v>503</v>
      </c>
      <c r="H132" s="11" t="s">
        <v>47</v>
      </c>
      <c r="I132" s="12">
        <v>0.04</v>
      </c>
      <c r="J132" s="12">
        <v>5</v>
      </c>
      <c r="K132" s="12">
        <v>121.69</v>
      </c>
      <c r="L132" s="12">
        <v>608.44999999999993</v>
      </c>
      <c r="M132" s="12">
        <v>-23.36</v>
      </c>
      <c r="N132" s="12">
        <v>0</v>
      </c>
      <c r="O132" s="12">
        <v>76.061672000000002</v>
      </c>
      <c r="P132" s="12">
        <v>661.15167199999996</v>
      </c>
    </row>
    <row r="133" spans="1:16" ht="14.5" x14ac:dyDescent="0.25">
      <c r="A133" s="10">
        <v>45760</v>
      </c>
      <c r="B133" s="2" t="str">
        <f t="shared" si="4"/>
        <v>Apr-2025</v>
      </c>
      <c r="C133" s="2" t="str">
        <f t="shared" si="5"/>
        <v>Q1</v>
      </c>
      <c r="D133" s="2" t="s">
        <v>28</v>
      </c>
      <c r="E133" s="11" t="s">
        <v>91</v>
      </c>
      <c r="F133" s="11" t="s">
        <v>38</v>
      </c>
      <c r="G133" s="11" t="s">
        <v>503</v>
      </c>
      <c r="H133" s="11" t="s">
        <v>63</v>
      </c>
      <c r="I133" s="12">
        <v>0.06</v>
      </c>
      <c r="J133" s="12">
        <v>5</v>
      </c>
      <c r="K133" s="12">
        <v>189.3</v>
      </c>
      <c r="L133" s="12">
        <v>946.5</v>
      </c>
      <c r="M133" s="12">
        <v>-36.35</v>
      </c>
      <c r="N133" s="12">
        <v>0</v>
      </c>
      <c r="O133" s="12">
        <v>118.319456</v>
      </c>
      <c r="P133" s="12">
        <v>1028.469456</v>
      </c>
    </row>
    <row r="134" spans="1:16" ht="14.5" x14ac:dyDescent="0.25">
      <c r="A134" s="10">
        <v>45760</v>
      </c>
      <c r="B134" s="2" t="str">
        <f t="shared" si="4"/>
        <v>Apr-2025</v>
      </c>
      <c r="C134" s="2" t="str">
        <f t="shared" si="5"/>
        <v>Q1</v>
      </c>
      <c r="D134" s="2" t="s">
        <v>28</v>
      </c>
      <c r="E134" s="11" t="s">
        <v>91</v>
      </c>
      <c r="F134" s="11" t="s">
        <v>38</v>
      </c>
      <c r="G134" s="11" t="s">
        <v>503</v>
      </c>
      <c r="H134" s="11" t="s">
        <v>52</v>
      </c>
      <c r="I134" s="12">
        <v>0.03</v>
      </c>
      <c r="J134" s="12">
        <v>5</v>
      </c>
      <c r="K134" s="12">
        <v>70.989999999999995</v>
      </c>
      <c r="L134" s="12">
        <v>354.95</v>
      </c>
      <c r="M134" s="12">
        <v>-13.63</v>
      </c>
      <c r="N134" s="12">
        <v>0</v>
      </c>
      <c r="O134" s="12">
        <v>44.371583999999999</v>
      </c>
      <c r="P134" s="12">
        <v>385.69158399999998</v>
      </c>
    </row>
    <row r="135" spans="1:16" ht="14.5" x14ac:dyDescent="0.25">
      <c r="A135" s="10">
        <v>45760</v>
      </c>
      <c r="B135" s="2" t="str">
        <f t="shared" si="4"/>
        <v>Apr-2025</v>
      </c>
      <c r="C135" s="2" t="str">
        <f t="shared" si="5"/>
        <v>Q1</v>
      </c>
      <c r="D135" s="2" t="s">
        <v>28</v>
      </c>
      <c r="E135" s="11" t="s">
        <v>91</v>
      </c>
      <c r="F135" s="11" t="s">
        <v>38</v>
      </c>
      <c r="G135" s="11" t="s">
        <v>503</v>
      </c>
      <c r="H135" s="11" t="s">
        <v>51</v>
      </c>
      <c r="I135" s="12">
        <v>0.03</v>
      </c>
      <c r="J135" s="12">
        <v>5</v>
      </c>
      <c r="K135" s="12">
        <v>64.23</v>
      </c>
      <c r="L135" s="12">
        <v>321.14999999999998</v>
      </c>
      <c r="M135" s="12">
        <v>-12.33</v>
      </c>
      <c r="N135" s="12">
        <v>0</v>
      </c>
      <c r="O135" s="12">
        <v>40.146584999999995</v>
      </c>
      <c r="P135" s="12">
        <v>348.96658500000001</v>
      </c>
    </row>
    <row r="136" spans="1:16" ht="14.5" x14ac:dyDescent="0.25">
      <c r="A136" s="10">
        <v>45760</v>
      </c>
      <c r="B136" s="2" t="str">
        <f t="shared" si="4"/>
        <v>Apr-2025</v>
      </c>
      <c r="C136" s="2" t="str">
        <f t="shared" si="5"/>
        <v>Q1</v>
      </c>
      <c r="D136" s="2" t="s">
        <v>28</v>
      </c>
      <c r="E136" s="11" t="s">
        <v>92</v>
      </c>
      <c r="F136" s="11" t="s">
        <v>38</v>
      </c>
      <c r="G136" s="11" t="s">
        <v>504</v>
      </c>
      <c r="H136" s="11" t="s">
        <v>69</v>
      </c>
      <c r="I136" s="12">
        <v>0.05</v>
      </c>
      <c r="J136" s="12">
        <v>5</v>
      </c>
      <c r="K136" s="12">
        <v>189.3</v>
      </c>
      <c r="L136" s="12">
        <v>946.5</v>
      </c>
      <c r="M136" s="12">
        <v>-36.35</v>
      </c>
      <c r="N136" s="12">
        <v>0</v>
      </c>
      <c r="O136" s="12">
        <v>118.319518</v>
      </c>
      <c r="P136" s="12">
        <v>1028.4695180000001</v>
      </c>
    </row>
    <row r="137" spans="1:16" ht="14.5" x14ac:dyDescent="0.25">
      <c r="A137" s="10">
        <v>45760</v>
      </c>
      <c r="B137" s="2" t="str">
        <f t="shared" si="4"/>
        <v>Apr-2025</v>
      </c>
      <c r="C137" s="2" t="str">
        <f t="shared" si="5"/>
        <v>Q1</v>
      </c>
      <c r="D137" s="2" t="s">
        <v>28</v>
      </c>
      <c r="E137" s="11" t="s">
        <v>92</v>
      </c>
      <c r="F137" s="11" t="s">
        <v>38</v>
      </c>
      <c r="G137" s="11" t="s">
        <v>505</v>
      </c>
      <c r="H137" s="11" t="s">
        <v>50</v>
      </c>
      <c r="I137" s="12">
        <v>0.06</v>
      </c>
      <c r="J137" s="12">
        <v>5</v>
      </c>
      <c r="K137" s="12">
        <v>169.01</v>
      </c>
      <c r="L137" s="12">
        <v>845.05</v>
      </c>
      <c r="M137" s="12">
        <v>-32.450000000000003</v>
      </c>
      <c r="N137" s="12">
        <v>0</v>
      </c>
      <c r="O137" s="12">
        <v>105.63801599999999</v>
      </c>
      <c r="P137" s="12">
        <v>918.23801600000002</v>
      </c>
    </row>
    <row r="138" spans="1:16" ht="14.5" x14ac:dyDescent="0.25">
      <c r="A138" s="10">
        <v>45760</v>
      </c>
      <c r="B138" s="2" t="str">
        <f t="shared" si="4"/>
        <v>Apr-2025</v>
      </c>
      <c r="C138" s="2" t="str">
        <f t="shared" si="5"/>
        <v>Q1</v>
      </c>
      <c r="D138" s="2" t="s">
        <v>28</v>
      </c>
      <c r="E138" s="11" t="s">
        <v>92</v>
      </c>
      <c r="F138" s="11" t="s">
        <v>38</v>
      </c>
      <c r="G138" s="11" t="s">
        <v>504</v>
      </c>
      <c r="H138" s="11" t="s">
        <v>66</v>
      </c>
      <c r="I138" s="12">
        <v>0.05</v>
      </c>
      <c r="J138" s="12">
        <v>5</v>
      </c>
      <c r="K138" s="12">
        <v>108.17</v>
      </c>
      <c r="L138" s="12">
        <v>540.85</v>
      </c>
      <c r="M138" s="12">
        <v>-20.77</v>
      </c>
      <c r="N138" s="12">
        <v>0</v>
      </c>
      <c r="O138" s="12">
        <v>67.610410000000002</v>
      </c>
      <c r="P138" s="12">
        <v>587.69041000000004</v>
      </c>
    </row>
    <row r="139" spans="1:16" ht="14.5" x14ac:dyDescent="0.25">
      <c r="A139" s="10">
        <v>45760</v>
      </c>
      <c r="B139" s="2" t="str">
        <f t="shared" si="4"/>
        <v>Apr-2025</v>
      </c>
      <c r="C139" s="2" t="str">
        <f t="shared" si="5"/>
        <v>Q1</v>
      </c>
      <c r="D139" s="2" t="s">
        <v>28</v>
      </c>
      <c r="E139" s="11" t="s">
        <v>92</v>
      </c>
      <c r="F139" s="11" t="s">
        <v>38</v>
      </c>
      <c r="G139" s="11" t="s">
        <v>507</v>
      </c>
      <c r="H139" s="11" t="s">
        <v>90</v>
      </c>
      <c r="I139" s="12">
        <v>0.04</v>
      </c>
      <c r="J139" s="12">
        <v>5</v>
      </c>
      <c r="K139" s="12">
        <v>57.46</v>
      </c>
      <c r="L139" s="12">
        <v>287.3</v>
      </c>
      <c r="M139" s="12">
        <v>-11.03</v>
      </c>
      <c r="N139" s="12">
        <v>0</v>
      </c>
      <c r="O139" s="12">
        <v>35.915104999999997</v>
      </c>
      <c r="P139" s="12">
        <v>312.18510500000002</v>
      </c>
    </row>
    <row r="140" spans="1:16" ht="14.5" x14ac:dyDescent="0.25">
      <c r="A140" s="10">
        <v>45760</v>
      </c>
      <c r="B140" s="2" t="str">
        <f t="shared" si="4"/>
        <v>Apr-2025</v>
      </c>
      <c r="C140" s="2" t="str">
        <f t="shared" si="5"/>
        <v>Q1</v>
      </c>
      <c r="D140" s="2" t="s">
        <v>28</v>
      </c>
      <c r="E140" s="11" t="s">
        <v>92</v>
      </c>
      <c r="F140" s="11" t="s">
        <v>38</v>
      </c>
      <c r="G140" s="11" t="s">
        <v>505</v>
      </c>
      <c r="H140" s="11" t="s">
        <v>56</v>
      </c>
      <c r="I140" s="12">
        <v>0.04</v>
      </c>
      <c r="J140" s="12">
        <v>5</v>
      </c>
      <c r="K140" s="12">
        <v>57.46</v>
      </c>
      <c r="L140" s="12">
        <v>287.3</v>
      </c>
      <c r="M140" s="12">
        <v>-11.03</v>
      </c>
      <c r="N140" s="12">
        <v>0</v>
      </c>
      <c r="O140" s="12">
        <v>35.915104999999997</v>
      </c>
      <c r="P140" s="12">
        <v>312.18510500000002</v>
      </c>
    </row>
    <row r="141" spans="1:16" ht="14.5" x14ac:dyDescent="0.25">
      <c r="A141" s="10">
        <v>45760</v>
      </c>
      <c r="B141" s="2" t="str">
        <f t="shared" si="4"/>
        <v>Apr-2025</v>
      </c>
      <c r="C141" s="2" t="str">
        <f t="shared" si="5"/>
        <v>Q1</v>
      </c>
      <c r="D141" s="2" t="s">
        <v>28</v>
      </c>
      <c r="E141" s="11" t="s">
        <v>92</v>
      </c>
      <c r="F141" s="11" t="s">
        <v>38</v>
      </c>
      <c r="G141" s="11" t="s">
        <v>504</v>
      </c>
      <c r="H141" s="11" t="s">
        <v>67</v>
      </c>
      <c r="I141" s="12">
        <v>0.13</v>
      </c>
      <c r="J141" s="12">
        <v>5</v>
      </c>
      <c r="K141" s="12">
        <v>459.72</v>
      </c>
      <c r="L141" s="12">
        <v>2298.6</v>
      </c>
      <c r="M141" s="12">
        <v>-88.27</v>
      </c>
      <c r="N141" s="12">
        <v>0</v>
      </c>
      <c r="O141" s="12">
        <v>287.34294399999999</v>
      </c>
      <c r="P141" s="12">
        <v>2497.6729439999999</v>
      </c>
    </row>
    <row r="142" spans="1:16" ht="14.5" x14ac:dyDescent="0.25">
      <c r="A142" s="10">
        <v>45760</v>
      </c>
      <c r="B142" s="2" t="str">
        <f t="shared" si="4"/>
        <v>Apr-2025</v>
      </c>
      <c r="C142" s="2" t="str">
        <f t="shared" si="5"/>
        <v>Q1</v>
      </c>
      <c r="D142" s="2" t="s">
        <v>28</v>
      </c>
      <c r="E142" s="11" t="s">
        <v>92</v>
      </c>
      <c r="F142" s="11" t="s">
        <v>38</v>
      </c>
      <c r="G142" s="11" t="s">
        <v>504</v>
      </c>
      <c r="H142" s="11" t="s">
        <v>68</v>
      </c>
      <c r="I142" s="12">
        <v>0.13</v>
      </c>
      <c r="J142" s="12">
        <v>5</v>
      </c>
      <c r="K142" s="12">
        <v>260.27999999999997</v>
      </c>
      <c r="L142" s="12">
        <v>1301.4000000000001</v>
      </c>
      <c r="M142" s="12">
        <v>-49.97</v>
      </c>
      <c r="N142" s="12">
        <v>0</v>
      </c>
      <c r="O142" s="12">
        <v>162.68592500000003</v>
      </c>
      <c r="P142" s="12">
        <v>1414.1159250000001</v>
      </c>
    </row>
    <row r="143" spans="1:16" ht="14.5" x14ac:dyDescent="0.25">
      <c r="A143" s="10">
        <v>45760</v>
      </c>
      <c r="B143" s="2" t="str">
        <f t="shared" si="4"/>
        <v>Apr-2025</v>
      </c>
      <c r="C143" s="2" t="str">
        <f t="shared" si="5"/>
        <v>Q1</v>
      </c>
      <c r="D143" s="2" t="s">
        <v>28</v>
      </c>
      <c r="E143" s="11" t="s">
        <v>92</v>
      </c>
      <c r="F143" s="11" t="s">
        <v>38</v>
      </c>
      <c r="G143" s="11" t="s">
        <v>506</v>
      </c>
      <c r="H143" s="11" t="s">
        <v>54</v>
      </c>
      <c r="I143" s="12">
        <v>0.1</v>
      </c>
      <c r="J143" s="12">
        <v>5</v>
      </c>
      <c r="K143" s="12">
        <v>310.99</v>
      </c>
      <c r="L143" s="12">
        <v>1554.95</v>
      </c>
      <c r="M143" s="12">
        <v>-59.71</v>
      </c>
      <c r="N143" s="12">
        <v>0</v>
      </c>
      <c r="O143" s="12">
        <v>194.38122900000002</v>
      </c>
      <c r="P143" s="12">
        <v>1689.6212290000001</v>
      </c>
    </row>
    <row r="144" spans="1:16" ht="14.5" x14ac:dyDescent="0.25">
      <c r="A144" s="10">
        <v>45760</v>
      </c>
      <c r="B144" s="2" t="str">
        <f t="shared" si="4"/>
        <v>Apr-2025</v>
      </c>
      <c r="C144" s="2" t="str">
        <f t="shared" si="5"/>
        <v>Q1</v>
      </c>
      <c r="D144" s="2" t="s">
        <v>28</v>
      </c>
      <c r="E144" s="11" t="s">
        <v>92</v>
      </c>
      <c r="F144" s="11" t="s">
        <v>38</v>
      </c>
      <c r="G144" s="11" t="s">
        <v>506</v>
      </c>
      <c r="H144" s="11" t="s">
        <v>58</v>
      </c>
      <c r="I144" s="12">
        <v>7.0000000000000007E-2</v>
      </c>
      <c r="J144" s="12">
        <v>5</v>
      </c>
      <c r="K144" s="12">
        <v>148.72999999999999</v>
      </c>
      <c r="L144" s="12">
        <v>743.65</v>
      </c>
      <c r="M144" s="12">
        <v>-28.56</v>
      </c>
      <c r="N144" s="12">
        <v>0</v>
      </c>
      <c r="O144" s="12">
        <v>92.961713999999986</v>
      </c>
      <c r="P144" s="12">
        <v>808.05171399999995</v>
      </c>
    </row>
    <row r="145" spans="1:16" ht="14.5" x14ac:dyDescent="0.25">
      <c r="A145" s="10">
        <v>45760</v>
      </c>
      <c r="B145" s="2" t="str">
        <f t="shared" si="4"/>
        <v>Apr-2025</v>
      </c>
      <c r="C145" s="2" t="str">
        <f t="shared" si="5"/>
        <v>Q1</v>
      </c>
      <c r="D145" s="2" t="s">
        <v>28</v>
      </c>
      <c r="E145" s="11" t="s">
        <v>92</v>
      </c>
      <c r="F145" s="11" t="s">
        <v>38</v>
      </c>
      <c r="G145" s="11" t="s">
        <v>503</v>
      </c>
      <c r="H145" s="11" t="s">
        <v>89</v>
      </c>
      <c r="I145" s="12">
        <v>0.04</v>
      </c>
      <c r="J145" s="12">
        <v>5</v>
      </c>
      <c r="K145" s="12">
        <v>118.31</v>
      </c>
      <c r="L145" s="12">
        <v>591.55000000000007</v>
      </c>
      <c r="M145" s="12">
        <v>-22.72</v>
      </c>
      <c r="N145" s="12">
        <v>0</v>
      </c>
      <c r="O145" s="12">
        <v>73.947911000000005</v>
      </c>
      <c r="P145" s="12">
        <v>642.77791100000002</v>
      </c>
    </row>
    <row r="146" spans="1:16" ht="14.5" x14ac:dyDescent="0.25">
      <c r="A146" s="10">
        <v>45760</v>
      </c>
      <c r="B146" s="2" t="str">
        <f t="shared" si="4"/>
        <v>Apr-2025</v>
      </c>
      <c r="C146" s="2" t="str">
        <f t="shared" si="5"/>
        <v>Q1</v>
      </c>
      <c r="D146" s="2" t="s">
        <v>28</v>
      </c>
      <c r="E146" s="11" t="s">
        <v>92</v>
      </c>
      <c r="F146" s="11" t="s">
        <v>38</v>
      </c>
      <c r="G146" s="11" t="s">
        <v>506</v>
      </c>
      <c r="H146" s="11" t="s">
        <v>39</v>
      </c>
      <c r="I146" s="12">
        <v>7.0000000000000007E-2</v>
      </c>
      <c r="J146" s="12">
        <v>5</v>
      </c>
      <c r="K146" s="12">
        <v>131.83000000000001</v>
      </c>
      <c r="L146" s="12">
        <v>659.15000000000009</v>
      </c>
      <c r="M146" s="12">
        <v>-25.31</v>
      </c>
      <c r="N146" s="12">
        <v>0</v>
      </c>
      <c r="O146" s="12">
        <v>82.399212000000006</v>
      </c>
      <c r="P146" s="12">
        <v>716.23921199999995</v>
      </c>
    </row>
    <row r="147" spans="1:16" ht="14.5" x14ac:dyDescent="0.25">
      <c r="A147" s="10">
        <v>45760</v>
      </c>
      <c r="B147" s="2" t="str">
        <f t="shared" si="4"/>
        <v>Apr-2025</v>
      </c>
      <c r="C147" s="2" t="str">
        <f t="shared" si="5"/>
        <v>Q1</v>
      </c>
      <c r="D147" s="2" t="s">
        <v>28</v>
      </c>
      <c r="E147" s="11" t="s">
        <v>92</v>
      </c>
      <c r="F147" s="11" t="s">
        <v>38</v>
      </c>
      <c r="G147" s="11" t="s">
        <v>507</v>
      </c>
      <c r="H147" s="11" t="s">
        <v>60</v>
      </c>
      <c r="I147" s="12">
        <v>0.08</v>
      </c>
      <c r="J147" s="12">
        <v>5</v>
      </c>
      <c r="K147" s="12">
        <v>98.03</v>
      </c>
      <c r="L147" s="12">
        <v>490.15</v>
      </c>
      <c r="M147" s="12">
        <v>-18.82</v>
      </c>
      <c r="N147" s="12">
        <v>0</v>
      </c>
      <c r="O147" s="12">
        <v>61.272908999999999</v>
      </c>
      <c r="P147" s="12">
        <v>532.60290899999995</v>
      </c>
    </row>
    <row r="148" spans="1:16" ht="14.5" x14ac:dyDescent="0.25">
      <c r="A148" s="10">
        <v>45760</v>
      </c>
      <c r="B148" s="2" t="str">
        <f t="shared" si="4"/>
        <v>Apr-2025</v>
      </c>
      <c r="C148" s="2" t="str">
        <f t="shared" si="5"/>
        <v>Q1</v>
      </c>
      <c r="D148" s="2" t="s">
        <v>28</v>
      </c>
      <c r="E148" s="11" t="s">
        <v>93</v>
      </c>
      <c r="F148" s="11" t="s">
        <v>38</v>
      </c>
      <c r="G148" s="11" t="s">
        <v>504</v>
      </c>
      <c r="H148" s="11" t="s">
        <v>53</v>
      </c>
      <c r="I148" s="12">
        <v>0.05</v>
      </c>
      <c r="J148" s="12">
        <v>5</v>
      </c>
      <c r="K148" s="12">
        <v>129.88</v>
      </c>
      <c r="L148" s="12">
        <v>649.4</v>
      </c>
      <c r="M148" s="12">
        <v>-24.94</v>
      </c>
      <c r="N148" s="12">
        <v>0</v>
      </c>
      <c r="O148" s="12">
        <v>0</v>
      </c>
      <c r="P148" s="12">
        <v>624.46</v>
      </c>
    </row>
    <row r="149" spans="1:16" ht="14.5" x14ac:dyDescent="0.25">
      <c r="A149" s="10">
        <v>45760</v>
      </c>
      <c r="B149" s="2" t="str">
        <f t="shared" si="4"/>
        <v>Apr-2025</v>
      </c>
      <c r="C149" s="2" t="str">
        <f t="shared" si="5"/>
        <v>Q1</v>
      </c>
      <c r="D149" s="2" t="s">
        <v>28</v>
      </c>
      <c r="E149" s="11" t="s">
        <v>93</v>
      </c>
      <c r="F149" s="11" t="s">
        <v>38</v>
      </c>
      <c r="G149" s="11" t="s">
        <v>504</v>
      </c>
      <c r="H149" s="11" t="s">
        <v>61</v>
      </c>
      <c r="I149" s="12">
        <v>0.13</v>
      </c>
      <c r="J149" s="12">
        <v>5</v>
      </c>
      <c r="K149" s="12">
        <v>309.39999999999998</v>
      </c>
      <c r="L149" s="12">
        <v>1547</v>
      </c>
      <c r="M149" s="12">
        <v>-59.4</v>
      </c>
      <c r="N149" s="12">
        <v>0</v>
      </c>
      <c r="O149" s="12">
        <v>0</v>
      </c>
      <c r="P149" s="12">
        <v>1487.6</v>
      </c>
    </row>
    <row r="150" spans="1:16" ht="14.5" x14ac:dyDescent="0.25">
      <c r="A150" s="10">
        <v>45762</v>
      </c>
      <c r="B150" s="2" t="str">
        <f t="shared" si="4"/>
        <v>Apr-2025</v>
      </c>
      <c r="C150" s="2" t="str">
        <f t="shared" si="5"/>
        <v>Q1</v>
      </c>
      <c r="D150" s="2" t="s">
        <v>28</v>
      </c>
      <c r="E150" s="11" t="s">
        <v>94</v>
      </c>
      <c r="F150" s="11" t="s">
        <v>95</v>
      </c>
      <c r="G150" s="11" t="s">
        <v>503</v>
      </c>
      <c r="H150" s="11" t="s">
        <v>42</v>
      </c>
      <c r="I150" s="12">
        <v>1</v>
      </c>
      <c r="J150" s="12">
        <v>120</v>
      </c>
      <c r="K150" s="12">
        <v>141.97</v>
      </c>
      <c r="L150" s="12">
        <v>17036.400000000001</v>
      </c>
      <c r="M150" s="12">
        <v>-654.20000000000005</v>
      </c>
      <c r="N150" s="12">
        <v>0</v>
      </c>
      <c r="O150" s="12">
        <v>2129.6860619999998</v>
      </c>
      <c r="P150" s="12">
        <v>18511.886062000001</v>
      </c>
    </row>
    <row r="151" spans="1:16" ht="14.5" x14ac:dyDescent="0.25">
      <c r="A151" s="10">
        <v>45762</v>
      </c>
      <c r="B151" s="2" t="str">
        <f t="shared" si="4"/>
        <v>Apr-2025</v>
      </c>
      <c r="C151" s="2" t="str">
        <f t="shared" si="5"/>
        <v>Q1</v>
      </c>
      <c r="D151" s="2" t="s">
        <v>28</v>
      </c>
      <c r="E151" s="11" t="s">
        <v>94</v>
      </c>
      <c r="F151" s="11" t="s">
        <v>95</v>
      </c>
      <c r="G151" s="11" t="s">
        <v>503</v>
      </c>
      <c r="H151" s="11" t="s">
        <v>89</v>
      </c>
      <c r="I151" s="12">
        <v>2</v>
      </c>
      <c r="J151" s="12">
        <v>240</v>
      </c>
      <c r="K151" s="12">
        <v>118.31</v>
      </c>
      <c r="L151" s="12">
        <v>28394.399999999998</v>
      </c>
      <c r="M151" s="12">
        <v>-1090.3399999999999</v>
      </c>
      <c r="N151" s="12">
        <v>0</v>
      </c>
      <c r="O151" s="12">
        <v>3549.5279030000002</v>
      </c>
      <c r="P151" s="12">
        <v>30853.587903</v>
      </c>
    </row>
    <row r="152" spans="1:16" ht="14.5" x14ac:dyDescent="0.25">
      <c r="A152" s="10">
        <v>45762</v>
      </c>
      <c r="B152" s="2" t="str">
        <f t="shared" si="4"/>
        <v>Apr-2025</v>
      </c>
      <c r="C152" s="2" t="str">
        <f t="shared" si="5"/>
        <v>Q1</v>
      </c>
      <c r="D152" s="2" t="s">
        <v>28</v>
      </c>
      <c r="E152" s="11" t="s">
        <v>94</v>
      </c>
      <c r="F152" s="11" t="s">
        <v>95</v>
      </c>
      <c r="G152" s="11" t="s">
        <v>503</v>
      </c>
      <c r="H152" s="11" t="s">
        <v>57</v>
      </c>
      <c r="I152" s="12">
        <v>1</v>
      </c>
      <c r="J152" s="12">
        <v>180</v>
      </c>
      <c r="K152" s="12">
        <v>121.69</v>
      </c>
      <c r="L152" s="12">
        <v>21904.199999999997</v>
      </c>
      <c r="M152" s="12">
        <v>-841.12</v>
      </c>
      <c r="N152" s="12">
        <v>0</v>
      </c>
      <c r="O152" s="12">
        <v>2738.20048</v>
      </c>
      <c r="P152" s="12">
        <v>23801.280480000001</v>
      </c>
    </row>
    <row r="153" spans="1:16" ht="14.5" x14ac:dyDescent="0.25">
      <c r="A153" s="10">
        <v>45762</v>
      </c>
      <c r="B153" s="2" t="str">
        <f t="shared" si="4"/>
        <v>Apr-2025</v>
      </c>
      <c r="C153" s="2" t="str">
        <f t="shared" si="5"/>
        <v>Q1</v>
      </c>
      <c r="D153" s="2" t="s">
        <v>28</v>
      </c>
      <c r="E153" s="11" t="s">
        <v>94</v>
      </c>
      <c r="F153" s="11" t="s">
        <v>95</v>
      </c>
      <c r="G153" s="11" t="s">
        <v>504</v>
      </c>
      <c r="H153" s="11" t="s">
        <v>67</v>
      </c>
      <c r="I153" s="12">
        <v>1</v>
      </c>
      <c r="J153" s="12">
        <v>40</v>
      </c>
      <c r="K153" s="12">
        <v>459.72</v>
      </c>
      <c r="L153" s="12">
        <v>18388.8</v>
      </c>
      <c r="M153" s="12">
        <v>-706.12999999999988</v>
      </c>
      <c r="N153" s="12">
        <v>0</v>
      </c>
      <c r="O153" s="12">
        <v>2298.747167</v>
      </c>
      <c r="P153" s="12">
        <v>19981.417167</v>
      </c>
    </row>
    <row r="154" spans="1:16" ht="14.5" x14ac:dyDescent="0.25">
      <c r="A154" s="10">
        <v>45762</v>
      </c>
      <c r="B154" s="2" t="str">
        <f t="shared" si="4"/>
        <v>Apr-2025</v>
      </c>
      <c r="C154" s="2" t="str">
        <f t="shared" si="5"/>
        <v>Q1</v>
      </c>
      <c r="D154" s="2" t="s">
        <v>28</v>
      </c>
      <c r="E154" s="11" t="s">
        <v>94</v>
      </c>
      <c r="F154" s="11" t="s">
        <v>95</v>
      </c>
      <c r="G154" s="11" t="s">
        <v>505</v>
      </c>
      <c r="H154" s="11" t="s">
        <v>50</v>
      </c>
      <c r="I154" s="12">
        <v>1</v>
      </c>
      <c r="J154" s="12">
        <v>80</v>
      </c>
      <c r="K154" s="12">
        <v>169.01</v>
      </c>
      <c r="L154" s="12">
        <v>13520.8</v>
      </c>
      <c r="M154" s="12">
        <v>-519.20000000000005</v>
      </c>
      <c r="N154" s="12">
        <v>0</v>
      </c>
      <c r="O154" s="12">
        <v>1690.2080490000001</v>
      </c>
      <c r="P154" s="12">
        <v>14691.808048999999</v>
      </c>
    </row>
    <row r="155" spans="1:16" ht="14.5" x14ac:dyDescent="0.25">
      <c r="A155" s="10">
        <v>45762</v>
      </c>
      <c r="B155" s="2" t="str">
        <f t="shared" si="4"/>
        <v>Apr-2025</v>
      </c>
      <c r="C155" s="2" t="str">
        <f t="shared" si="5"/>
        <v>Q1</v>
      </c>
      <c r="D155" s="2" t="s">
        <v>28</v>
      </c>
      <c r="E155" s="11" t="s">
        <v>94</v>
      </c>
      <c r="F155" s="11" t="s">
        <v>95</v>
      </c>
      <c r="G155" s="11" t="s">
        <v>506</v>
      </c>
      <c r="H155" s="11" t="s">
        <v>39</v>
      </c>
      <c r="I155" s="12">
        <v>1</v>
      </c>
      <c r="J155" s="12">
        <v>72</v>
      </c>
      <c r="K155" s="12">
        <v>131.83000000000001</v>
      </c>
      <c r="L155" s="12">
        <v>9491.76</v>
      </c>
      <c r="M155" s="12">
        <v>-364.48</v>
      </c>
      <c r="N155" s="12">
        <v>0</v>
      </c>
      <c r="O155" s="12">
        <v>1186.546435</v>
      </c>
      <c r="P155" s="12">
        <v>10313.826435000001</v>
      </c>
    </row>
    <row r="156" spans="1:16" ht="14.5" x14ac:dyDescent="0.25">
      <c r="A156" s="10">
        <v>45762</v>
      </c>
      <c r="B156" s="2" t="str">
        <f t="shared" si="4"/>
        <v>Apr-2025</v>
      </c>
      <c r="C156" s="2" t="str">
        <f t="shared" si="5"/>
        <v>Q1</v>
      </c>
      <c r="D156" s="2" t="s">
        <v>28</v>
      </c>
      <c r="E156" s="11" t="s">
        <v>94</v>
      </c>
      <c r="F156" s="11" t="s">
        <v>95</v>
      </c>
      <c r="G156" s="11" t="s">
        <v>505</v>
      </c>
      <c r="H156" s="11" t="s">
        <v>49</v>
      </c>
      <c r="I156" s="12">
        <v>5</v>
      </c>
      <c r="J156" s="12">
        <v>900</v>
      </c>
      <c r="K156" s="12">
        <v>182.53</v>
      </c>
      <c r="L156" s="12">
        <v>164277</v>
      </c>
      <c r="M156" s="12">
        <v>-6308.24</v>
      </c>
      <c r="N156" s="12">
        <v>0</v>
      </c>
      <c r="O156" s="12">
        <v>20535.939398999999</v>
      </c>
      <c r="P156" s="12">
        <v>178504.699399</v>
      </c>
    </row>
    <row r="157" spans="1:16" ht="14.5" x14ac:dyDescent="0.25">
      <c r="A157" s="10">
        <v>45762</v>
      </c>
      <c r="B157" s="2" t="str">
        <f t="shared" si="4"/>
        <v>Apr-2025</v>
      </c>
      <c r="C157" s="2" t="str">
        <f t="shared" si="5"/>
        <v>Q1</v>
      </c>
      <c r="D157" s="2" t="s">
        <v>28</v>
      </c>
      <c r="E157" s="11" t="s">
        <v>94</v>
      </c>
      <c r="F157" s="11" t="s">
        <v>95</v>
      </c>
      <c r="G157" s="11" t="s">
        <v>505</v>
      </c>
      <c r="H157" s="11" t="s">
        <v>56</v>
      </c>
      <c r="I157" s="12">
        <v>1</v>
      </c>
      <c r="J157" s="12">
        <v>120</v>
      </c>
      <c r="K157" s="12">
        <v>57.46</v>
      </c>
      <c r="L157" s="12">
        <v>6895.2</v>
      </c>
      <c r="M157" s="12">
        <v>-264.77999999999997</v>
      </c>
      <c r="N157" s="12">
        <v>0</v>
      </c>
      <c r="O157" s="12">
        <v>861.95462500000008</v>
      </c>
      <c r="P157" s="12">
        <v>7492.3746250000004</v>
      </c>
    </row>
    <row r="158" spans="1:16" ht="14.5" x14ac:dyDescent="0.25">
      <c r="A158" s="10">
        <v>45762</v>
      </c>
      <c r="B158" s="2" t="str">
        <f t="shared" si="4"/>
        <v>Apr-2025</v>
      </c>
      <c r="C158" s="2" t="str">
        <f t="shared" si="5"/>
        <v>Q1</v>
      </c>
      <c r="D158" s="2" t="s">
        <v>28</v>
      </c>
      <c r="E158" s="11" t="s">
        <v>94</v>
      </c>
      <c r="F158" s="11" t="s">
        <v>95</v>
      </c>
      <c r="G158" s="11" t="s">
        <v>503</v>
      </c>
      <c r="H158" s="11" t="s">
        <v>48</v>
      </c>
      <c r="I158" s="12">
        <v>1</v>
      </c>
      <c r="J158" s="12">
        <v>180</v>
      </c>
      <c r="K158" s="12">
        <v>135.21</v>
      </c>
      <c r="L158" s="12">
        <v>24337.8</v>
      </c>
      <c r="M158" s="12">
        <v>-934.56999999999994</v>
      </c>
      <c r="N158" s="12">
        <v>0</v>
      </c>
      <c r="O158" s="12">
        <v>3042.419989</v>
      </c>
      <c r="P158" s="12">
        <v>26445.649989000001</v>
      </c>
    </row>
    <row r="159" spans="1:16" ht="14.5" x14ac:dyDescent="0.25">
      <c r="A159" s="10">
        <v>45762</v>
      </c>
      <c r="B159" s="2" t="str">
        <f t="shared" si="4"/>
        <v>Apr-2025</v>
      </c>
      <c r="C159" s="2" t="str">
        <f t="shared" si="5"/>
        <v>Q1</v>
      </c>
      <c r="D159" s="2" t="s">
        <v>28</v>
      </c>
      <c r="E159" s="11" t="s">
        <v>94</v>
      </c>
      <c r="F159" s="11" t="s">
        <v>95</v>
      </c>
      <c r="G159" s="11" t="s">
        <v>503</v>
      </c>
      <c r="H159" s="11" t="s">
        <v>47</v>
      </c>
      <c r="I159" s="12">
        <v>1</v>
      </c>
      <c r="J159" s="12">
        <v>120</v>
      </c>
      <c r="K159" s="12">
        <v>121.69</v>
      </c>
      <c r="L159" s="12">
        <v>14602.800000000001</v>
      </c>
      <c r="M159" s="12">
        <v>-560.75</v>
      </c>
      <c r="N159" s="12">
        <v>0</v>
      </c>
      <c r="O159" s="12">
        <v>1825.466553</v>
      </c>
      <c r="P159" s="12">
        <v>15867.516552999999</v>
      </c>
    </row>
    <row r="160" spans="1:16" ht="14.5" x14ac:dyDescent="0.25">
      <c r="A160" s="10">
        <v>45762</v>
      </c>
      <c r="B160" s="2" t="str">
        <f t="shared" si="4"/>
        <v>Apr-2025</v>
      </c>
      <c r="C160" s="2" t="str">
        <f t="shared" si="5"/>
        <v>Q1</v>
      </c>
      <c r="D160" s="2" t="s">
        <v>28</v>
      </c>
      <c r="E160" s="11" t="s">
        <v>94</v>
      </c>
      <c r="F160" s="11" t="s">
        <v>95</v>
      </c>
      <c r="G160" s="11" t="s">
        <v>504</v>
      </c>
      <c r="H160" s="11" t="s">
        <v>68</v>
      </c>
      <c r="I160" s="12">
        <v>1</v>
      </c>
      <c r="J160" s="12">
        <v>40</v>
      </c>
      <c r="K160" s="12">
        <v>260.27999999999997</v>
      </c>
      <c r="L160" s="12">
        <v>10411.200000000001</v>
      </c>
      <c r="M160" s="12">
        <v>-399.79</v>
      </c>
      <c r="N160" s="12">
        <v>0</v>
      </c>
      <c r="O160" s="12">
        <v>1301.483338</v>
      </c>
      <c r="P160" s="12">
        <v>11312.893338</v>
      </c>
    </row>
    <row r="161" spans="1:16" ht="14.5" x14ac:dyDescent="0.25">
      <c r="A161" s="10">
        <v>45762</v>
      </c>
      <c r="B161" s="2" t="str">
        <f t="shared" si="4"/>
        <v>Apr-2025</v>
      </c>
      <c r="C161" s="2" t="str">
        <f t="shared" si="5"/>
        <v>Q1</v>
      </c>
      <c r="D161" s="2" t="s">
        <v>28</v>
      </c>
      <c r="E161" s="11" t="s">
        <v>96</v>
      </c>
      <c r="F161" s="11" t="s">
        <v>95</v>
      </c>
      <c r="G161" s="11" t="s">
        <v>504</v>
      </c>
      <c r="H161" s="11" t="s">
        <v>61</v>
      </c>
      <c r="I161" s="12">
        <v>1</v>
      </c>
      <c r="J161" s="12">
        <v>40</v>
      </c>
      <c r="K161" s="12">
        <v>309.39999999999998</v>
      </c>
      <c r="L161" s="12">
        <v>12376</v>
      </c>
      <c r="M161" s="12">
        <v>-475.24</v>
      </c>
      <c r="N161" s="12">
        <v>0</v>
      </c>
      <c r="O161" s="12">
        <v>0</v>
      </c>
      <c r="P161" s="12">
        <v>11900.76</v>
      </c>
    </row>
    <row r="162" spans="1:16" ht="14.5" x14ac:dyDescent="0.25">
      <c r="A162" s="10">
        <v>45764</v>
      </c>
      <c r="B162" s="2" t="str">
        <f t="shared" si="4"/>
        <v>Apr-2025</v>
      </c>
      <c r="C162" s="2" t="str">
        <f t="shared" si="5"/>
        <v>Q1</v>
      </c>
      <c r="D162" s="2" t="s">
        <v>28</v>
      </c>
      <c r="E162" s="11" t="s">
        <v>97</v>
      </c>
      <c r="F162" s="11" t="s">
        <v>38</v>
      </c>
      <c r="G162" s="11" t="s">
        <v>504</v>
      </c>
      <c r="H162" s="11" t="s">
        <v>61</v>
      </c>
      <c r="I162" s="12">
        <v>0.05</v>
      </c>
      <c r="J162" s="12">
        <v>2</v>
      </c>
      <c r="K162" s="12">
        <v>309.39999999999998</v>
      </c>
      <c r="L162" s="12">
        <v>618.79999999999995</v>
      </c>
      <c r="M162" s="12">
        <v>-23.76</v>
      </c>
      <c r="N162" s="12">
        <v>0</v>
      </c>
      <c r="O162" s="12">
        <v>0</v>
      </c>
      <c r="P162" s="12">
        <v>595.04</v>
      </c>
    </row>
    <row r="163" spans="1:16" ht="14.5" x14ac:dyDescent="0.25">
      <c r="A163" s="10">
        <v>45764</v>
      </c>
      <c r="B163" s="2" t="str">
        <f t="shared" si="4"/>
        <v>Apr-2025</v>
      </c>
      <c r="C163" s="2" t="str">
        <f t="shared" si="5"/>
        <v>Q1</v>
      </c>
      <c r="D163" s="2" t="s">
        <v>28</v>
      </c>
      <c r="E163" s="11" t="s">
        <v>98</v>
      </c>
      <c r="F163" s="11" t="s">
        <v>38</v>
      </c>
      <c r="G163" s="11" t="s">
        <v>505</v>
      </c>
      <c r="H163" s="11" t="s">
        <v>49</v>
      </c>
      <c r="I163" s="12">
        <v>0.01</v>
      </c>
      <c r="J163" s="12">
        <v>2</v>
      </c>
      <c r="K163" s="12">
        <v>182.53</v>
      </c>
      <c r="L163" s="12">
        <v>365.06</v>
      </c>
      <c r="M163" s="12">
        <v>-14.02</v>
      </c>
      <c r="N163" s="12">
        <v>0</v>
      </c>
      <c r="O163" s="12">
        <v>45.635687000000004</v>
      </c>
      <c r="P163" s="12">
        <v>396.67568699999998</v>
      </c>
    </row>
    <row r="164" spans="1:16" ht="14.5" x14ac:dyDescent="0.25">
      <c r="A164" s="10">
        <v>45764</v>
      </c>
      <c r="B164" s="2" t="str">
        <f t="shared" si="4"/>
        <v>Apr-2025</v>
      </c>
      <c r="C164" s="2" t="str">
        <f t="shared" si="5"/>
        <v>Q1</v>
      </c>
      <c r="D164" s="2" t="s">
        <v>28</v>
      </c>
      <c r="E164" s="11" t="s">
        <v>98</v>
      </c>
      <c r="F164" s="11" t="s">
        <v>38</v>
      </c>
      <c r="G164" s="11" t="s">
        <v>507</v>
      </c>
      <c r="H164" s="11" t="s">
        <v>60</v>
      </c>
      <c r="I164" s="12">
        <v>0.03</v>
      </c>
      <c r="J164" s="12">
        <v>2</v>
      </c>
      <c r="K164" s="12">
        <v>98.03</v>
      </c>
      <c r="L164" s="12">
        <v>196.06</v>
      </c>
      <c r="M164" s="12">
        <v>-7.53</v>
      </c>
      <c r="N164" s="12">
        <v>0</v>
      </c>
      <c r="O164" s="12">
        <v>24.509162</v>
      </c>
      <c r="P164" s="12">
        <v>213.039162</v>
      </c>
    </row>
    <row r="165" spans="1:16" ht="14.5" x14ac:dyDescent="0.25">
      <c r="A165" s="10">
        <v>45764</v>
      </c>
      <c r="B165" s="2" t="str">
        <f t="shared" si="4"/>
        <v>Apr-2025</v>
      </c>
      <c r="C165" s="2" t="str">
        <f t="shared" si="5"/>
        <v>Q1</v>
      </c>
      <c r="D165" s="2" t="s">
        <v>28</v>
      </c>
      <c r="E165" s="11" t="s">
        <v>98</v>
      </c>
      <c r="F165" s="11" t="s">
        <v>38</v>
      </c>
      <c r="G165" s="11" t="s">
        <v>505</v>
      </c>
      <c r="H165" s="11" t="s">
        <v>43</v>
      </c>
      <c r="I165" s="12">
        <v>0.05</v>
      </c>
      <c r="J165" s="12">
        <v>2</v>
      </c>
      <c r="K165" s="12">
        <v>297.45999999999998</v>
      </c>
      <c r="L165" s="12">
        <v>594.91999999999996</v>
      </c>
      <c r="M165" s="12">
        <v>-22.84</v>
      </c>
      <c r="N165" s="12">
        <v>0</v>
      </c>
      <c r="O165" s="12">
        <v>74.371193999999988</v>
      </c>
      <c r="P165" s="12">
        <v>646.45119399999999</v>
      </c>
    </row>
    <row r="166" spans="1:16" ht="14.5" x14ac:dyDescent="0.25">
      <c r="A166" s="10">
        <v>45764</v>
      </c>
      <c r="B166" s="2" t="str">
        <f t="shared" ref="B166:B229" si="6">+TEXT(A166,"MMM-yyy")</f>
        <v>Apr-2025</v>
      </c>
      <c r="C166" s="2" t="str">
        <f t="shared" ref="C166:C229" si="7">"Q" &amp; CHOOSE(MONTH(A166),4,4,4,1,1,1,2,2,2,3,3,3)</f>
        <v>Q1</v>
      </c>
      <c r="D166" s="2" t="s">
        <v>28</v>
      </c>
      <c r="E166" s="11" t="s">
        <v>98</v>
      </c>
      <c r="F166" s="11" t="s">
        <v>38</v>
      </c>
      <c r="G166" s="11" t="s">
        <v>505</v>
      </c>
      <c r="H166" s="11" t="s">
        <v>50</v>
      </c>
      <c r="I166" s="12">
        <v>0.03</v>
      </c>
      <c r="J166" s="12">
        <v>2</v>
      </c>
      <c r="K166" s="12">
        <v>169.01</v>
      </c>
      <c r="L166" s="12">
        <v>338.02</v>
      </c>
      <c r="M166" s="12">
        <v>-12.98</v>
      </c>
      <c r="N166" s="12">
        <v>0</v>
      </c>
      <c r="O166" s="12">
        <v>42.255651000000007</v>
      </c>
      <c r="P166" s="12">
        <v>367.29565100000002</v>
      </c>
    </row>
    <row r="167" spans="1:16" ht="14.5" x14ac:dyDescent="0.25">
      <c r="A167" s="10">
        <v>45764</v>
      </c>
      <c r="B167" s="2" t="str">
        <f t="shared" si="6"/>
        <v>Apr-2025</v>
      </c>
      <c r="C167" s="2" t="str">
        <f t="shared" si="7"/>
        <v>Q1</v>
      </c>
      <c r="D167" s="2" t="s">
        <v>28</v>
      </c>
      <c r="E167" s="11" t="s">
        <v>98</v>
      </c>
      <c r="F167" s="11" t="s">
        <v>38</v>
      </c>
      <c r="G167" s="11" t="s">
        <v>504</v>
      </c>
      <c r="H167" s="11" t="s">
        <v>68</v>
      </c>
      <c r="I167" s="12">
        <v>0.05</v>
      </c>
      <c r="J167" s="12">
        <v>2</v>
      </c>
      <c r="K167" s="12">
        <v>260.27999999999997</v>
      </c>
      <c r="L167" s="12">
        <v>520.55999999999995</v>
      </c>
      <c r="M167" s="12">
        <v>-19.989999999999998</v>
      </c>
      <c r="N167" s="12">
        <v>0</v>
      </c>
      <c r="O167" s="12">
        <v>65.074795000000009</v>
      </c>
      <c r="P167" s="12">
        <v>565.64479500000004</v>
      </c>
    </row>
    <row r="168" spans="1:16" ht="14.5" x14ac:dyDescent="0.25">
      <c r="A168" s="10">
        <v>45764</v>
      </c>
      <c r="B168" s="2" t="str">
        <f t="shared" si="6"/>
        <v>Apr-2025</v>
      </c>
      <c r="C168" s="2" t="str">
        <f t="shared" si="7"/>
        <v>Q1</v>
      </c>
      <c r="D168" s="2" t="s">
        <v>28</v>
      </c>
      <c r="E168" s="11" t="s">
        <v>98</v>
      </c>
      <c r="F168" s="11" t="s">
        <v>38</v>
      </c>
      <c r="G168" s="11" t="s">
        <v>504</v>
      </c>
      <c r="H168" s="11" t="s">
        <v>67</v>
      </c>
      <c r="I168" s="12">
        <v>0.05</v>
      </c>
      <c r="J168" s="12">
        <v>2</v>
      </c>
      <c r="K168" s="12">
        <v>459.72</v>
      </c>
      <c r="L168" s="12">
        <v>919.44</v>
      </c>
      <c r="M168" s="12">
        <v>-35.31</v>
      </c>
      <c r="N168" s="12">
        <v>0</v>
      </c>
      <c r="O168" s="12">
        <v>114.93812700000001</v>
      </c>
      <c r="P168" s="12">
        <v>999.068127</v>
      </c>
    </row>
    <row r="169" spans="1:16" ht="14.5" x14ac:dyDescent="0.25">
      <c r="A169" s="10">
        <v>45764</v>
      </c>
      <c r="B169" s="2" t="str">
        <f t="shared" si="6"/>
        <v>Apr-2025</v>
      </c>
      <c r="C169" s="2" t="str">
        <f t="shared" si="7"/>
        <v>Q1</v>
      </c>
      <c r="D169" s="2" t="s">
        <v>28</v>
      </c>
      <c r="E169" s="11" t="s">
        <v>98</v>
      </c>
      <c r="F169" s="11" t="s">
        <v>38</v>
      </c>
      <c r="G169" s="11" t="s">
        <v>503</v>
      </c>
      <c r="H169" s="11" t="s">
        <v>87</v>
      </c>
      <c r="I169" s="12">
        <v>0.01</v>
      </c>
      <c r="J169" s="12">
        <v>2</v>
      </c>
      <c r="K169" s="12">
        <v>114.93</v>
      </c>
      <c r="L169" s="12">
        <v>229.86</v>
      </c>
      <c r="M169" s="12">
        <v>-8.83</v>
      </c>
      <c r="N169" s="12">
        <v>0</v>
      </c>
      <c r="O169" s="12">
        <v>28.734207000000001</v>
      </c>
      <c r="P169" s="12">
        <v>249.764207</v>
      </c>
    </row>
    <row r="170" spans="1:16" ht="14.5" x14ac:dyDescent="0.25">
      <c r="A170" s="10">
        <v>45764</v>
      </c>
      <c r="B170" s="2" t="str">
        <f t="shared" si="6"/>
        <v>Apr-2025</v>
      </c>
      <c r="C170" s="2" t="str">
        <f t="shared" si="7"/>
        <v>Q1</v>
      </c>
      <c r="D170" s="2" t="s">
        <v>28</v>
      </c>
      <c r="E170" s="11" t="s">
        <v>98</v>
      </c>
      <c r="F170" s="11" t="s">
        <v>38</v>
      </c>
      <c r="G170" s="11" t="s">
        <v>503</v>
      </c>
      <c r="H170" s="11" t="s">
        <v>48</v>
      </c>
      <c r="I170" s="12">
        <v>0.01</v>
      </c>
      <c r="J170" s="12">
        <v>2</v>
      </c>
      <c r="K170" s="12">
        <v>135.21</v>
      </c>
      <c r="L170" s="12">
        <v>270.42</v>
      </c>
      <c r="M170" s="12">
        <v>-10.38</v>
      </c>
      <c r="N170" s="12">
        <v>0</v>
      </c>
      <c r="O170" s="12">
        <v>33.805560999999997</v>
      </c>
      <c r="P170" s="12">
        <v>293.84556099999998</v>
      </c>
    </row>
    <row r="171" spans="1:16" ht="14.5" x14ac:dyDescent="0.25">
      <c r="A171" s="10">
        <v>45764</v>
      </c>
      <c r="B171" s="2" t="str">
        <f t="shared" si="6"/>
        <v>Apr-2025</v>
      </c>
      <c r="C171" s="2" t="str">
        <f t="shared" si="7"/>
        <v>Q1</v>
      </c>
      <c r="D171" s="2" t="s">
        <v>28</v>
      </c>
      <c r="E171" s="11" t="s">
        <v>98</v>
      </c>
      <c r="F171" s="11" t="s">
        <v>38</v>
      </c>
      <c r="G171" s="11" t="s">
        <v>503</v>
      </c>
      <c r="H171" s="11" t="s">
        <v>44</v>
      </c>
      <c r="I171" s="12">
        <v>0.01</v>
      </c>
      <c r="J171" s="12">
        <v>2</v>
      </c>
      <c r="K171" s="12">
        <v>155.49</v>
      </c>
      <c r="L171" s="12">
        <v>310.98</v>
      </c>
      <c r="M171" s="12">
        <v>-11.94</v>
      </c>
      <c r="N171" s="12">
        <v>0</v>
      </c>
      <c r="O171" s="12">
        <v>38.875615000000003</v>
      </c>
      <c r="P171" s="12">
        <v>337.915615</v>
      </c>
    </row>
    <row r="172" spans="1:16" ht="14.5" x14ac:dyDescent="0.25">
      <c r="A172" s="10">
        <v>45767</v>
      </c>
      <c r="B172" s="2" t="str">
        <f t="shared" si="6"/>
        <v>Apr-2025</v>
      </c>
      <c r="C172" s="2" t="str">
        <f t="shared" si="7"/>
        <v>Q1</v>
      </c>
      <c r="D172" s="2" t="s">
        <v>28</v>
      </c>
      <c r="E172" s="11" t="s">
        <v>99</v>
      </c>
      <c r="F172" s="11" t="s">
        <v>38</v>
      </c>
      <c r="G172" s="11" t="s">
        <v>503</v>
      </c>
      <c r="H172" s="11" t="s">
        <v>89</v>
      </c>
      <c r="I172" s="12">
        <v>0.02</v>
      </c>
      <c r="J172" s="12">
        <v>2</v>
      </c>
      <c r="K172" s="12">
        <v>118.31</v>
      </c>
      <c r="L172" s="12">
        <v>236.62</v>
      </c>
      <c r="M172" s="12">
        <v>-9.09</v>
      </c>
      <c r="N172" s="12">
        <v>0</v>
      </c>
      <c r="O172" s="12">
        <v>29.58</v>
      </c>
      <c r="P172" s="12">
        <v>257.11</v>
      </c>
    </row>
    <row r="173" spans="1:16" ht="14.5" x14ac:dyDescent="0.25">
      <c r="A173" s="10">
        <v>45770</v>
      </c>
      <c r="B173" s="2" t="str">
        <f t="shared" si="6"/>
        <v>Apr-2025</v>
      </c>
      <c r="C173" s="2" t="str">
        <f t="shared" si="7"/>
        <v>Q1</v>
      </c>
      <c r="D173" s="2" t="s">
        <v>28</v>
      </c>
      <c r="E173" s="11" t="s">
        <v>100</v>
      </c>
      <c r="F173" s="11" t="s">
        <v>15</v>
      </c>
      <c r="G173" s="11" t="s">
        <v>503</v>
      </c>
      <c r="H173" s="11" t="s">
        <v>41</v>
      </c>
      <c r="I173" s="12">
        <v>1</v>
      </c>
      <c r="J173" s="12">
        <v>180</v>
      </c>
      <c r="K173" s="12">
        <v>60.84</v>
      </c>
      <c r="L173" s="12">
        <v>10951.199999999999</v>
      </c>
      <c r="M173" s="12">
        <v>-420.53</v>
      </c>
      <c r="N173" s="12">
        <v>0</v>
      </c>
      <c r="O173" s="12">
        <v>1368.9876400000001</v>
      </c>
      <c r="P173" s="12">
        <v>11899.657639999999</v>
      </c>
    </row>
    <row r="174" spans="1:16" ht="14.5" x14ac:dyDescent="0.25">
      <c r="A174" s="10">
        <v>45770</v>
      </c>
      <c r="B174" s="2" t="str">
        <f t="shared" si="6"/>
        <v>Apr-2025</v>
      </c>
      <c r="C174" s="2" t="str">
        <f t="shared" si="7"/>
        <v>Q1</v>
      </c>
      <c r="D174" s="2" t="s">
        <v>28</v>
      </c>
      <c r="E174" s="11" t="s">
        <v>100</v>
      </c>
      <c r="F174" s="11" t="s">
        <v>15</v>
      </c>
      <c r="G174" s="11" t="s">
        <v>503</v>
      </c>
      <c r="H174" s="11" t="s">
        <v>59</v>
      </c>
      <c r="I174" s="12">
        <v>1</v>
      </c>
      <c r="J174" s="12">
        <v>180</v>
      </c>
      <c r="K174" s="12">
        <v>64.23</v>
      </c>
      <c r="L174" s="12">
        <v>11561.4</v>
      </c>
      <c r="M174" s="12">
        <v>-443.96</v>
      </c>
      <c r="N174" s="12">
        <v>0</v>
      </c>
      <c r="O174" s="12">
        <v>1445.267771</v>
      </c>
      <c r="P174" s="12">
        <v>12562.707770999999</v>
      </c>
    </row>
    <row r="175" spans="1:16" ht="14.5" x14ac:dyDescent="0.25">
      <c r="A175" s="10">
        <v>45770</v>
      </c>
      <c r="B175" s="2" t="str">
        <f t="shared" si="6"/>
        <v>Apr-2025</v>
      </c>
      <c r="C175" s="2" t="str">
        <f t="shared" si="7"/>
        <v>Q1</v>
      </c>
      <c r="D175" s="2" t="s">
        <v>28</v>
      </c>
      <c r="E175" s="11" t="s">
        <v>100</v>
      </c>
      <c r="F175" s="11" t="s">
        <v>15</v>
      </c>
      <c r="G175" s="11" t="s">
        <v>505</v>
      </c>
      <c r="H175" s="11" t="s">
        <v>56</v>
      </c>
      <c r="I175" s="12">
        <v>1</v>
      </c>
      <c r="J175" s="12">
        <v>120</v>
      </c>
      <c r="K175" s="12">
        <v>57.46</v>
      </c>
      <c r="L175" s="12">
        <v>6895.2</v>
      </c>
      <c r="M175" s="12">
        <v>-264.77999999999997</v>
      </c>
      <c r="N175" s="12">
        <v>0</v>
      </c>
      <c r="O175" s="12">
        <v>861.95493999999997</v>
      </c>
      <c r="P175" s="12">
        <v>7492.3749399999997</v>
      </c>
    </row>
    <row r="176" spans="1:16" ht="14.5" x14ac:dyDescent="0.25">
      <c r="A176" s="10">
        <v>45770</v>
      </c>
      <c r="B176" s="2" t="str">
        <f t="shared" si="6"/>
        <v>Apr-2025</v>
      </c>
      <c r="C176" s="2" t="str">
        <f t="shared" si="7"/>
        <v>Q1</v>
      </c>
      <c r="D176" s="2" t="s">
        <v>28</v>
      </c>
      <c r="E176" s="11" t="s">
        <v>100</v>
      </c>
      <c r="F176" s="11" t="s">
        <v>15</v>
      </c>
      <c r="G176" s="11" t="s">
        <v>503</v>
      </c>
      <c r="H176" s="11" t="s">
        <v>51</v>
      </c>
      <c r="I176" s="12">
        <v>1</v>
      </c>
      <c r="J176" s="12">
        <v>180</v>
      </c>
      <c r="K176" s="12">
        <v>64.23</v>
      </c>
      <c r="L176" s="12">
        <v>11561.4</v>
      </c>
      <c r="M176" s="12">
        <v>-443.96</v>
      </c>
      <c r="N176" s="12">
        <v>0</v>
      </c>
      <c r="O176" s="12">
        <v>1445.267771</v>
      </c>
      <c r="P176" s="12">
        <v>12562.707770999999</v>
      </c>
    </row>
    <row r="177" spans="1:16" ht="14.5" x14ac:dyDescent="0.25">
      <c r="A177" s="10">
        <v>45770</v>
      </c>
      <c r="B177" s="2" t="str">
        <f t="shared" si="6"/>
        <v>Apr-2025</v>
      </c>
      <c r="C177" s="2" t="str">
        <f t="shared" si="7"/>
        <v>Q1</v>
      </c>
      <c r="D177" s="2" t="s">
        <v>28</v>
      </c>
      <c r="E177" s="11" t="s">
        <v>100</v>
      </c>
      <c r="F177" s="11" t="s">
        <v>15</v>
      </c>
      <c r="G177" s="11" t="s">
        <v>505</v>
      </c>
      <c r="H177" s="11" t="s">
        <v>50</v>
      </c>
      <c r="I177" s="12">
        <v>1</v>
      </c>
      <c r="J177" s="12">
        <v>80</v>
      </c>
      <c r="K177" s="12">
        <v>169.01</v>
      </c>
      <c r="L177" s="12">
        <v>13520.8</v>
      </c>
      <c r="M177" s="12">
        <v>-519.20000000000005</v>
      </c>
      <c r="N177" s="12">
        <v>0</v>
      </c>
      <c r="O177" s="12">
        <v>1690.2086669999999</v>
      </c>
      <c r="P177" s="12">
        <v>14691.808666999999</v>
      </c>
    </row>
    <row r="178" spans="1:16" ht="14.5" x14ac:dyDescent="0.25">
      <c r="A178" s="10">
        <v>45770</v>
      </c>
      <c r="B178" s="2" t="str">
        <f t="shared" si="6"/>
        <v>Apr-2025</v>
      </c>
      <c r="C178" s="2" t="str">
        <f t="shared" si="7"/>
        <v>Q1</v>
      </c>
      <c r="D178" s="2" t="s">
        <v>28</v>
      </c>
      <c r="E178" s="11" t="s">
        <v>100</v>
      </c>
      <c r="F178" s="11" t="s">
        <v>15</v>
      </c>
      <c r="G178" s="11" t="s">
        <v>507</v>
      </c>
      <c r="H178" s="11" t="s">
        <v>60</v>
      </c>
      <c r="I178" s="12">
        <v>2</v>
      </c>
      <c r="J178" s="12">
        <v>120</v>
      </c>
      <c r="K178" s="12">
        <v>98.03</v>
      </c>
      <c r="L178" s="12">
        <v>11763.6</v>
      </c>
      <c r="M178" s="12">
        <v>-451.72</v>
      </c>
      <c r="N178" s="12">
        <v>0</v>
      </c>
      <c r="O178" s="12">
        <v>1470.544981</v>
      </c>
      <c r="P178" s="12">
        <v>12782.424981</v>
      </c>
    </row>
    <row r="179" spans="1:16" ht="14.5" x14ac:dyDescent="0.25">
      <c r="A179" s="10">
        <v>45770</v>
      </c>
      <c r="B179" s="2" t="str">
        <f t="shared" si="6"/>
        <v>Apr-2025</v>
      </c>
      <c r="C179" s="2" t="str">
        <f t="shared" si="7"/>
        <v>Q1</v>
      </c>
      <c r="D179" s="2" t="s">
        <v>28</v>
      </c>
      <c r="E179" s="11" t="s">
        <v>100</v>
      </c>
      <c r="F179" s="11" t="s">
        <v>15</v>
      </c>
      <c r="G179" s="11" t="s">
        <v>503</v>
      </c>
      <c r="H179" s="11" t="s">
        <v>52</v>
      </c>
      <c r="I179" s="12">
        <v>1</v>
      </c>
      <c r="J179" s="12">
        <v>180</v>
      </c>
      <c r="K179" s="12">
        <v>70.989999999999995</v>
      </c>
      <c r="L179" s="12">
        <v>12778.2</v>
      </c>
      <c r="M179" s="12">
        <v>-490.68</v>
      </c>
      <c r="N179" s="12">
        <v>0</v>
      </c>
      <c r="O179" s="12">
        <v>1597.3782310000001</v>
      </c>
      <c r="P179" s="12">
        <v>13884.898230999999</v>
      </c>
    </row>
    <row r="180" spans="1:16" ht="14.5" x14ac:dyDescent="0.25">
      <c r="A180" s="10">
        <v>45770</v>
      </c>
      <c r="B180" s="2" t="str">
        <f t="shared" si="6"/>
        <v>Apr-2025</v>
      </c>
      <c r="C180" s="2" t="str">
        <f t="shared" si="7"/>
        <v>Q1</v>
      </c>
      <c r="D180" s="2" t="s">
        <v>28</v>
      </c>
      <c r="E180" s="11" t="s">
        <v>101</v>
      </c>
      <c r="F180" s="11" t="s">
        <v>15</v>
      </c>
      <c r="G180" s="11" t="s">
        <v>506</v>
      </c>
      <c r="H180" s="11" t="s">
        <v>54</v>
      </c>
      <c r="I180" s="12">
        <v>1</v>
      </c>
      <c r="J180" s="12">
        <v>48</v>
      </c>
      <c r="K180" s="12">
        <v>310.99</v>
      </c>
      <c r="L180" s="12">
        <v>14927.519999999999</v>
      </c>
      <c r="M180" s="12">
        <v>-573.22</v>
      </c>
      <c r="N180" s="12">
        <v>0</v>
      </c>
      <c r="O180" s="12">
        <v>1866.0586179999998</v>
      </c>
      <c r="P180" s="12">
        <v>16220.358618</v>
      </c>
    </row>
    <row r="181" spans="1:16" ht="14.5" x14ac:dyDescent="0.25">
      <c r="A181" s="10">
        <v>45770</v>
      </c>
      <c r="B181" s="2" t="str">
        <f t="shared" si="6"/>
        <v>Apr-2025</v>
      </c>
      <c r="C181" s="2" t="str">
        <f t="shared" si="7"/>
        <v>Q1</v>
      </c>
      <c r="D181" s="2" t="s">
        <v>28</v>
      </c>
      <c r="E181" s="11" t="s">
        <v>101</v>
      </c>
      <c r="F181" s="11" t="s">
        <v>15</v>
      </c>
      <c r="G181" s="11" t="s">
        <v>506</v>
      </c>
      <c r="H181" s="11" t="s">
        <v>58</v>
      </c>
      <c r="I181" s="12">
        <v>1</v>
      </c>
      <c r="J181" s="12">
        <v>72</v>
      </c>
      <c r="K181" s="12">
        <v>148.72999999999999</v>
      </c>
      <c r="L181" s="12">
        <v>10708.56</v>
      </c>
      <c r="M181" s="12">
        <v>-411.21</v>
      </c>
      <c r="N181" s="12">
        <v>0</v>
      </c>
      <c r="O181" s="12">
        <v>1338.6552259999999</v>
      </c>
      <c r="P181" s="12">
        <v>11636.005225999999</v>
      </c>
    </row>
    <row r="182" spans="1:16" ht="14.5" x14ac:dyDescent="0.25">
      <c r="A182" s="10">
        <v>45770</v>
      </c>
      <c r="B182" s="2" t="str">
        <f t="shared" si="6"/>
        <v>Apr-2025</v>
      </c>
      <c r="C182" s="2" t="str">
        <f t="shared" si="7"/>
        <v>Q1</v>
      </c>
      <c r="D182" s="2" t="s">
        <v>28</v>
      </c>
      <c r="E182" s="11" t="s">
        <v>101</v>
      </c>
      <c r="F182" s="11" t="s">
        <v>15</v>
      </c>
      <c r="G182" s="11" t="s">
        <v>506</v>
      </c>
      <c r="H182" s="11" t="s">
        <v>39</v>
      </c>
      <c r="I182" s="12">
        <v>1</v>
      </c>
      <c r="J182" s="12">
        <v>72</v>
      </c>
      <c r="K182" s="12">
        <v>131.83000000000001</v>
      </c>
      <c r="L182" s="12">
        <v>9491.76</v>
      </c>
      <c r="M182" s="12">
        <v>-364.48</v>
      </c>
      <c r="N182" s="12">
        <v>0</v>
      </c>
      <c r="O182" s="12">
        <v>1186.546157</v>
      </c>
      <c r="P182" s="12">
        <v>10313.826157</v>
      </c>
    </row>
    <row r="183" spans="1:16" ht="14.5" x14ac:dyDescent="0.25">
      <c r="A183" s="10">
        <v>45772</v>
      </c>
      <c r="B183" s="2" t="str">
        <f t="shared" si="6"/>
        <v>Apr-2025</v>
      </c>
      <c r="C183" s="2" t="str">
        <f t="shared" si="7"/>
        <v>Q1</v>
      </c>
      <c r="D183" s="2" t="s">
        <v>28</v>
      </c>
      <c r="E183" s="11" t="s">
        <v>102</v>
      </c>
      <c r="F183" s="11" t="s">
        <v>15</v>
      </c>
      <c r="G183" s="11" t="s">
        <v>503</v>
      </c>
      <c r="H183" s="11" t="s">
        <v>42</v>
      </c>
      <c r="I183" s="12">
        <v>1</v>
      </c>
      <c r="J183" s="12">
        <v>120</v>
      </c>
      <c r="K183" s="12">
        <v>141.97</v>
      </c>
      <c r="L183" s="12">
        <v>17036.400000000001</v>
      </c>
      <c r="M183" s="12">
        <v>-654.20000000000005</v>
      </c>
      <c r="N183" s="12">
        <v>0</v>
      </c>
      <c r="O183" s="12">
        <v>2129.69</v>
      </c>
      <c r="P183" s="12">
        <v>18511.89</v>
      </c>
    </row>
    <row r="184" spans="1:16" ht="14.5" x14ac:dyDescent="0.25">
      <c r="A184" s="10">
        <v>45772</v>
      </c>
      <c r="B184" s="2" t="str">
        <f t="shared" si="6"/>
        <v>Apr-2025</v>
      </c>
      <c r="C184" s="2" t="str">
        <f t="shared" si="7"/>
        <v>Q1</v>
      </c>
      <c r="D184" s="2" t="s">
        <v>28</v>
      </c>
      <c r="E184" s="11" t="s">
        <v>103</v>
      </c>
      <c r="F184" s="11" t="s">
        <v>104</v>
      </c>
      <c r="G184" s="11" t="s">
        <v>503</v>
      </c>
      <c r="H184" s="11" t="s">
        <v>41</v>
      </c>
      <c r="I184" s="12">
        <v>0.11</v>
      </c>
      <c r="J184" s="12">
        <v>20</v>
      </c>
      <c r="K184" s="12">
        <v>63.72</v>
      </c>
      <c r="L184" s="12">
        <v>1274.4000000000001</v>
      </c>
      <c r="M184" s="12">
        <v>-48.94</v>
      </c>
      <c r="N184" s="12">
        <v>0</v>
      </c>
      <c r="O184" s="12">
        <v>159.30988400000001</v>
      </c>
      <c r="P184" s="12">
        <v>1384.769884</v>
      </c>
    </row>
    <row r="185" spans="1:16" ht="14.5" x14ac:dyDescent="0.25">
      <c r="A185" s="10">
        <v>45772</v>
      </c>
      <c r="B185" s="2" t="str">
        <f t="shared" si="6"/>
        <v>Apr-2025</v>
      </c>
      <c r="C185" s="2" t="str">
        <f t="shared" si="7"/>
        <v>Q1</v>
      </c>
      <c r="D185" s="2" t="s">
        <v>28</v>
      </c>
      <c r="E185" s="11" t="s">
        <v>103</v>
      </c>
      <c r="F185" s="11" t="s">
        <v>104</v>
      </c>
      <c r="G185" s="11" t="s">
        <v>505</v>
      </c>
      <c r="H185" s="11" t="s">
        <v>43</v>
      </c>
      <c r="I185" s="12">
        <v>0.5</v>
      </c>
      <c r="J185" s="12">
        <v>20</v>
      </c>
      <c r="K185" s="12">
        <v>311.5</v>
      </c>
      <c r="L185" s="12">
        <v>6230.0000000000009</v>
      </c>
      <c r="M185" s="12">
        <v>-239.23</v>
      </c>
      <c r="N185" s="12">
        <v>0</v>
      </c>
      <c r="O185" s="12">
        <v>778.80051200000003</v>
      </c>
      <c r="P185" s="12">
        <v>6769.5705120000002</v>
      </c>
    </row>
    <row r="186" spans="1:16" ht="14.5" x14ac:dyDescent="0.25">
      <c r="A186" s="10">
        <v>45772</v>
      </c>
      <c r="B186" s="2" t="str">
        <f t="shared" si="6"/>
        <v>Apr-2025</v>
      </c>
      <c r="C186" s="2" t="str">
        <f t="shared" si="7"/>
        <v>Q1</v>
      </c>
      <c r="D186" s="2" t="s">
        <v>28</v>
      </c>
      <c r="E186" s="11" t="s">
        <v>103</v>
      </c>
      <c r="F186" s="11" t="s">
        <v>104</v>
      </c>
      <c r="G186" s="11" t="s">
        <v>503</v>
      </c>
      <c r="H186" s="11" t="s">
        <v>44</v>
      </c>
      <c r="I186" s="12">
        <v>0.11</v>
      </c>
      <c r="J186" s="12">
        <v>20</v>
      </c>
      <c r="K186" s="12">
        <v>162.83000000000001</v>
      </c>
      <c r="L186" s="12">
        <v>3256.6000000000004</v>
      </c>
      <c r="M186" s="12">
        <v>-125.05</v>
      </c>
      <c r="N186" s="12">
        <v>0</v>
      </c>
      <c r="O186" s="12">
        <v>407.10171500000001</v>
      </c>
      <c r="P186" s="12">
        <v>3538.651715</v>
      </c>
    </row>
    <row r="187" spans="1:16" ht="14.5" x14ac:dyDescent="0.25">
      <c r="A187" s="10">
        <v>45772</v>
      </c>
      <c r="B187" s="2" t="str">
        <f t="shared" si="6"/>
        <v>Apr-2025</v>
      </c>
      <c r="C187" s="2" t="str">
        <f t="shared" si="7"/>
        <v>Q1</v>
      </c>
      <c r="D187" s="2" t="s">
        <v>28</v>
      </c>
      <c r="E187" s="11" t="s">
        <v>103</v>
      </c>
      <c r="F187" s="11" t="s">
        <v>104</v>
      </c>
      <c r="G187" s="11" t="s">
        <v>503</v>
      </c>
      <c r="H187" s="11" t="s">
        <v>52</v>
      </c>
      <c r="I187" s="12">
        <v>0.11</v>
      </c>
      <c r="J187" s="12">
        <v>20</v>
      </c>
      <c r="K187" s="12">
        <v>74.34</v>
      </c>
      <c r="L187" s="12">
        <v>1486.8</v>
      </c>
      <c r="M187" s="12">
        <v>-57.09</v>
      </c>
      <c r="N187" s="12">
        <v>0</v>
      </c>
      <c r="O187" s="12">
        <v>185.86239800000001</v>
      </c>
      <c r="P187" s="12">
        <v>1615.572398</v>
      </c>
    </row>
    <row r="188" spans="1:16" ht="14.5" x14ac:dyDescent="0.25">
      <c r="A188" s="10">
        <v>45772</v>
      </c>
      <c r="B188" s="2" t="str">
        <f t="shared" si="6"/>
        <v>Apr-2025</v>
      </c>
      <c r="C188" s="2" t="str">
        <f t="shared" si="7"/>
        <v>Q1</v>
      </c>
      <c r="D188" s="2" t="s">
        <v>28</v>
      </c>
      <c r="E188" s="11" t="s">
        <v>103</v>
      </c>
      <c r="F188" s="11" t="s">
        <v>104</v>
      </c>
      <c r="G188" s="11" t="s">
        <v>503</v>
      </c>
      <c r="H188" s="11" t="s">
        <v>45</v>
      </c>
      <c r="I188" s="12">
        <v>0.11</v>
      </c>
      <c r="J188" s="12">
        <v>20</v>
      </c>
      <c r="K188" s="12">
        <v>67.260000000000005</v>
      </c>
      <c r="L188" s="12">
        <v>1345.2</v>
      </c>
      <c r="M188" s="12">
        <v>-51.66</v>
      </c>
      <c r="N188" s="12">
        <v>0</v>
      </c>
      <c r="O188" s="12">
        <v>168.16028900000001</v>
      </c>
      <c r="P188" s="12">
        <v>1461.7002890000001</v>
      </c>
    </row>
    <row r="189" spans="1:16" ht="14.5" x14ac:dyDescent="0.25">
      <c r="A189" s="10">
        <v>45772</v>
      </c>
      <c r="B189" s="2" t="str">
        <f t="shared" si="6"/>
        <v>Apr-2025</v>
      </c>
      <c r="C189" s="2" t="str">
        <f t="shared" si="7"/>
        <v>Q1</v>
      </c>
      <c r="D189" s="2" t="s">
        <v>28</v>
      </c>
      <c r="E189" s="11" t="s">
        <v>103</v>
      </c>
      <c r="F189" s="11" t="s">
        <v>104</v>
      </c>
      <c r="G189" s="11" t="s">
        <v>503</v>
      </c>
      <c r="H189" s="11" t="s">
        <v>48</v>
      </c>
      <c r="I189" s="12">
        <v>0.11</v>
      </c>
      <c r="J189" s="12">
        <v>20</v>
      </c>
      <c r="K189" s="12">
        <v>141.59</v>
      </c>
      <c r="L189" s="12">
        <v>2831.8</v>
      </c>
      <c r="M189" s="12">
        <v>-108.74</v>
      </c>
      <c r="N189" s="12">
        <v>0</v>
      </c>
      <c r="O189" s="12">
        <v>353.99798699999997</v>
      </c>
      <c r="P189" s="12">
        <v>3077.0579870000001</v>
      </c>
    </row>
    <row r="190" spans="1:16" ht="14.5" x14ac:dyDescent="0.25">
      <c r="A190" s="10">
        <v>45772</v>
      </c>
      <c r="B190" s="2" t="str">
        <f t="shared" si="6"/>
        <v>Apr-2025</v>
      </c>
      <c r="C190" s="2" t="str">
        <f t="shared" si="7"/>
        <v>Q1</v>
      </c>
      <c r="D190" s="2" t="s">
        <v>28</v>
      </c>
      <c r="E190" s="11" t="s">
        <v>103</v>
      </c>
      <c r="F190" s="11" t="s">
        <v>104</v>
      </c>
      <c r="G190" s="11" t="s">
        <v>503</v>
      </c>
      <c r="H190" s="11" t="s">
        <v>57</v>
      </c>
      <c r="I190" s="12">
        <v>0.11</v>
      </c>
      <c r="J190" s="12">
        <v>20</v>
      </c>
      <c r="K190" s="12">
        <v>127.43</v>
      </c>
      <c r="L190" s="12">
        <v>2548.6000000000004</v>
      </c>
      <c r="M190" s="12">
        <v>-97.87</v>
      </c>
      <c r="N190" s="12">
        <v>0</v>
      </c>
      <c r="O190" s="12">
        <v>318.59506900000002</v>
      </c>
      <c r="P190" s="12">
        <v>2769.325069</v>
      </c>
    </row>
    <row r="191" spans="1:16" ht="14.5" x14ac:dyDescent="0.25">
      <c r="A191" s="10">
        <v>45772</v>
      </c>
      <c r="B191" s="2" t="str">
        <f t="shared" si="6"/>
        <v>Apr-2025</v>
      </c>
      <c r="C191" s="2" t="str">
        <f t="shared" si="7"/>
        <v>Q1</v>
      </c>
      <c r="D191" s="2" t="s">
        <v>28</v>
      </c>
      <c r="E191" s="11" t="s">
        <v>103</v>
      </c>
      <c r="F191" s="11" t="s">
        <v>104</v>
      </c>
      <c r="G191" s="11" t="s">
        <v>503</v>
      </c>
      <c r="H191" s="11" t="s">
        <v>87</v>
      </c>
      <c r="I191" s="12">
        <v>0.11</v>
      </c>
      <c r="J191" s="12">
        <v>20</v>
      </c>
      <c r="K191" s="12">
        <v>120.35</v>
      </c>
      <c r="L191" s="12">
        <v>2407.0000000000005</v>
      </c>
      <c r="M191" s="12">
        <v>-92.43</v>
      </c>
      <c r="N191" s="12">
        <v>0</v>
      </c>
      <c r="O191" s="12">
        <v>300.89425899999998</v>
      </c>
      <c r="P191" s="12">
        <v>2615.4642589999999</v>
      </c>
    </row>
    <row r="192" spans="1:16" ht="14.5" x14ac:dyDescent="0.25">
      <c r="A192" s="10">
        <v>45772</v>
      </c>
      <c r="B192" s="2" t="str">
        <f t="shared" si="6"/>
        <v>Apr-2025</v>
      </c>
      <c r="C192" s="2" t="str">
        <f t="shared" si="7"/>
        <v>Q1</v>
      </c>
      <c r="D192" s="2" t="s">
        <v>28</v>
      </c>
      <c r="E192" s="11" t="s">
        <v>103</v>
      </c>
      <c r="F192" s="11" t="s">
        <v>104</v>
      </c>
      <c r="G192" s="11" t="s">
        <v>503</v>
      </c>
      <c r="H192" s="11" t="s">
        <v>46</v>
      </c>
      <c r="I192" s="12">
        <v>0.17</v>
      </c>
      <c r="J192" s="12">
        <v>20</v>
      </c>
      <c r="K192" s="12">
        <v>127.43</v>
      </c>
      <c r="L192" s="12">
        <v>2548.6000000000004</v>
      </c>
      <c r="M192" s="12">
        <v>-97.87</v>
      </c>
      <c r="N192" s="12">
        <v>0</v>
      </c>
      <c r="O192" s="12">
        <v>318.59506900000002</v>
      </c>
      <c r="P192" s="12">
        <v>2769.325069</v>
      </c>
    </row>
    <row r="193" spans="1:16" ht="14.5" x14ac:dyDescent="0.25">
      <c r="A193" s="10">
        <v>45772</v>
      </c>
      <c r="B193" s="2" t="str">
        <f t="shared" si="6"/>
        <v>Apr-2025</v>
      </c>
      <c r="C193" s="2" t="str">
        <f t="shared" si="7"/>
        <v>Q1</v>
      </c>
      <c r="D193" s="2" t="s">
        <v>28</v>
      </c>
      <c r="E193" s="11" t="s">
        <v>103</v>
      </c>
      <c r="F193" s="11" t="s">
        <v>104</v>
      </c>
      <c r="G193" s="11" t="s">
        <v>503</v>
      </c>
      <c r="H193" s="11" t="s">
        <v>42</v>
      </c>
      <c r="I193" s="12">
        <v>0.17</v>
      </c>
      <c r="J193" s="12">
        <v>20</v>
      </c>
      <c r="K193" s="12">
        <v>148.66999999999999</v>
      </c>
      <c r="L193" s="12">
        <v>2973.4</v>
      </c>
      <c r="M193" s="12">
        <v>-114.18</v>
      </c>
      <c r="N193" s="12">
        <v>0</v>
      </c>
      <c r="O193" s="12">
        <v>371.69879700000001</v>
      </c>
      <c r="P193" s="12">
        <v>3230.9187969999998</v>
      </c>
    </row>
    <row r="194" spans="1:16" ht="14.5" x14ac:dyDescent="0.25">
      <c r="A194" s="10">
        <v>45772</v>
      </c>
      <c r="B194" s="2" t="str">
        <f t="shared" si="6"/>
        <v>Apr-2025</v>
      </c>
      <c r="C194" s="2" t="str">
        <f t="shared" si="7"/>
        <v>Q1</v>
      </c>
      <c r="D194" s="2" t="s">
        <v>28</v>
      </c>
      <c r="E194" s="11" t="s">
        <v>103</v>
      </c>
      <c r="F194" s="11" t="s">
        <v>104</v>
      </c>
      <c r="G194" s="11" t="s">
        <v>505</v>
      </c>
      <c r="H194" s="11" t="s">
        <v>55</v>
      </c>
      <c r="I194" s="12">
        <v>0.17</v>
      </c>
      <c r="J194" s="12">
        <v>20</v>
      </c>
      <c r="K194" s="12">
        <v>159.29</v>
      </c>
      <c r="L194" s="12">
        <v>3185.7999999999997</v>
      </c>
      <c r="M194" s="12">
        <v>-122.33</v>
      </c>
      <c r="N194" s="12">
        <v>0</v>
      </c>
      <c r="O194" s="12">
        <v>398.25131099999999</v>
      </c>
      <c r="P194" s="12">
        <v>3461.7213109999998</v>
      </c>
    </row>
    <row r="195" spans="1:16" ht="14.5" x14ac:dyDescent="0.25">
      <c r="A195" s="10">
        <v>45772</v>
      </c>
      <c r="B195" s="2" t="str">
        <f t="shared" si="6"/>
        <v>Apr-2025</v>
      </c>
      <c r="C195" s="2" t="str">
        <f t="shared" si="7"/>
        <v>Q1</v>
      </c>
      <c r="D195" s="2" t="s">
        <v>28</v>
      </c>
      <c r="E195" s="11" t="s">
        <v>103</v>
      </c>
      <c r="F195" s="11" t="s">
        <v>104</v>
      </c>
      <c r="G195" s="11" t="s">
        <v>503</v>
      </c>
      <c r="H195" s="11" t="s">
        <v>47</v>
      </c>
      <c r="I195" s="12">
        <v>0.17</v>
      </c>
      <c r="J195" s="12">
        <v>20</v>
      </c>
      <c r="K195" s="12">
        <v>127.43</v>
      </c>
      <c r="L195" s="12">
        <v>2548.6000000000004</v>
      </c>
      <c r="M195" s="12">
        <v>-97.87</v>
      </c>
      <c r="N195" s="12">
        <v>0</v>
      </c>
      <c r="O195" s="12">
        <v>318.59506900000002</v>
      </c>
      <c r="P195" s="12">
        <v>2769.325069</v>
      </c>
    </row>
    <row r="196" spans="1:16" ht="14.5" x14ac:dyDescent="0.25">
      <c r="A196" s="10">
        <v>45772</v>
      </c>
      <c r="B196" s="2" t="str">
        <f t="shared" si="6"/>
        <v>Apr-2025</v>
      </c>
      <c r="C196" s="2" t="str">
        <f t="shared" si="7"/>
        <v>Q1</v>
      </c>
      <c r="D196" s="2" t="s">
        <v>28</v>
      </c>
      <c r="E196" s="11" t="s">
        <v>103</v>
      </c>
      <c r="F196" s="11" t="s">
        <v>104</v>
      </c>
      <c r="G196" s="11" t="s">
        <v>503</v>
      </c>
      <c r="H196" s="11" t="s">
        <v>51</v>
      </c>
      <c r="I196" s="12">
        <v>0.11</v>
      </c>
      <c r="J196" s="12">
        <v>20</v>
      </c>
      <c r="K196" s="12">
        <v>67.260000000000005</v>
      </c>
      <c r="L196" s="12">
        <v>1345.2</v>
      </c>
      <c r="M196" s="12">
        <v>-51.66</v>
      </c>
      <c r="N196" s="12">
        <v>0</v>
      </c>
      <c r="O196" s="12">
        <v>168.16028900000001</v>
      </c>
      <c r="P196" s="12">
        <v>1461.7002890000001</v>
      </c>
    </row>
    <row r="197" spans="1:16" ht="14.5" x14ac:dyDescent="0.25">
      <c r="A197" s="10">
        <v>45772</v>
      </c>
      <c r="B197" s="2" t="str">
        <f t="shared" si="6"/>
        <v>Apr-2025</v>
      </c>
      <c r="C197" s="2" t="str">
        <f t="shared" si="7"/>
        <v>Q1</v>
      </c>
      <c r="D197" s="2" t="s">
        <v>28</v>
      </c>
      <c r="E197" s="11" t="s">
        <v>103</v>
      </c>
      <c r="F197" s="11" t="s">
        <v>104</v>
      </c>
      <c r="G197" s="11" t="s">
        <v>503</v>
      </c>
      <c r="H197" s="11" t="s">
        <v>63</v>
      </c>
      <c r="I197" s="12">
        <v>0.25</v>
      </c>
      <c r="J197" s="12">
        <v>20</v>
      </c>
      <c r="K197" s="12">
        <v>198.23</v>
      </c>
      <c r="L197" s="12">
        <v>3964.6000000000004</v>
      </c>
      <c r="M197" s="12">
        <v>-152.24</v>
      </c>
      <c r="N197" s="12">
        <v>0</v>
      </c>
      <c r="O197" s="12">
        <v>495.60706199999998</v>
      </c>
      <c r="P197" s="12">
        <v>4307.9670619999997</v>
      </c>
    </row>
    <row r="198" spans="1:16" ht="14.5" x14ac:dyDescent="0.25">
      <c r="A198" s="10">
        <v>45772</v>
      </c>
      <c r="B198" s="2" t="str">
        <f t="shared" si="6"/>
        <v>Apr-2025</v>
      </c>
      <c r="C198" s="2" t="str">
        <f t="shared" si="7"/>
        <v>Q1</v>
      </c>
      <c r="D198" s="2" t="s">
        <v>28</v>
      </c>
      <c r="E198" s="11" t="s">
        <v>103</v>
      </c>
      <c r="F198" s="11" t="s">
        <v>104</v>
      </c>
      <c r="G198" s="11" t="s">
        <v>503</v>
      </c>
      <c r="H198" s="11" t="s">
        <v>59</v>
      </c>
      <c r="I198" s="12">
        <v>0.11</v>
      </c>
      <c r="J198" s="12">
        <v>20</v>
      </c>
      <c r="K198" s="12">
        <v>67.260000000000005</v>
      </c>
      <c r="L198" s="12">
        <v>1345.2</v>
      </c>
      <c r="M198" s="12">
        <v>-51.66</v>
      </c>
      <c r="N198" s="12">
        <v>0</v>
      </c>
      <c r="O198" s="12">
        <v>168.16028900000001</v>
      </c>
      <c r="P198" s="12">
        <v>1461.7002890000001</v>
      </c>
    </row>
    <row r="199" spans="1:16" ht="14.5" x14ac:dyDescent="0.25">
      <c r="A199" s="10">
        <v>45772</v>
      </c>
      <c r="B199" s="2" t="str">
        <f t="shared" si="6"/>
        <v>Apr-2025</v>
      </c>
      <c r="C199" s="2" t="str">
        <f t="shared" si="7"/>
        <v>Q1</v>
      </c>
      <c r="D199" s="2" t="s">
        <v>28</v>
      </c>
      <c r="E199" s="11" t="s">
        <v>105</v>
      </c>
      <c r="F199" s="11" t="s">
        <v>104</v>
      </c>
      <c r="G199" s="11" t="s">
        <v>506</v>
      </c>
      <c r="H199" s="11" t="s">
        <v>54</v>
      </c>
      <c r="I199" s="12">
        <v>0.42</v>
      </c>
      <c r="J199" s="12">
        <v>20</v>
      </c>
      <c r="K199" s="12">
        <v>325.66000000000003</v>
      </c>
      <c r="L199" s="12">
        <v>6513.2000000000007</v>
      </c>
      <c r="M199" s="12">
        <v>-250.11</v>
      </c>
      <c r="N199" s="12">
        <v>0</v>
      </c>
      <c r="O199" s="12">
        <v>814.20194200000003</v>
      </c>
      <c r="P199" s="12">
        <v>7077.2919419999998</v>
      </c>
    </row>
    <row r="200" spans="1:16" ht="14.5" x14ac:dyDescent="0.25">
      <c r="A200" s="10">
        <v>45772</v>
      </c>
      <c r="B200" s="2" t="str">
        <f t="shared" si="6"/>
        <v>Apr-2025</v>
      </c>
      <c r="C200" s="2" t="str">
        <f t="shared" si="7"/>
        <v>Q1</v>
      </c>
      <c r="D200" s="2" t="s">
        <v>28</v>
      </c>
      <c r="E200" s="11" t="s">
        <v>105</v>
      </c>
      <c r="F200" s="11" t="s">
        <v>104</v>
      </c>
      <c r="G200" s="11" t="s">
        <v>504</v>
      </c>
      <c r="H200" s="11" t="s">
        <v>69</v>
      </c>
      <c r="I200" s="12">
        <v>0.2</v>
      </c>
      <c r="J200" s="12">
        <v>20</v>
      </c>
      <c r="K200" s="12">
        <v>198.23</v>
      </c>
      <c r="L200" s="12">
        <v>3964.6000000000004</v>
      </c>
      <c r="M200" s="12">
        <v>-152.24</v>
      </c>
      <c r="N200" s="12">
        <v>0</v>
      </c>
      <c r="O200" s="12">
        <v>495.60694699999999</v>
      </c>
      <c r="P200" s="12">
        <v>4307.9669469999999</v>
      </c>
    </row>
    <row r="201" spans="1:16" ht="14.5" x14ac:dyDescent="0.25">
      <c r="A201" s="10">
        <v>45772</v>
      </c>
      <c r="B201" s="2" t="str">
        <f t="shared" si="6"/>
        <v>Apr-2025</v>
      </c>
      <c r="C201" s="2" t="str">
        <f t="shared" si="7"/>
        <v>Q1</v>
      </c>
      <c r="D201" s="2" t="s">
        <v>28</v>
      </c>
      <c r="E201" s="11" t="s">
        <v>105</v>
      </c>
      <c r="F201" s="11" t="s">
        <v>104</v>
      </c>
      <c r="G201" s="11" t="s">
        <v>505</v>
      </c>
      <c r="H201" s="11" t="s">
        <v>62</v>
      </c>
      <c r="I201" s="12">
        <v>0.5</v>
      </c>
      <c r="J201" s="12">
        <v>20</v>
      </c>
      <c r="K201" s="12">
        <v>460.18</v>
      </c>
      <c r="L201" s="12">
        <v>9203.6</v>
      </c>
      <c r="M201" s="12">
        <v>-353.42</v>
      </c>
      <c r="N201" s="12">
        <v>0</v>
      </c>
      <c r="O201" s="12">
        <v>1150.5237420000001</v>
      </c>
      <c r="P201" s="12">
        <v>10000.703742</v>
      </c>
    </row>
    <row r="202" spans="1:16" ht="14.5" x14ac:dyDescent="0.25">
      <c r="A202" s="10">
        <v>45772</v>
      </c>
      <c r="B202" s="2" t="str">
        <f t="shared" si="6"/>
        <v>Apr-2025</v>
      </c>
      <c r="C202" s="2" t="str">
        <f t="shared" si="7"/>
        <v>Q1</v>
      </c>
      <c r="D202" s="2" t="s">
        <v>28</v>
      </c>
      <c r="E202" s="11" t="s">
        <v>105</v>
      </c>
      <c r="F202" s="11" t="s">
        <v>104</v>
      </c>
      <c r="G202" s="11" t="s">
        <v>505</v>
      </c>
      <c r="H202" s="11" t="s">
        <v>50</v>
      </c>
      <c r="I202" s="12">
        <v>0.25</v>
      </c>
      <c r="J202" s="12">
        <v>20</v>
      </c>
      <c r="K202" s="12">
        <v>176.99</v>
      </c>
      <c r="L202" s="12">
        <v>3539.8</v>
      </c>
      <c r="M202" s="12">
        <v>-135.93</v>
      </c>
      <c r="N202" s="12">
        <v>0</v>
      </c>
      <c r="O202" s="12">
        <v>442.50323200000003</v>
      </c>
      <c r="P202" s="12">
        <v>3846.3732319999999</v>
      </c>
    </row>
    <row r="203" spans="1:16" ht="14.5" x14ac:dyDescent="0.25">
      <c r="A203" s="10">
        <v>45772</v>
      </c>
      <c r="B203" s="2" t="str">
        <f t="shared" si="6"/>
        <v>Apr-2025</v>
      </c>
      <c r="C203" s="2" t="str">
        <f t="shared" si="7"/>
        <v>Q1</v>
      </c>
      <c r="D203" s="2" t="s">
        <v>28</v>
      </c>
      <c r="E203" s="11" t="s">
        <v>105</v>
      </c>
      <c r="F203" s="11" t="s">
        <v>104</v>
      </c>
      <c r="G203" s="11" t="s">
        <v>504</v>
      </c>
      <c r="H203" s="11" t="s">
        <v>67</v>
      </c>
      <c r="I203" s="12">
        <v>0.5</v>
      </c>
      <c r="J203" s="12">
        <v>20</v>
      </c>
      <c r="K203" s="12">
        <v>481.42</v>
      </c>
      <c r="L203" s="12">
        <v>9628.4</v>
      </c>
      <c r="M203" s="12">
        <v>-369.73</v>
      </c>
      <c r="N203" s="12">
        <v>0</v>
      </c>
      <c r="O203" s="12">
        <v>1203.6274580000002</v>
      </c>
      <c r="P203" s="12">
        <v>10462.297457999999</v>
      </c>
    </row>
    <row r="204" spans="1:16" ht="14.5" x14ac:dyDescent="0.25">
      <c r="A204" s="10">
        <v>45772</v>
      </c>
      <c r="B204" s="2" t="str">
        <f t="shared" si="6"/>
        <v>Apr-2025</v>
      </c>
      <c r="C204" s="2" t="str">
        <f t="shared" si="7"/>
        <v>Q1</v>
      </c>
      <c r="D204" s="2" t="s">
        <v>28</v>
      </c>
      <c r="E204" s="11" t="s">
        <v>105</v>
      </c>
      <c r="F204" s="11" t="s">
        <v>104</v>
      </c>
      <c r="G204" s="11" t="s">
        <v>504</v>
      </c>
      <c r="H204" s="11" t="s">
        <v>66</v>
      </c>
      <c r="I204" s="12">
        <v>0.2</v>
      </c>
      <c r="J204" s="12">
        <v>20</v>
      </c>
      <c r="K204" s="12">
        <v>113.27</v>
      </c>
      <c r="L204" s="12">
        <v>2265.4</v>
      </c>
      <c r="M204" s="12">
        <v>-86.99</v>
      </c>
      <c r="N204" s="12">
        <v>0</v>
      </c>
      <c r="O204" s="12">
        <v>283.19338399999998</v>
      </c>
      <c r="P204" s="12">
        <v>2461.603384</v>
      </c>
    </row>
    <row r="205" spans="1:16" ht="14.5" x14ac:dyDescent="0.25">
      <c r="A205" s="10">
        <v>45772</v>
      </c>
      <c r="B205" s="2" t="str">
        <f t="shared" si="6"/>
        <v>Apr-2025</v>
      </c>
      <c r="C205" s="2" t="str">
        <f t="shared" si="7"/>
        <v>Q1</v>
      </c>
      <c r="D205" s="2" t="s">
        <v>28</v>
      </c>
      <c r="E205" s="11" t="s">
        <v>105</v>
      </c>
      <c r="F205" s="11" t="s">
        <v>104</v>
      </c>
      <c r="G205" s="11" t="s">
        <v>505</v>
      </c>
      <c r="H205" s="11" t="s">
        <v>40</v>
      </c>
      <c r="I205" s="12">
        <v>0.11</v>
      </c>
      <c r="J205" s="12">
        <v>20</v>
      </c>
      <c r="K205" s="12">
        <v>99.12</v>
      </c>
      <c r="L205" s="12">
        <v>1982.4</v>
      </c>
      <c r="M205" s="12">
        <v>-76.12</v>
      </c>
      <c r="N205" s="12">
        <v>0</v>
      </c>
      <c r="O205" s="12">
        <v>247.816474</v>
      </c>
      <c r="P205" s="12">
        <v>2154.0964739999999</v>
      </c>
    </row>
    <row r="206" spans="1:16" ht="14.5" x14ac:dyDescent="0.25">
      <c r="A206" s="10">
        <v>45772</v>
      </c>
      <c r="B206" s="2" t="str">
        <f t="shared" si="6"/>
        <v>Apr-2025</v>
      </c>
      <c r="C206" s="2" t="str">
        <f t="shared" si="7"/>
        <v>Q1</v>
      </c>
      <c r="D206" s="2" t="s">
        <v>28</v>
      </c>
      <c r="E206" s="11" t="s">
        <v>105</v>
      </c>
      <c r="F206" s="11" t="s">
        <v>104</v>
      </c>
      <c r="G206" s="11" t="s">
        <v>505</v>
      </c>
      <c r="H206" s="11" t="s">
        <v>56</v>
      </c>
      <c r="I206" s="12">
        <v>0.17</v>
      </c>
      <c r="J206" s="12">
        <v>20</v>
      </c>
      <c r="K206" s="12">
        <v>60.18</v>
      </c>
      <c r="L206" s="12">
        <v>1203.5999999999999</v>
      </c>
      <c r="M206" s="12">
        <v>-46.22</v>
      </c>
      <c r="N206" s="12">
        <v>0</v>
      </c>
      <c r="O206" s="12">
        <v>150.45944500000002</v>
      </c>
      <c r="P206" s="12">
        <v>1307.8394450000001</v>
      </c>
    </row>
    <row r="207" spans="1:16" ht="14.5" x14ac:dyDescent="0.25">
      <c r="A207" s="10">
        <v>45772</v>
      </c>
      <c r="B207" s="2" t="str">
        <f t="shared" si="6"/>
        <v>Apr-2025</v>
      </c>
      <c r="C207" s="2" t="str">
        <f t="shared" si="7"/>
        <v>Q1</v>
      </c>
      <c r="D207" s="2" t="s">
        <v>28</v>
      </c>
      <c r="E207" s="11" t="s">
        <v>105</v>
      </c>
      <c r="F207" s="11" t="s">
        <v>104</v>
      </c>
      <c r="G207" s="11" t="s">
        <v>504</v>
      </c>
      <c r="H207" s="11" t="s">
        <v>68</v>
      </c>
      <c r="I207" s="12">
        <v>0.5</v>
      </c>
      <c r="J207" s="12">
        <v>20</v>
      </c>
      <c r="K207" s="12">
        <v>272.57</v>
      </c>
      <c r="L207" s="12">
        <v>5451.4</v>
      </c>
      <c r="M207" s="12">
        <v>-209.33</v>
      </c>
      <c r="N207" s="12">
        <v>0</v>
      </c>
      <c r="O207" s="12">
        <v>681.46930299999997</v>
      </c>
      <c r="P207" s="12">
        <v>5923.5393029999996</v>
      </c>
    </row>
    <row r="208" spans="1:16" ht="14.5" x14ac:dyDescent="0.25">
      <c r="A208" s="10">
        <v>45772</v>
      </c>
      <c r="B208" s="2" t="str">
        <f t="shared" si="6"/>
        <v>Apr-2025</v>
      </c>
      <c r="C208" s="2" t="str">
        <f t="shared" si="7"/>
        <v>Q1</v>
      </c>
      <c r="D208" s="2" t="s">
        <v>28</v>
      </c>
      <c r="E208" s="11" t="s">
        <v>105</v>
      </c>
      <c r="F208" s="11" t="s">
        <v>104</v>
      </c>
      <c r="G208" s="11" t="s">
        <v>507</v>
      </c>
      <c r="H208" s="11" t="s">
        <v>90</v>
      </c>
      <c r="I208" s="12">
        <v>0.17</v>
      </c>
      <c r="J208" s="12">
        <v>20</v>
      </c>
      <c r="K208" s="12">
        <v>60.18</v>
      </c>
      <c r="L208" s="12">
        <v>1203.5999999999999</v>
      </c>
      <c r="M208" s="12">
        <v>-46.22</v>
      </c>
      <c r="N208" s="12">
        <v>0</v>
      </c>
      <c r="O208" s="12">
        <v>150.45944500000002</v>
      </c>
      <c r="P208" s="12">
        <v>1307.8394450000001</v>
      </c>
    </row>
    <row r="209" spans="1:16" ht="14.5" x14ac:dyDescent="0.25">
      <c r="A209" s="10">
        <v>45772</v>
      </c>
      <c r="B209" s="2" t="str">
        <f t="shared" si="6"/>
        <v>Apr-2025</v>
      </c>
      <c r="C209" s="2" t="str">
        <f t="shared" si="7"/>
        <v>Q1</v>
      </c>
      <c r="D209" s="2" t="s">
        <v>28</v>
      </c>
      <c r="E209" s="11" t="s">
        <v>105</v>
      </c>
      <c r="F209" s="11" t="s">
        <v>104</v>
      </c>
      <c r="G209" s="11" t="s">
        <v>506</v>
      </c>
      <c r="H209" s="11" t="s">
        <v>39</v>
      </c>
      <c r="I209" s="12">
        <v>0.28000000000000003</v>
      </c>
      <c r="J209" s="12">
        <v>20</v>
      </c>
      <c r="K209" s="12">
        <v>138.05000000000001</v>
      </c>
      <c r="L209" s="12">
        <v>2760.9999999999995</v>
      </c>
      <c r="M209" s="12">
        <v>-106.02</v>
      </c>
      <c r="N209" s="12">
        <v>0</v>
      </c>
      <c r="O209" s="12">
        <v>345.14750300000003</v>
      </c>
      <c r="P209" s="12">
        <v>3000.1275030000002</v>
      </c>
    </row>
    <row r="210" spans="1:16" ht="14.5" x14ac:dyDescent="0.25">
      <c r="A210" s="10">
        <v>45772</v>
      </c>
      <c r="B210" s="2" t="str">
        <f t="shared" si="6"/>
        <v>Apr-2025</v>
      </c>
      <c r="C210" s="2" t="str">
        <f t="shared" si="7"/>
        <v>Q1</v>
      </c>
      <c r="D210" s="2" t="s">
        <v>28</v>
      </c>
      <c r="E210" s="11" t="s">
        <v>105</v>
      </c>
      <c r="F210" s="11" t="s">
        <v>104</v>
      </c>
      <c r="G210" s="11" t="s">
        <v>507</v>
      </c>
      <c r="H210" s="11" t="s">
        <v>60</v>
      </c>
      <c r="I210" s="12">
        <v>0.33</v>
      </c>
      <c r="J210" s="12">
        <v>20</v>
      </c>
      <c r="K210" s="12">
        <v>102.65</v>
      </c>
      <c r="L210" s="12">
        <v>2053</v>
      </c>
      <c r="M210" s="12">
        <v>-78.84</v>
      </c>
      <c r="N210" s="12">
        <v>0</v>
      </c>
      <c r="O210" s="12">
        <v>256.64087599999999</v>
      </c>
      <c r="P210" s="12">
        <v>2230.8008759999998</v>
      </c>
    </row>
    <row r="211" spans="1:16" ht="14.5" x14ac:dyDescent="0.25">
      <c r="A211" s="10">
        <v>45772</v>
      </c>
      <c r="B211" s="2" t="str">
        <f t="shared" si="6"/>
        <v>Apr-2025</v>
      </c>
      <c r="C211" s="2" t="str">
        <f t="shared" si="7"/>
        <v>Q1</v>
      </c>
      <c r="D211" s="2" t="s">
        <v>28</v>
      </c>
      <c r="E211" s="11" t="s">
        <v>105</v>
      </c>
      <c r="F211" s="11" t="s">
        <v>104</v>
      </c>
      <c r="G211" s="11" t="s">
        <v>505</v>
      </c>
      <c r="H211" s="11" t="s">
        <v>49</v>
      </c>
      <c r="I211" s="12">
        <v>0.11</v>
      </c>
      <c r="J211" s="12">
        <v>20</v>
      </c>
      <c r="K211" s="12">
        <v>191.15</v>
      </c>
      <c r="L211" s="12">
        <v>3823.0000000000005</v>
      </c>
      <c r="M211" s="12">
        <v>-146.80000000000001</v>
      </c>
      <c r="N211" s="12">
        <v>0</v>
      </c>
      <c r="O211" s="12">
        <v>477.90614199999999</v>
      </c>
      <c r="P211" s="12">
        <v>4154.1061419999996</v>
      </c>
    </row>
    <row r="212" spans="1:16" ht="14.5" x14ac:dyDescent="0.25">
      <c r="A212" s="10">
        <v>45772</v>
      </c>
      <c r="B212" s="2" t="str">
        <f t="shared" si="6"/>
        <v>Apr-2025</v>
      </c>
      <c r="C212" s="2" t="str">
        <f t="shared" si="7"/>
        <v>Q1</v>
      </c>
      <c r="D212" s="2" t="s">
        <v>28</v>
      </c>
      <c r="E212" s="11" t="s">
        <v>105</v>
      </c>
      <c r="F212" s="11" t="s">
        <v>104</v>
      </c>
      <c r="G212" s="11" t="s">
        <v>506</v>
      </c>
      <c r="H212" s="11" t="s">
        <v>58</v>
      </c>
      <c r="I212" s="12">
        <v>0.28000000000000003</v>
      </c>
      <c r="J212" s="12">
        <v>20</v>
      </c>
      <c r="K212" s="12">
        <v>155.75</v>
      </c>
      <c r="L212" s="12">
        <v>3115.0000000000005</v>
      </c>
      <c r="M212" s="12">
        <v>-119.62</v>
      </c>
      <c r="N212" s="12">
        <v>0</v>
      </c>
      <c r="O212" s="12">
        <v>389.39951600000001</v>
      </c>
      <c r="P212" s="12">
        <v>3384.7795160000001</v>
      </c>
    </row>
    <row r="213" spans="1:16" ht="14.5" x14ac:dyDescent="0.25">
      <c r="A213" s="10">
        <v>45772</v>
      </c>
      <c r="B213" s="2" t="str">
        <f t="shared" si="6"/>
        <v>Apr-2025</v>
      </c>
      <c r="C213" s="2" t="str">
        <f t="shared" si="7"/>
        <v>Q1</v>
      </c>
      <c r="D213" s="2" t="s">
        <v>28</v>
      </c>
      <c r="E213" s="11" t="s">
        <v>105</v>
      </c>
      <c r="F213" s="11" t="s">
        <v>104</v>
      </c>
      <c r="G213" s="11" t="s">
        <v>503</v>
      </c>
      <c r="H213" s="11" t="s">
        <v>89</v>
      </c>
      <c r="I213" s="12">
        <v>0.17</v>
      </c>
      <c r="J213" s="12">
        <v>20</v>
      </c>
      <c r="K213" s="12">
        <v>123.89</v>
      </c>
      <c r="L213" s="12">
        <v>2477.7999999999997</v>
      </c>
      <c r="M213" s="12">
        <v>-95.15</v>
      </c>
      <c r="N213" s="12">
        <v>0</v>
      </c>
      <c r="O213" s="12">
        <v>309.74459200000001</v>
      </c>
      <c r="P213" s="12">
        <v>2692.3945920000001</v>
      </c>
    </row>
    <row r="214" spans="1:16" ht="14.5" x14ac:dyDescent="0.25">
      <c r="A214" s="10">
        <v>45772</v>
      </c>
      <c r="B214" s="2" t="str">
        <f t="shared" si="6"/>
        <v>Apr-2025</v>
      </c>
      <c r="C214" s="2" t="str">
        <f t="shared" si="7"/>
        <v>Q1</v>
      </c>
      <c r="D214" s="2" t="s">
        <v>28</v>
      </c>
      <c r="E214" s="11" t="s">
        <v>106</v>
      </c>
      <c r="F214" s="11" t="s">
        <v>104</v>
      </c>
      <c r="G214" s="11" t="s">
        <v>504</v>
      </c>
      <c r="H214" s="11" t="s">
        <v>53</v>
      </c>
      <c r="I214" s="12">
        <v>0.2</v>
      </c>
      <c r="J214" s="12">
        <v>20</v>
      </c>
      <c r="K214" s="12">
        <v>120.35</v>
      </c>
      <c r="L214" s="12">
        <v>2407.0000000000005</v>
      </c>
      <c r="M214" s="12">
        <v>-92.43</v>
      </c>
      <c r="N214" s="12">
        <v>0</v>
      </c>
      <c r="O214" s="12">
        <v>0</v>
      </c>
      <c r="P214" s="12">
        <v>2314.5700000000002</v>
      </c>
    </row>
    <row r="215" spans="1:16" ht="14.5" x14ac:dyDescent="0.25">
      <c r="A215" s="10">
        <v>45772</v>
      </c>
      <c r="B215" s="2" t="str">
        <f t="shared" si="6"/>
        <v>Apr-2025</v>
      </c>
      <c r="C215" s="2" t="str">
        <f t="shared" si="7"/>
        <v>Q1</v>
      </c>
      <c r="D215" s="2" t="s">
        <v>28</v>
      </c>
      <c r="E215" s="11" t="s">
        <v>106</v>
      </c>
      <c r="F215" s="11" t="s">
        <v>104</v>
      </c>
      <c r="G215" s="11" t="s">
        <v>504</v>
      </c>
      <c r="H215" s="11" t="s">
        <v>61</v>
      </c>
      <c r="I215" s="12">
        <v>0.5</v>
      </c>
      <c r="J215" s="12">
        <v>20</v>
      </c>
      <c r="K215" s="12">
        <v>286.73</v>
      </c>
      <c r="L215" s="12">
        <v>5734.5999999999995</v>
      </c>
      <c r="M215" s="12">
        <v>-220.21</v>
      </c>
      <c r="N215" s="12">
        <v>0</v>
      </c>
      <c r="O215" s="12">
        <v>0</v>
      </c>
      <c r="P215" s="12">
        <v>5514.39</v>
      </c>
    </row>
    <row r="216" spans="1:16" ht="14.5" x14ac:dyDescent="0.25">
      <c r="A216" s="10">
        <v>45772</v>
      </c>
      <c r="B216" s="2" t="str">
        <f t="shared" si="6"/>
        <v>Apr-2025</v>
      </c>
      <c r="C216" s="2" t="str">
        <f t="shared" si="7"/>
        <v>Q1</v>
      </c>
      <c r="D216" s="2" t="s">
        <v>28</v>
      </c>
      <c r="E216" s="11" t="s">
        <v>107</v>
      </c>
      <c r="F216" s="11" t="s">
        <v>75</v>
      </c>
      <c r="G216" s="11" t="s">
        <v>507</v>
      </c>
      <c r="H216" s="11" t="s">
        <v>60</v>
      </c>
      <c r="I216" s="12">
        <v>2</v>
      </c>
      <c r="J216" s="12">
        <v>120</v>
      </c>
      <c r="K216" s="12">
        <v>98.03</v>
      </c>
      <c r="L216" s="12">
        <v>11763.6</v>
      </c>
      <c r="M216" s="12">
        <v>-451.72</v>
      </c>
      <c r="N216" s="12">
        <v>0</v>
      </c>
      <c r="O216" s="12">
        <v>1470.5442090000001</v>
      </c>
      <c r="P216" s="12">
        <v>12782.424209000001</v>
      </c>
    </row>
    <row r="217" spans="1:16" ht="14.5" x14ac:dyDescent="0.25">
      <c r="A217" s="10">
        <v>45772</v>
      </c>
      <c r="B217" s="2" t="str">
        <f t="shared" si="6"/>
        <v>Apr-2025</v>
      </c>
      <c r="C217" s="2" t="str">
        <f t="shared" si="7"/>
        <v>Q1</v>
      </c>
      <c r="D217" s="2" t="s">
        <v>28</v>
      </c>
      <c r="E217" s="11" t="s">
        <v>107</v>
      </c>
      <c r="F217" s="11" t="s">
        <v>75</v>
      </c>
      <c r="G217" s="11" t="s">
        <v>503</v>
      </c>
      <c r="H217" s="11" t="s">
        <v>45</v>
      </c>
      <c r="I217" s="12">
        <v>1</v>
      </c>
      <c r="J217" s="12">
        <v>180</v>
      </c>
      <c r="K217" s="12">
        <v>64.23</v>
      </c>
      <c r="L217" s="12">
        <v>11561.4</v>
      </c>
      <c r="M217" s="12">
        <v>-443.96</v>
      </c>
      <c r="N217" s="12">
        <v>0</v>
      </c>
      <c r="O217" s="12">
        <v>1445.267012</v>
      </c>
      <c r="P217" s="12">
        <v>12562.707012000001</v>
      </c>
    </row>
    <row r="218" spans="1:16" ht="14.5" x14ac:dyDescent="0.25">
      <c r="A218" s="10">
        <v>45772</v>
      </c>
      <c r="B218" s="2" t="str">
        <f t="shared" si="6"/>
        <v>Apr-2025</v>
      </c>
      <c r="C218" s="2" t="str">
        <f t="shared" si="7"/>
        <v>Q1</v>
      </c>
      <c r="D218" s="2" t="s">
        <v>28</v>
      </c>
      <c r="E218" s="11" t="s">
        <v>107</v>
      </c>
      <c r="F218" s="11" t="s">
        <v>75</v>
      </c>
      <c r="G218" s="11" t="s">
        <v>506</v>
      </c>
      <c r="H218" s="11" t="s">
        <v>39</v>
      </c>
      <c r="I218" s="12">
        <v>1</v>
      </c>
      <c r="J218" s="12">
        <v>72</v>
      </c>
      <c r="K218" s="12">
        <v>131.83000000000001</v>
      </c>
      <c r="L218" s="12">
        <v>9491.76</v>
      </c>
      <c r="M218" s="12">
        <v>-364.48</v>
      </c>
      <c r="N218" s="12">
        <v>0</v>
      </c>
      <c r="O218" s="12">
        <v>1186.5462460000001</v>
      </c>
      <c r="P218" s="12">
        <v>10313.826246000001</v>
      </c>
    </row>
    <row r="219" spans="1:16" ht="14.5" x14ac:dyDescent="0.25">
      <c r="A219" s="10">
        <v>45772</v>
      </c>
      <c r="B219" s="2" t="str">
        <f t="shared" si="6"/>
        <v>Apr-2025</v>
      </c>
      <c r="C219" s="2" t="str">
        <f t="shared" si="7"/>
        <v>Q1</v>
      </c>
      <c r="D219" s="2" t="s">
        <v>28</v>
      </c>
      <c r="E219" s="11" t="s">
        <v>107</v>
      </c>
      <c r="F219" s="11" t="s">
        <v>75</v>
      </c>
      <c r="G219" s="11" t="s">
        <v>503</v>
      </c>
      <c r="H219" s="11" t="s">
        <v>59</v>
      </c>
      <c r="I219" s="12">
        <v>1</v>
      </c>
      <c r="J219" s="12">
        <v>180</v>
      </c>
      <c r="K219" s="12">
        <v>64.23</v>
      </c>
      <c r="L219" s="12">
        <v>11561.4</v>
      </c>
      <c r="M219" s="12">
        <v>-443.96</v>
      </c>
      <c r="N219" s="12">
        <v>0</v>
      </c>
      <c r="O219" s="12">
        <v>1445.267012</v>
      </c>
      <c r="P219" s="12">
        <v>12562.707012000001</v>
      </c>
    </row>
    <row r="220" spans="1:16" ht="14.5" x14ac:dyDescent="0.25">
      <c r="A220" s="10">
        <v>45772</v>
      </c>
      <c r="B220" s="2" t="str">
        <f t="shared" si="6"/>
        <v>Apr-2025</v>
      </c>
      <c r="C220" s="2" t="str">
        <f t="shared" si="7"/>
        <v>Q1</v>
      </c>
      <c r="D220" s="2" t="s">
        <v>28</v>
      </c>
      <c r="E220" s="11" t="s">
        <v>107</v>
      </c>
      <c r="F220" s="11" t="s">
        <v>75</v>
      </c>
      <c r="G220" s="11" t="s">
        <v>505</v>
      </c>
      <c r="H220" s="11" t="s">
        <v>50</v>
      </c>
      <c r="I220" s="12">
        <v>1</v>
      </c>
      <c r="J220" s="12">
        <v>80</v>
      </c>
      <c r="K220" s="12">
        <v>169.01</v>
      </c>
      <c r="L220" s="12">
        <v>13520.8</v>
      </c>
      <c r="M220" s="12">
        <v>-519.20000000000005</v>
      </c>
      <c r="N220" s="12">
        <v>0</v>
      </c>
      <c r="O220" s="12">
        <v>1690.2077800000002</v>
      </c>
      <c r="P220" s="12">
        <v>14691.807779999999</v>
      </c>
    </row>
    <row r="221" spans="1:16" ht="14.5" x14ac:dyDescent="0.25">
      <c r="A221" s="10">
        <v>45772</v>
      </c>
      <c r="B221" s="2" t="str">
        <f t="shared" si="6"/>
        <v>Apr-2025</v>
      </c>
      <c r="C221" s="2" t="str">
        <f t="shared" si="7"/>
        <v>Q1</v>
      </c>
      <c r="D221" s="2" t="s">
        <v>28</v>
      </c>
      <c r="E221" s="11" t="s">
        <v>107</v>
      </c>
      <c r="F221" s="11" t="s">
        <v>75</v>
      </c>
      <c r="G221" s="11" t="s">
        <v>507</v>
      </c>
      <c r="H221" s="11" t="s">
        <v>90</v>
      </c>
      <c r="I221" s="12">
        <v>1</v>
      </c>
      <c r="J221" s="12">
        <v>120</v>
      </c>
      <c r="K221" s="12">
        <v>57.46</v>
      </c>
      <c r="L221" s="12">
        <v>6895.2</v>
      </c>
      <c r="M221" s="12">
        <v>-264.77999999999997</v>
      </c>
      <c r="N221" s="12">
        <v>0</v>
      </c>
      <c r="O221" s="12">
        <v>861.95448800000008</v>
      </c>
      <c r="P221" s="12">
        <v>7492.3744880000004</v>
      </c>
    </row>
    <row r="222" spans="1:16" ht="14.5" x14ac:dyDescent="0.25">
      <c r="A222" s="10">
        <v>45772</v>
      </c>
      <c r="B222" s="2" t="str">
        <f t="shared" si="6"/>
        <v>Apr-2025</v>
      </c>
      <c r="C222" s="2" t="str">
        <f t="shared" si="7"/>
        <v>Q1</v>
      </c>
      <c r="D222" s="2" t="s">
        <v>28</v>
      </c>
      <c r="E222" s="11" t="s">
        <v>107</v>
      </c>
      <c r="F222" s="11" t="s">
        <v>75</v>
      </c>
      <c r="G222" s="11" t="s">
        <v>503</v>
      </c>
      <c r="H222" s="11" t="s">
        <v>44</v>
      </c>
      <c r="I222" s="12">
        <v>1</v>
      </c>
      <c r="J222" s="12">
        <v>180</v>
      </c>
      <c r="K222" s="12">
        <v>155.49</v>
      </c>
      <c r="L222" s="12">
        <v>27988.2</v>
      </c>
      <c r="M222" s="12">
        <v>-1074.75</v>
      </c>
      <c r="N222" s="12">
        <v>0</v>
      </c>
      <c r="O222" s="12">
        <v>3498.7480449999998</v>
      </c>
      <c r="P222" s="12">
        <v>30412.198045000001</v>
      </c>
    </row>
    <row r="223" spans="1:16" ht="14.5" x14ac:dyDescent="0.25">
      <c r="A223" s="10">
        <v>45772</v>
      </c>
      <c r="B223" s="2" t="str">
        <f t="shared" si="6"/>
        <v>Apr-2025</v>
      </c>
      <c r="C223" s="2" t="str">
        <f t="shared" si="7"/>
        <v>Q1</v>
      </c>
      <c r="D223" s="2" t="s">
        <v>28</v>
      </c>
      <c r="E223" s="11" t="s">
        <v>107</v>
      </c>
      <c r="F223" s="11" t="s">
        <v>75</v>
      </c>
      <c r="G223" s="11" t="s">
        <v>505</v>
      </c>
      <c r="H223" s="11" t="s">
        <v>40</v>
      </c>
      <c r="I223" s="12">
        <v>1</v>
      </c>
      <c r="J223" s="12">
        <v>180</v>
      </c>
      <c r="K223" s="12">
        <v>94.65</v>
      </c>
      <c r="L223" s="12">
        <v>17037</v>
      </c>
      <c r="M223" s="12">
        <v>-654.22</v>
      </c>
      <c r="N223" s="12">
        <v>0</v>
      </c>
      <c r="O223" s="12">
        <v>2129.7611229999998</v>
      </c>
      <c r="P223" s="12">
        <v>18512.541122999999</v>
      </c>
    </row>
    <row r="224" spans="1:16" ht="14.5" x14ac:dyDescent="0.25">
      <c r="A224" s="10">
        <v>45772</v>
      </c>
      <c r="B224" s="2" t="str">
        <f t="shared" si="6"/>
        <v>Apr-2025</v>
      </c>
      <c r="C224" s="2" t="str">
        <f t="shared" si="7"/>
        <v>Q1</v>
      </c>
      <c r="D224" s="2" t="s">
        <v>28</v>
      </c>
      <c r="E224" s="11" t="s">
        <v>107</v>
      </c>
      <c r="F224" s="11" t="s">
        <v>75</v>
      </c>
      <c r="G224" s="11" t="s">
        <v>506</v>
      </c>
      <c r="H224" s="11" t="s">
        <v>54</v>
      </c>
      <c r="I224" s="12">
        <v>1</v>
      </c>
      <c r="J224" s="12">
        <v>48</v>
      </c>
      <c r="K224" s="12">
        <v>310.99</v>
      </c>
      <c r="L224" s="12">
        <v>14927.519999999999</v>
      </c>
      <c r="M224" s="12">
        <v>-573.22</v>
      </c>
      <c r="N224" s="12">
        <v>0</v>
      </c>
      <c r="O224" s="12">
        <v>1866.0587580000001</v>
      </c>
      <c r="P224" s="12">
        <v>16220.358758</v>
      </c>
    </row>
    <row r="225" spans="1:16" ht="14.5" x14ac:dyDescent="0.25">
      <c r="A225" s="10">
        <v>45772</v>
      </c>
      <c r="B225" s="2" t="str">
        <f t="shared" si="6"/>
        <v>Apr-2025</v>
      </c>
      <c r="C225" s="2" t="str">
        <f t="shared" si="7"/>
        <v>Q1</v>
      </c>
      <c r="D225" s="2" t="s">
        <v>28</v>
      </c>
      <c r="E225" s="11" t="s">
        <v>107</v>
      </c>
      <c r="F225" s="11" t="s">
        <v>75</v>
      </c>
      <c r="G225" s="11" t="s">
        <v>506</v>
      </c>
      <c r="H225" s="11" t="s">
        <v>58</v>
      </c>
      <c r="I225" s="12">
        <v>1</v>
      </c>
      <c r="J225" s="12">
        <v>72</v>
      </c>
      <c r="K225" s="12">
        <v>148.72999999999999</v>
      </c>
      <c r="L225" s="12">
        <v>10708.56</v>
      </c>
      <c r="M225" s="12">
        <v>-411.21</v>
      </c>
      <c r="N225" s="12">
        <v>0</v>
      </c>
      <c r="O225" s="12">
        <v>1338.6553260000001</v>
      </c>
      <c r="P225" s="12">
        <v>11636.005326</v>
      </c>
    </row>
    <row r="226" spans="1:16" ht="14.5" x14ac:dyDescent="0.25">
      <c r="A226" s="10">
        <v>45772</v>
      </c>
      <c r="B226" s="2" t="str">
        <f t="shared" si="6"/>
        <v>Apr-2025</v>
      </c>
      <c r="C226" s="2" t="str">
        <f t="shared" si="7"/>
        <v>Q1</v>
      </c>
      <c r="D226" s="2" t="s">
        <v>28</v>
      </c>
      <c r="E226" s="11" t="s">
        <v>108</v>
      </c>
      <c r="F226" s="11" t="s">
        <v>95</v>
      </c>
      <c r="G226" s="11" t="s">
        <v>505</v>
      </c>
      <c r="H226" s="11" t="s">
        <v>56</v>
      </c>
      <c r="I226" s="12">
        <v>2</v>
      </c>
      <c r="J226" s="12">
        <v>240</v>
      </c>
      <c r="K226" s="12">
        <v>57.46</v>
      </c>
      <c r="L226" s="12">
        <v>13790.4</v>
      </c>
      <c r="M226" s="12">
        <v>-529.54999999999995</v>
      </c>
      <c r="N226" s="12">
        <v>0</v>
      </c>
      <c r="O226" s="12">
        <v>1723.910376</v>
      </c>
      <c r="P226" s="12">
        <v>14984.760376</v>
      </c>
    </row>
    <row r="227" spans="1:16" ht="14.5" x14ac:dyDescent="0.25">
      <c r="A227" s="10">
        <v>45772</v>
      </c>
      <c r="B227" s="2" t="str">
        <f t="shared" si="6"/>
        <v>Apr-2025</v>
      </c>
      <c r="C227" s="2" t="str">
        <f t="shared" si="7"/>
        <v>Q1</v>
      </c>
      <c r="D227" s="2" t="s">
        <v>28</v>
      </c>
      <c r="E227" s="11" t="s">
        <v>108</v>
      </c>
      <c r="F227" s="11" t="s">
        <v>95</v>
      </c>
      <c r="G227" s="11" t="s">
        <v>503</v>
      </c>
      <c r="H227" s="11" t="s">
        <v>57</v>
      </c>
      <c r="I227" s="12">
        <v>2</v>
      </c>
      <c r="J227" s="12">
        <v>360</v>
      </c>
      <c r="K227" s="12">
        <v>121.69</v>
      </c>
      <c r="L227" s="12">
        <v>43808.399999999994</v>
      </c>
      <c r="M227" s="12">
        <v>-1682.24</v>
      </c>
      <c r="N227" s="12">
        <v>0</v>
      </c>
      <c r="O227" s="12">
        <v>5476.4004050000003</v>
      </c>
      <c r="P227" s="12">
        <v>47602.560404999997</v>
      </c>
    </row>
    <row r="228" spans="1:16" ht="14.5" x14ac:dyDescent="0.25">
      <c r="A228" s="10">
        <v>45772</v>
      </c>
      <c r="B228" s="2" t="str">
        <f t="shared" si="6"/>
        <v>Apr-2025</v>
      </c>
      <c r="C228" s="2" t="str">
        <f t="shared" si="7"/>
        <v>Q1</v>
      </c>
      <c r="D228" s="2" t="s">
        <v>28</v>
      </c>
      <c r="E228" s="11" t="s">
        <v>108</v>
      </c>
      <c r="F228" s="11" t="s">
        <v>95</v>
      </c>
      <c r="G228" s="11" t="s">
        <v>505</v>
      </c>
      <c r="H228" s="11" t="s">
        <v>49</v>
      </c>
      <c r="I228" s="12">
        <v>4</v>
      </c>
      <c r="J228" s="12">
        <v>720</v>
      </c>
      <c r="K228" s="12">
        <v>182.53</v>
      </c>
      <c r="L228" s="12">
        <v>131421.6</v>
      </c>
      <c r="M228" s="12">
        <v>-5046.59</v>
      </c>
      <c r="N228" s="12">
        <v>0</v>
      </c>
      <c r="O228" s="12">
        <v>16428.750114999999</v>
      </c>
      <c r="P228" s="12">
        <v>142803.76011500001</v>
      </c>
    </row>
    <row r="229" spans="1:16" ht="14.5" x14ac:dyDescent="0.25">
      <c r="A229" s="10">
        <v>45772</v>
      </c>
      <c r="B229" s="2" t="str">
        <f t="shared" si="6"/>
        <v>Apr-2025</v>
      </c>
      <c r="C229" s="2" t="str">
        <f t="shared" si="7"/>
        <v>Q1</v>
      </c>
      <c r="D229" s="2" t="s">
        <v>28</v>
      </c>
      <c r="E229" s="11" t="s">
        <v>108</v>
      </c>
      <c r="F229" s="11" t="s">
        <v>95</v>
      </c>
      <c r="G229" s="11" t="s">
        <v>503</v>
      </c>
      <c r="H229" s="11" t="s">
        <v>47</v>
      </c>
      <c r="I229" s="12">
        <v>1</v>
      </c>
      <c r="J229" s="12">
        <v>120</v>
      </c>
      <c r="K229" s="12">
        <v>121.69</v>
      </c>
      <c r="L229" s="12">
        <v>14602.800000000001</v>
      </c>
      <c r="M229" s="12">
        <v>-560.75</v>
      </c>
      <c r="N229" s="12">
        <v>0</v>
      </c>
      <c r="O229" s="12">
        <v>1825.4663680000001</v>
      </c>
      <c r="P229" s="12">
        <v>15867.516368000001</v>
      </c>
    </row>
    <row r="230" spans="1:16" ht="14.5" x14ac:dyDescent="0.25">
      <c r="A230" s="10">
        <v>45772</v>
      </c>
      <c r="B230" s="2" t="str">
        <f t="shared" ref="B230:B293" si="8">+TEXT(A230,"MMM-yyy")</f>
        <v>Apr-2025</v>
      </c>
      <c r="C230" s="2" t="str">
        <f t="shared" ref="C230:C293" si="9">"Q" &amp; CHOOSE(MONTH(A230),4,4,4,1,1,1,2,2,2,3,3,3)</f>
        <v>Q1</v>
      </c>
      <c r="D230" s="2" t="s">
        <v>28</v>
      </c>
      <c r="E230" s="11" t="s">
        <v>108</v>
      </c>
      <c r="F230" s="11" t="s">
        <v>95</v>
      </c>
      <c r="G230" s="11" t="s">
        <v>503</v>
      </c>
      <c r="H230" s="11" t="s">
        <v>46</v>
      </c>
      <c r="I230" s="12">
        <v>2</v>
      </c>
      <c r="J230" s="12">
        <v>240</v>
      </c>
      <c r="K230" s="12">
        <v>121.69</v>
      </c>
      <c r="L230" s="12">
        <v>29205.600000000002</v>
      </c>
      <c r="M230" s="12">
        <v>-1121.5</v>
      </c>
      <c r="N230" s="12">
        <v>0</v>
      </c>
      <c r="O230" s="12">
        <v>3650.9327370000001</v>
      </c>
      <c r="P230" s="12">
        <v>31735.032737000001</v>
      </c>
    </row>
    <row r="231" spans="1:16" ht="14.5" x14ac:dyDescent="0.25">
      <c r="A231" s="10">
        <v>45774</v>
      </c>
      <c r="B231" s="2" t="str">
        <f t="shared" si="8"/>
        <v>Apr-2025</v>
      </c>
      <c r="C231" s="2" t="str">
        <f t="shared" si="9"/>
        <v>Q1</v>
      </c>
      <c r="D231" s="2" t="s">
        <v>28</v>
      </c>
      <c r="E231" s="11" t="s">
        <v>109</v>
      </c>
      <c r="F231" s="11" t="s">
        <v>71</v>
      </c>
      <c r="G231" s="11" t="s">
        <v>506</v>
      </c>
      <c r="H231" s="11" t="s">
        <v>54</v>
      </c>
      <c r="I231" s="12">
        <v>2</v>
      </c>
      <c r="J231" s="12">
        <v>96</v>
      </c>
      <c r="K231" s="12">
        <v>310.99</v>
      </c>
      <c r="L231" s="12">
        <v>29855.039999999997</v>
      </c>
      <c r="M231" s="12">
        <v>-1146.43</v>
      </c>
      <c r="N231" s="12">
        <v>0</v>
      </c>
      <c r="O231" s="12">
        <v>3732.1195600000001</v>
      </c>
      <c r="P231" s="12">
        <v>32440.72956</v>
      </c>
    </row>
    <row r="232" spans="1:16" ht="14.5" x14ac:dyDescent="0.25">
      <c r="A232" s="10">
        <v>45774</v>
      </c>
      <c r="B232" s="2" t="str">
        <f t="shared" si="8"/>
        <v>Apr-2025</v>
      </c>
      <c r="C232" s="2" t="str">
        <f t="shared" si="9"/>
        <v>Q1</v>
      </c>
      <c r="D232" s="2" t="s">
        <v>28</v>
      </c>
      <c r="E232" s="11" t="s">
        <v>109</v>
      </c>
      <c r="F232" s="11" t="s">
        <v>71</v>
      </c>
      <c r="G232" s="11" t="s">
        <v>506</v>
      </c>
      <c r="H232" s="11" t="s">
        <v>39</v>
      </c>
      <c r="I232" s="12">
        <v>1</v>
      </c>
      <c r="J232" s="12">
        <v>72</v>
      </c>
      <c r="K232" s="12">
        <v>131.83000000000001</v>
      </c>
      <c r="L232" s="12">
        <v>9491.76</v>
      </c>
      <c r="M232" s="12">
        <v>-364.48</v>
      </c>
      <c r="N232" s="12">
        <v>0</v>
      </c>
      <c r="O232" s="12">
        <v>1186.5464830000001</v>
      </c>
      <c r="P232" s="12">
        <v>10313.826483000001</v>
      </c>
    </row>
    <row r="233" spans="1:16" ht="14.5" x14ac:dyDescent="0.25">
      <c r="A233" s="10">
        <v>45774</v>
      </c>
      <c r="B233" s="2" t="str">
        <f t="shared" si="8"/>
        <v>Apr-2025</v>
      </c>
      <c r="C233" s="2" t="str">
        <f t="shared" si="9"/>
        <v>Q1</v>
      </c>
      <c r="D233" s="2" t="s">
        <v>28</v>
      </c>
      <c r="E233" s="11" t="s">
        <v>109</v>
      </c>
      <c r="F233" s="11" t="s">
        <v>71</v>
      </c>
      <c r="G233" s="11" t="s">
        <v>507</v>
      </c>
      <c r="H233" s="11" t="s">
        <v>60</v>
      </c>
      <c r="I233" s="12">
        <v>3</v>
      </c>
      <c r="J233" s="12">
        <v>180</v>
      </c>
      <c r="K233" s="12">
        <v>98.03</v>
      </c>
      <c r="L233" s="12">
        <v>17645.400000000001</v>
      </c>
      <c r="M233" s="12">
        <v>-677.58</v>
      </c>
      <c r="N233" s="12">
        <v>0</v>
      </c>
      <c r="O233" s="12">
        <v>2205.8167539999999</v>
      </c>
      <c r="P233" s="12">
        <v>19173.636753999999</v>
      </c>
    </row>
    <row r="234" spans="1:16" ht="14.5" x14ac:dyDescent="0.25">
      <c r="A234" s="10">
        <v>45774</v>
      </c>
      <c r="B234" s="2" t="str">
        <f t="shared" si="8"/>
        <v>Apr-2025</v>
      </c>
      <c r="C234" s="2" t="str">
        <f t="shared" si="9"/>
        <v>Q1</v>
      </c>
      <c r="D234" s="2" t="s">
        <v>28</v>
      </c>
      <c r="E234" s="11" t="s">
        <v>109</v>
      </c>
      <c r="F234" s="11" t="s">
        <v>71</v>
      </c>
      <c r="G234" s="11" t="s">
        <v>503</v>
      </c>
      <c r="H234" s="11" t="s">
        <v>63</v>
      </c>
      <c r="I234" s="12">
        <v>1</v>
      </c>
      <c r="J234" s="12">
        <v>80</v>
      </c>
      <c r="K234" s="12">
        <v>189.3</v>
      </c>
      <c r="L234" s="12">
        <v>15144</v>
      </c>
      <c r="M234" s="12">
        <v>-581.53</v>
      </c>
      <c r="N234" s="12">
        <v>0</v>
      </c>
      <c r="O234" s="12">
        <v>1893.121232</v>
      </c>
      <c r="P234" s="12">
        <v>16455.591231999999</v>
      </c>
    </row>
    <row r="235" spans="1:16" ht="14.5" x14ac:dyDescent="0.25">
      <c r="A235" s="10">
        <v>45774</v>
      </c>
      <c r="B235" s="2" t="str">
        <f t="shared" si="8"/>
        <v>Apr-2025</v>
      </c>
      <c r="C235" s="2" t="str">
        <f t="shared" si="9"/>
        <v>Q1</v>
      </c>
      <c r="D235" s="2" t="s">
        <v>28</v>
      </c>
      <c r="E235" s="11" t="s">
        <v>109</v>
      </c>
      <c r="F235" s="11" t="s">
        <v>71</v>
      </c>
      <c r="G235" s="11" t="s">
        <v>505</v>
      </c>
      <c r="H235" s="11" t="s">
        <v>62</v>
      </c>
      <c r="I235" s="12">
        <v>1</v>
      </c>
      <c r="J235" s="12">
        <v>40</v>
      </c>
      <c r="K235" s="12">
        <v>439.44</v>
      </c>
      <c r="L235" s="12">
        <v>17577.599999999999</v>
      </c>
      <c r="M235" s="12">
        <v>-674.98</v>
      </c>
      <c r="N235" s="12">
        <v>0</v>
      </c>
      <c r="O235" s="12">
        <v>2197.3407529999999</v>
      </c>
      <c r="P235" s="12">
        <v>19099.960752999999</v>
      </c>
    </row>
    <row r="236" spans="1:16" ht="14.5" x14ac:dyDescent="0.25">
      <c r="A236" s="10">
        <v>45774</v>
      </c>
      <c r="B236" s="2" t="str">
        <f t="shared" si="8"/>
        <v>Apr-2025</v>
      </c>
      <c r="C236" s="2" t="str">
        <f t="shared" si="9"/>
        <v>Q1</v>
      </c>
      <c r="D236" s="2" t="s">
        <v>28</v>
      </c>
      <c r="E236" s="11" t="s">
        <v>109</v>
      </c>
      <c r="F236" s="11" t="s">
        <v>71</v>
      </c>
      <c r="G236" s="11" t="s">
        <v>507</v>
      </c>
      <c r="H236" s="11" t="s">
        <v>90</v>
      </c>
      <c r="I236" s="12">
        <v>1</v>
      </c>
      <c r="J236" s="12">
        <v>120</v>
      </c>
      <c r="K236" s="12">
        <v>57.46</v>
      </c>
      <c r="L236" s="12">
        <v>6895.2</v>
      </c>
      <c r="M236" s="12">
        <v>-264.77999999999997</v>
      </c>
      <c r="N236" s="12">
        <v>0</v>
      </c>
      <c r="O236" s="12">
        <v>861.95465999999999</v>
      </c>
      <c r="P236" s="12">
        <v>7492.3746600000004</v>
      </c>
    </row>
    <row r="237" spans="1:16" ht="14.5" x14ac:dyDescent="0.25">
      <c r="A237" s="10">
        <v>45774</v>
      </c>
      <c r="B237" s="2" t="str">
        <f t="shared" si="8"/>
        <v>Apr-2025</v>
      </c>
      <c r="C237" s="2" t="str">
        <f t="shared" si="9"/>
        <v>Q1</v>
      </c>
      <c r="D237" s="2" t="s">
        <v>28</v>
      </c>
      <c r="E237" s="11" t="s">
        <v>109</v>
      </c>
      <c r="F237" s="11" t="s">
        <v>71</v>
      </c>
      <c r="G237" s="11" t="s">
        <v>505</v>
      </c>
      <c r="H237" s="11" t="s">
        <v>50</v>
      </c>
      <c r="I237" s="12">
        <v>0.63</v>
      </c>
      <c r="J237" s="12">
        <v>50</v>
      </c>
      <c r="K237" s="12">
        <v>169.01</v>
      </c>
      <c r="L237" s="12">
        <v>8450.5</v>
      </c>
      <c r="M237" s="12">
        <v>-324.5</v>
      </c>
      <c r="N237" s="12">
        <v>0</v>
      </c>
      <c r="O237" s="12">
        <v>1056.3800739999999</v>
      </c>
      <c r="P237" s="12">
        <v>9182.3800740000006</v>
      </c>
    </row>
    <row r="238" spans="1:16" ht="14.5" x14ac:dyDescent="0.25">
      <c r="A238" s="10">
        <v>45774</v>
      </c>
      <c r="B238" s="2" t="str">
        <f t="shared" si="8"/>
        <v>Apr-2025</v>
      </c>
      <c r="C238" s="2" t="str">
        <f t="shared" si="9"/>
        <v>Q1</v>
      </c>
      <c r="D238" s="2" t="s">
        <v>28</v>
      </c>
      <c r="E238" s="11" t="s">
        <v>109</v>
      </c>
      <c r="F238" s="11" t="s">
        <v>71</v>
      </c>
      <c r="G238" s="11" t="s">
        <v>503</v>
      </c>
      <c r="H238" s="11" t="s">
        <v>42</v>
      </c>
      <c r="I238" s="12">
        <v>1</v>
      </c>
      <c r="J238" s="12">
        <v>120</v>
      </c>
      <c r="K238" s="12">
        <v>141.97</v>
      </c>
      <c r="L238" s="12">
        <v>17036.400000000001</v>
      </c>
      <c r="M238" s="12">
        <v>-654.20000000000005</v>
      </c>
      <c r="N238" s="12">
        <v>0</v>
      </c>
      <c r="O238" s="12">
        <v>2129.6861479999998</v>
      </c>
      <c r="P238" s="12">
        <v>18511.886148000001</v>
      </c>
    </row>
    <row r="239" spans="1:16" ht="14.5" x14ac:dyDescent="0.25">
      <c r="A239" s="10">
        <v>45774</v>
      </c>
      <c r="B239" s="2" t="str">
        <f t="shared" si="8"/>
        <v>Apr-2025</v>
      </c>
      <c r="C239" s="2" t="str">
        <f t="shared" si="9"/>
        <v>Q1</v>
      </c>
      <c r="D239" s="2" t="s">
        <v>28</v>
      </c>
      <c r="E239" s="11" t="s">
        <v>109</v>
      </c>
      <c r="F239" s="11" t="s">
        <v>71</v>
      </c>
      <c r="G239" s="11" t="s">
        <v>503</v>
      </c>
      <c r="H239" s="11" t="s">
        <v>44</v>
      </c>
      <c r="I239" s="12">
        <v>1</v>
      </c>
      <c r="J239" s="12">
        <v>180</v>
      </c>
      <c r="K239" s="12">
        <v>155.49</v>
      </c>
      <c r="L239" s="12">
        <v>27988.2</v>
      </c>
      <c r="M239" s="12">
        <v>-1074.75</v>
      </c>
      <c r="N239" s="12">
        <v>0</v>
      </c>
      <c r="O239" s="12">
        <v>3498.7487440000004</v>
      </c>
      <c r="P239" s="12">
        <v>30412.198744000001</v>
      </c>
    </row>
    <row r="240" spans="1:16" ht="14.5" x14ac:dyDescent="0.25">
      <c r="A240" s="10">
        <v>45774</v>
      </c>
      <c r="B240" s="2" t="str">
        <f t="shared" si="8"/>
        <v>Apr-2025</v>
      </c>
      <c r="C240" s="2" t="str">
        <f t="shared" si="9"/>
        <v>Q1</v>
      </c>
      <c r="D240" s="2" t="s">
        <v>28</v>
      </c>
      <c r="E240" s="11" t="s">
        <v>109</v>
      </c>
      <c r="F240" s="11" t="s">
        <v>71</v>
      </c>
      <c r="G240" s="11" t="s">
        <v>506</v>
      </c>
      <c r="H240" s="11" t="s">
        <v>58</v>
      </c>
      <c r="I240" s="12">
        <v>1</v>
      </c>
      <c r="J240" s="12">
        <v>72</v>
      </c>
      <c r="K240" s="12">
        <v>148.72999999999999</v>
      </c>
      <c r="L240" s="12">
        <v>10708.56</v>
      </c>
      <c r="M240" s="12">
        <v>-411.21</v>
      </c>
      <c r="N240" s="12">
        <v>0</v>
      </c>
      <c r="O240" s="12">
        <v>1338.655593</v>
      </c>
      <c r="P240" s="12">
        <v>11636.005593</v>
      </c>
    </row>
    <row r="241" spans="1:16" ht="14.5" x14ac:dyDescent="0.25">
      <c r="A241" s="10">
        <v>45775</v>
      </c>
      <c r="B241" s="2" t="str">
        <f t="shared" si="8"/>
        <v>Apr-2025</v>
      </c>
      <c r="C241" s="2" t="str">
        <f t="shared" si="9"/>
        <v>Q1</v>
      </c>
      <c r="D241" s="2" t="s">
        <v>28</v>
      </c>
      <c r="E241" s="11" t="s">
        <v>110</v>
      </c>
      <c r="F241" s="11" t="s">
        <v>14</v>
      </c>
      <c r="G241" s="11" t="s">
        <v>503</v>
      </c>
      <c r="H241" s="11" t="s">
        <v>89</v>
      </c>
      <c r="I241" s="12">
        <v>2</v>
      </c>
      <c r="J241" s="12">
        <v>240</v>
      </c>
      <c r="K241" s="12">
        <v>118.31</v>
      </c>
      <c r="L241" s="12">
        <v>28394.399999999998</v>
      </c>
      <c r="M241" s="12">
        <v>-1090.3399999999999</v>
      </c>
      <c r="N241" s="12">
        <v>0</v>
      </c>
      <c r="O241" s="12">
        <v>3549.5285650000001</v>
      </c>
      <c r="P241" s="12">
        <v>30853.588564999998</v>
      </c>
    </row>
    <row r="242" spans="1:16" ht="14.5" x14ac:dyDescent="0.25">
      <c r="A242" s="10">
        <v>45775</v>
      </c>
      <c r="B242" s="2" t="str">
        <f t="shared" si="8"/>
        <v>Apr-2025</v>
      </c>
      <c r="C242" s="2" t="str">
        <f t="shared" si="9"/>
        <v>Q1</v>
      </c>
      <c r="D242" s="2" t="s">
        <v>28</v>
      </c>
      <c r="E242" s="11" t="s">
        <v>110</v>
      </c>
      <c r="F242" s="11" t="s">
        <v>14</v>
      </c>
      <c r="G242" s="11" t="s">
        <v>507</v>
      </c>
      <c r="H242" s="11" t="s">
        <v>60</v>
      </c>
      <c r="I242" s="12">
        <v>0.47</v>
      </c>
      <c r="J242" s="12">
        <v>28</v>
      </c>
      <c r="K242" s="12">
        <v>98.03</v>
      </c>
      <c r="L242" s="12">
        <v>2744.8399999999997</v>
      </c>
      <c r="M242" s="12">
        <v>-105.4</v>
      </c>
      <c r="N242" s="12">
        <v>0</v>
      </c>
      <c r="O242" s="12">
        <v>343.127274</v>
      </c>
      <c r="P242" s="12">
        <v>2982.567274</v>
      </c>
    </row>
    <row r="243" spans="1:16" ht="14.5" x14ac:dyDescent="0.25">
      <c r="A243" s="10">
        <v>45775</v>
      </c>
      <c r="B243" s="2" t="str">
        <f t="shared" si="8"/>
        <v>Apr-2025</v>
      </c>
      <c r="C243" s="2" t="str">
        <f t="shared" si="9"/>
        <v>Q1</v>
      </c>
      <c r="D243" s="2" t="s">
        <v>28</v>
      </c>
      <c r="E243" s="11" t="s">
        <v>110</v>
      </c>
      <c r="F243" s="11" t="s">
        <v>14</v>
      </c>
      <c r="G243" s="11" t="s">
        <v>505</v>
      </c>
      <c r="H243" s="11" t="s">
        <v>43</v>
      </c>
      <c r="I243" s="12">
        <v>1</v>
      </c>
      <c r="J243" s="12">
        <v>40</v>
      </c>
      <c r="K243" s="12">
        <v>297.45999999999998</v>
      </c>
      <c r="L243" s="12">
        <v>11898.4</v>
      </c>
      <c r="M243" s="12">
        <v>-456.9</v>
      </c>
      <c r="N243" s="12">
        <v>0</v>
      </c>
      <c r="O243" s="12">
        <v>1487.3953200000001</v>
      </c>
      <c r="P243" s="12">
        <v>12928.89532</v>
      </c>
    </row>
    <row r="244" spans="1:16" ht="14.5" x14ac:dyDescent="0.25">
      <c r="A244" s="10">
        <v>45775</v>
      </c>
      <c r="B244" s="2" t="str">
        <f t="shared" si="8"/>
        <v>Apr-2025</v>
      </c>
      <c r="C244" s="2" t="str">
        <f t="shared" si="9"/>
        <v>Q1</v>
      </c>
      <c r="D244" s="2" t="s">
        <v>28</v>
      </c>
      <c r="E244" s="11" t="s">
        <v>110</v>
      </c>
      <c r="F244" s="11" t="s">
        <v>14</v>
      </c>
      <c r="G244" s="11" t="s">
        <v>506</v>
      </c>
      <c r="H244" s="11" t="s">
        <v>39</v>
      </c>
      <c r="I244" s="12">
        <v>1</v>
      </c>
      <c r="J244" s="12">
        <v>72</v>
      </c>
      <c r="K244" s="12">
        <v>131.83000000000001</v>
      </c>
      <c r="L244" s="12">
        <v>9491.76</v>
      </c>
      <c r="M244" s="12">
        <v>-364.48</v>
      </c>
      <c r="N244" s="12">
        <v>0</v>
      </c>
      <c r="O244" s="12">
        <v>1186.5466560000002</v>
      </c>
      <c r="P244" s="12">
        <v>10313.826655999999</v>
      </c>
    </row>
    <row r="245" spans="1:16" ht="14.5" x14ac:dyDescent="0.25">
      <c r="A245" s="10">
        <v>45775</v>
      </c>
      <c r="B245" s="2" t="str">
        <f t="shared" si="8"/>
        <v>Apr-2025</v>
      </c>
      <c r="C245" s="2" t="str">
        <f t="shared" si="9"/>
        <v>Q1</v>
      </c>
      <c r="D245" s="2" t="s">
        <v>28</v>
      </c>
      <c r="E245" s="11" t="s">
        <v>110</v>
      </c>
      <c r="F245" s="11" t="s">
        <v>14</v>
      </c>
      <c r="G245" s="11" t="s">
        <v>506</v>
      </c>
      <c r="H245" s="11" t="s">
        <v>58</v>
      </c>
      <c r="I245" s="12">
        <v>1</v>
      </c>
      <c r="J245" s="12">
        <v>72</v>
      </c>
      <c r="K245" s="12">
        <v>148.72999999999999</v>
      </c>
      <c r="L245" s="12">
        <v>10708.56</v>
      </c>
      <c r="M245" s="12">
        <v>-411.21</v>
      </c>
      <c r="N245" s="12">
        <v>0</v>
      </c>
      <c r="O245" s="12">
        <v>1338.655788</v>
      </c>
      <c r="P245" s="12">
        <v>11636.005788</v>
      </c>
    </row>
    <row r="246" spans="1:16" ht="14.5" x14ac:dyDescent="0.25">
      <c r="A246" s="10">
        <v>45775</v>
      </c>
      <c r="B246" s="2" t="str">
        <f t="shared" si="8"/>
        <v>Apr-2025</v>
      </c>
      <c r="C246" s="2" t="str">
        <f t="shared" si="9"/>
        <v>Q1</v>
      </c>
      <c r="D246" s="2" t="s">
        <v>28</v>
      </c>
      <c r="E246" s="11" t="s">
        <v>110</v>
      </c>
      <c r="F246" s="11" t="s">
        <v>14</v>
      </c>
      <c r="G246" s="11" t="s">
        <v>507</v>
      </c>
      <c r="H246" s="11" t="s">
        <v>90</v>
      </c>
      <c r="I246" s="12">
        <v>1</v>
      </c>
      <c r="J246" s="12">
        <v>120</v>
      </c>
      <c r="K246" s="12">
        <v>57.46</v>
      </c>
      <c r="L246" s="12">
        <v>6895.2</v>
      </c>
      <c r="M246" s="12">
        <v>-264.77999999999997</v>
      </c>
      <c r="N246" s="12">
        <v>0</v>
      </c>
      <c r="O246" s="12">
        <v>861.95478600000001</v>
      </c>
      <c r="P246" s="12">
        <v>7492.3747860000003</v>
      </c>
    </row>
    <row r="247" spans="1:16" ht="14.5" x14ac:dyDescent="0.25">
      <c r="A247" s="10">
        <v>45775</v>
      </c>
      <c r="B247" s="2" t="str">
        <f t="shared" si="8"/>
        <v>Apr-2025</v>
      </c>
      <c r="C247" s="2" t="str">
        <f t="shared" si="9"/>
        <v>Q1</v>
      </c>
      <c r="D247" s="2" t="s">
        <v>28</v>
      </c>
      <c r="E247" s="11" t="s">
        <v>110</v>
      </c>
      <c r="F247" s="11" t="s">
        <v>14</v>
      </c>
      <c r="G247" s="11" t="s">
        <v>503</v>
      </c>
      <c r="H247" s="11" t="s">
        <v>63</v>
      </c>
      <c r="I247" s="12">
        <v>1</v>
      </c>
      <c r="J247" s="12">
        <v>80</v>
      </c>
      <c r="K247" s="12">
        <v>189.3</v>
      </c>
      <c r="L247" s="12">
        <v>15144</v>
      </c>
      <c r="M247" s="12">
        <v>-581.53</v>
      </c>
      <c r="N247" s="12">
        <v>0</v>
      </c>
      <c r="O247" s="12">
        <v>1893.1215080000002</v>
      </c>
      <c r="P247" s="12">
        <v>16455.591508000001</v>
      </c>
    </row>
    <row r="248" spans="1:16" ht="14.5" x14ac:dyDescent="0.25">
      <c r="A248" s="10">
        <v>45775</v>
      </c>
      <c r="B248" s="2" t="str">
        <f t="shared" si="8"/>
        <v>Apr-2025</v>
      </c>
      <c r="C248" s="2" t="str">
        <f t="shared" si="9"/>
        <v>Q1</v>
      </c>
      <c r="D248" s="2" t="s">
        <v>28</v>
      </c>
      <c r="E248" s="11" t="s">
        <v>110</v>
      </c>
      <c r="F248" s="11" t="s">
        <v>14</v>
      </c>
      <c r="G248" s="11" t="s">
        <v>506</v>
      </c>
      <c r="H248" s="11" t="s">
        <v>54</v>
      </c>
      <c r="I248" s="12">
        <v>2</v>
      </c>
      <c r="J248" s="12">
        <v>96</v>
      </c>
      <c r="K248" s="12">
        <v>310.99</v>
      </c>
      <c r="L248" s="12">
        <v>29855.039999999997</v>
      </c>
      <c r="M248" s="12">
        <v>-1146.43</v>
      </c>
      <c r="N248" s="12">
        <v>0</v>
      </c>
      <c r="O248" s="12">
        <v>3732.1201039999996</v>
      </c>
      <c r="P248" s="12">
        <v>32440.730103999998</v>
      </c>
    </row>
    <row r="249" spans="1:16" ht="14.5" x14ac:dyDescent="0.25">
      <c r="A249" s="10">
        <v>45776</v>
      </c>
      <c r="B249" s="2" t="str">
        <f t="shared" si="8"/>
        <v>Apr-2025</v>
      </c>
      <c r="C249" s="2" t="str">
        <f t="shared" si="9"/>
        <v>Q1</v>
      </c>
      <c r="D249" s="2" t="s">
        <v>28</v>
      </c>
      <c r="E249" s="11" t="s">
        <v>111</v>
      </c>
      <c r="F249" s="11" t="s">
        <v>22</v>
      </c>
      <c r="G249" s="11" t="s">
        <v>503</v>
      </c>
      <c r="H249" s="11" t="s">
        <v>45</v>
      </c>
      <c r="I249" s="12">
        <v>0.56000000000000005</v>
      </c>
      <c r="J249" s="12">
        <v>100</v>
      </c>
      <c r="K249" s="12">
        <v>64.23</v>
      </c>
      <c r="L249" s="12">
        <v>6423</v>
      </c>
      <c r="M249" s="12">
        <v>0</v>
      </c>
      <c r="N249" s="12">
        <v>0</v>
      </c>
      <c r="O249" s="12">
        <v>834.99013300000001</v>
      </c>
      <c r="P249" s="12">
        <v>7257.9901330000002</v>
      </c>
    </row>
    <row r="250" spans="1:16" ht="14.5" x14ac:dyDescent="0.25">
      <c r="A250" s="10">
        <v>45776</v>
      </c>
      <c r="B250" s="2" t="str">
        <f t="shared" si="8"/>
        <v>Apr-2025</v>
      </c>
      <c r="C250" s="2" t="str">
        <f t="shared" si="9"/>
        <v>Q1</v>
      </c>
      <c r="D250" s="2" t="s">
        <v>28</v>
      </c>
      <c r="E250" s="11" t="s">
        <v>111</v>
      </c>
      <c r="F250" s="11" t="s">
        <v>22</v>
      </c>
      <c r="G250" s="11" t="s">
        <v>503</v>
      </c>
      <c r="H250" s="11" t="s">
        <v>87</v>
      </c>
      <c r="I250" s="12">
        <v>0.56000000000000005</v>
      </c>
      <c r="J250" s="12">
        <v>100</v>
      </c>
      <c r="K250" s="12">
        <v>114.93</v>
      </c>
      <c r="L250" s="12">
        <v>11493</v>
      </c>
      <c r="M250" s="12">
        <v>0</v>
      </c>
      <c r="N250" s="12">
        <v>0</v>
      </c>
      <c r="O250" s="12">
        <v>1494.0902379999998</v>
      </c>
      <c r="P250" s="12">
        <v>12987.090238000001</v>
      </c>
    </row>
    <row r="251" spans="1:16" ht="14.5" x14ac:dyDescent="0.25">
      <c r="A251" s="10">
        <v>45776</v>
      </c>
      <c r="B251" s="2" t="str">
        <f t="shared" si="8"/>
        <v>Apr-2025</v>
      </c>
      <c r="C251" s="2" t="str">
        <f t="shared" si="9"/>
        <v>Q1</v>
      </c>
      <c r="D251" s="2" t="s">
        <v>28</v>
      </c>
      <c r="E251" s="11" t="s">
        <v>111</v>
      </c>
      <c r="F251" s="11" t="s">
        <v>22</v>
      </c>
      <c r="G251" s="11" t="s">
        <v>504</v>
      </c>
      <c r="H251" s="11" t="s">
        <v>66</v>
      </c>
      <c r="I251" s="12">
        <v>1</v>
      </c>
      <c r="J251" s="12">
        <v>100</v>
      </c>
      <c r="K251" s="12">
        <v>108.17</v>
      </c>
      <c r="L251" s="12">
        <v>10817</v>
      </c>
      <c r="M251" s="12">
        <v>0</v>
      </c>
      <c r="N251" s="12">
        <v>0</v>
      </c>
      <c r="O251" s="12">
        <v>1406.2102240000002</v>
      </c>
      <c r="P251" s="12">
        <v>12223.210224</v>
      </c>
    </row>
    <row r="252" spans="1:16" ht="14.5" x14ac:dyDescent="0.25">
      <c r="A252" s="10">
        <v>45776</v>
      </c>
      <c r="B252" s="2" t="str">
        <f t="shared" si="8"/>
        <v>Apr-2025</v>
      </c>
      <c r="C252" s="2" t="str">
        <f t="shared" si="9"/>
        <v>Q1</v>
      </c>
      <c r="D252" s="2" t="s">
        <v>28</v>
      </c>
      <c r="E252" s="11" t="s">
        <v>111</v>
      </c>
      <c r="F252" s="11" t="s">
        <v>22</v>
      </c>
      <c r="G252" s="11" t="s">
        <v>503</v>
      </c>
      <c r="H252" s="11" t="s">
        <v>52</v>
      </c>
      <c r="I252" s="12">
        <v>0.56000000000000005</v>
      </c>
      <c r="J252" s="12">
        <v>100</v>
      </c>
      <c r="K252" s="12">
        <v>70.989999999999995</v>
      </c>
      <c r="L252" s="12">
        <v>7099</v>
      </c>
      <c r="M252" s="12">
        <v>0</v>
      </c>
      <c r="N252" s="12">
        <v>0</v>
      </c>
      <c r="O252" s="12">
        <v>922.87014700000009</v>
      </c>
      <c r="P252" s="12">
        <v>8021.8701469999996</v>
      </c>
    </row>
    <row r="253" spans="1:16" ht="14.5" x14ac:dyDescent="0.25">
      <c r="A253" s="10">
        <v>45776</v>
      </c>
      <c r="B253" s="2" t="str">
        <f t="shared" si="8"/>
        <v>Apr-2025</v>
      </c>
      <c r="C253" s="2" t="str">
        <f t="shared" si="9"/>
        <v>Q1</v>
      </c>
      <c r="D253" s="2" t="s">
        <v>28</v>
      </c>
      <c r="E253" s="11" t="s">
        <v>111</v>
      </c>
      <c r="F253" s="11" t="s">
        <v>22</v>
      </c>
      <c r="G253" s="11" t="s">
        <v>503</v>
      </c>
      <c r="H253" s="11" t="s">
        <v>57</v>
      </c>
      <c r="I253" s="12">
        <v>0.56000000000000005</v>
      </c>
      <c r="J253" s="12">
        <v>100</v>
      </c>
      <c r="K253" s="12">
        <v>121.69</v>
      </c>
      <c r="L253" s="12">
        <v>12169</v>
      </c>
      <c r="M253" s="12">
        <v>0</v>
      </c>
      <c r="N253" s="12">
        <v>0</v>
      </c>
      <c r="O253" s="12">
        <v>1581.9702519999998</v>
      </c>
      <c r="P253" s="12">
        <v>13750.970251999999</v>
      </c>
    </row>
    <row r="254" spans="1:16" ht="14.5" x14ac:dyDescent="0.25">
      <c r="A254" s="10">
        <v>45776</v>
      </c>
      <c r="B254" s="2" t="str">
        <f t="shared" si="8"/>
        <v>Apr-2025</v>
      </c>
      <c r="C254" s="2" t="str">
        <f t="shared" si="9"/>
        <v>Q1</v>
      </c>
      <c r="D254" s="2" t="s">
        <v>28</v>
      </c>
      <c r="E254" s="11" t="s">
        <v>111</v>
      </c>
      <c r="F254" s="11" t="s">
        <v>22</v>
      </c>
      <c r="G254" s="11" t="s">
        <v>504</v>
      </c>
      <c r="H254" s="11" t="s">
        <v>68</v>
      </c>
      <c r="I254" s="12">
        <v>1</v>
      </c>
      <c r="J254" s="12">
        <v>40</v>
      </c>
      <c r="K254" s="12">
        <v>260.27999999999997</v>
      </c>
      <c r="L254" s="12">
        <v>10411.200000000001</v>
      </c>
      <c r="M254" s="12">
        <v>0</v>
      </c>
      <c r="N254" s="12">
        <v>0</v>
      </c>
      <c r="O254" s="12">
        <v>1353.4562159999998</v>
      </c>
      <c r="P254" s="12">
        <v>11764.656215999999</v>
      </c>
    </row>
    <row r="255" spans="1:16" ht="14.5" x14ac:dyDescent="0.25">
      <c r="A255" s="10">
        <v>45776</v>
      </c>
      <c r="B255" s="2" t="str">
        <f t="shared" si="8"/>
        <v>Apr-2025</v>
      </c>
      <c r="C255" s="2" t="str">
        <f t="shared" si="9"/>
        <v>Q1</v>
      </c>
      <c r="D255" s="2" t="s">
        <v>28</v>
      </c>
      <c r="E255" s="11" t="s">
        <v>111</v>
      </c>
      <c r="F255" s="11" t="s">
        <v>22</v>
      </c>
      <c r="G255" s="11" t="s">
        <v>503</v>
      </c>
      <c r="H255" s="11" t="s">
        <v>63</v>
      </c>
      <c r="I255" s="12">
        <v>1</v>
      </c>
      <c r="J255" s="12">
        <v>80</v>
      </c>
      <c r="K255" s="12">
        <v>189.3</v>
      </c>
      <c r="L255" s="12">
        <v>15144</v>
      </c>
      <c r="M255" s="12">
        <v>0</v>
      </c>
      <c r="N255" s="12">
        <v>0</v>
      </c>
      <c r="O255" s="12">
        <v>1968.7203139999999</v>
      </c>
      <c r="P255" s="12">
        <v>17112.720313999998</v>
      </c>
    </row>
    <row r="256" spans="1:16" ht="14.5" x14ac:dyDescent="0.25">
      <c r="A256" s="10">
        <v>45776</v>
      </c>
      <c r="B256" s="2" t="str">
        <f t="shared" si="8"/>
        <v>Apr-2025</v>
      </c>
      <c r="C256" s="2" t="str">
        <f t="shared" si="9"/>
        <v>Q1</v>
      </c>
      <c r="D256" s="2" t="s">
        <v>28</v>
      </c>
      <c r="E256" s="11" t="s">
        <v>111</v>
      </c>
      <c r="F256" s="11" t="s">
        <v>22</v>
      </c>
      <c r="G256" s="11" t="s">
        <v>505</v>
      </c>
      <c r="H256" s="11" t="s">
        <v>40</v>
      </c>
      <c r="I256" s="12">
        <v>0.56000000000000005</v>
      </c>
      <c r="J256" s="12">
        <v>100</v>
      </c>
      <c r="K256" s="12">
        <v>94.65</v>
      </c>
      <c r="L256" s="12">
        <v>9465</v>
      </c>
      <c r="M256" s="12">
        <v>0</v>
      </c>
      <c r="N256" s="12">
        <v>0</v>
      </c>
      <c r="O256" s="12">
        <v>1230.450196</v>
      </c>
      <c r="P256" s="12">
        <v>10695.450196</v>
      </c>
    </row>
    <row r="257" spans="1:16" ht="14.5" x14ac:dyDescent="0.25">
      <c r="A257" s="10">
        <v>45776</v>
      </c>
      <c r="B257" s="2" t="str">
        <f t="shared" si="8"/>
        <v>Apr-2025</v>
      </c>
      <c r="C257" s="2" t="str">
        <f t="shared" si="9"/>
        <v>Q1</v>
      </c>
      <c r="D257" s="2" t="s">
        <v>28</v>
      </c>
      <c r="E257" s="11" t="s">
        <v>111</v>
      </c>
      <c r="F257" s="11" t="s">
        <v>22</v>
      </c>
      <c r="G257" s="11" t="s">
        <v>506</v>
      </c>
      <c r="H257" s="11" t="s">
        <v>54</v>
      </c>
      <c r="I257" s="12">
        <v>1</v>
      </c>
      <c r="J257" s="12">
        <v>48</v>
      </c>
      <c r="K257" s="12">
        <v>310.99</v>
      </c>
      <c r="L257" s="12">
        <v>14927.519999999999</v>
      </c>
      <c r="M257" s="12">
        <v>0</v>
      </c>
      <c r="N257" s="12">
        <v>0</v>
      </c>
      <c r="O257" s="12">
        <v>1940.57791</v>
      </c>
      <c r="P257" s="12">
        <v>16868.09791</v>
      </c>
    </row>
    <row r="258" spans="1:16" ht="14.5" x14ac:dyDescent="0.25">
      <c r="A258" s="10">
        <v>45776</v>
      </c>
      <c r="B258" s="2" t="str">
        <f t="shared" si="8"/>
        <v>Apr-2025</v>
      </c>
      <c r="C258" s="2" t="str">
        <f t="shared" si="9"/>
        <v>Q1</v>
      </c>
      <c r="D258" s="2" t="s">
        <v>28</v>
      </c>
      <c r="E258" s="11" t="s">
        <v>111</v>
      </c>
      <c r="F258" s="11" t="s">
        <v>22</v>
      </c>
      <c r="G258" s="11" t="s">
        <v>503</v>
      </c>
      <c r="H258" s="11" t="s">
        <v>48</v>
      </c>
      <c r="I258" s="12">
        <v>0.56000000000000005</v>
      </c>
      <c r="J258" s="12">
        <v>100</v>
      </c>
      <c r="K258" s="12">
        <v>136.15</v>
      </c>
      <c r="L258" s="12">
        <v>13615</v>
      </c>
      <c r="M258" s="12">
        <v>0</v>
      </c>
      <c r="N258" s="12">
        <v>0</v>
      </c>
      <c r="O258" s="12">
        <v>1769.950282</v>
      </c>
      <c r="P258" s="12">
        <v>15384.950282</v>
      </c>
    </row>
    <row r="259" spans="1:16" ht="14.5" x14ac:dyDescent="0.25">
      <c r="A259" s="10">
        <v>45776</v>
      </c>
      <c r="B259" s="2" t="str">
        <f t="shared" si="8"/>
        <v>Apr-2025</v>
      </c>
      <c r="C259" s="2" t="str">
        <f t="shared" si="9"/>
        <v>Q1</v>
      </c>
      <c r="D259" s="2" t="s">
        <v>28</v>
      </c>
      <c r="E259" s="11" t="s">
        <v>111</v>
      </c>
      <c r="F259" s="11" t="s">
        <v>22</v>
      </c>
      <c r="G259" s="11" t="s">
        <v>503</v>
      </c>
      <c r="H259" s="11" t="s">
        <v>47</v>
      </c>
      <c r="I259" s="12">
        <v>0.83</v>
      </c>
      <c r="J259" s="12">
        <v>100</v>
      </c>
      <c r="K259" s="12">
        <v>121.69</v>
      </c>
      <c r="L259" s="12">
        <v>12169</v>
      </c>
      <c r="M259" s="12">
        <v>0</v>
      </c>
      <c r="N259" s="12">
        <v>0</v>
      </c>
      <c r="O259" s="12">
        <v>1581.9702519999998</v>
      </c>
      <c r="P259" s="12">
        <v>13750.970251999999</v>
      </c>
    </row>
    <row r="260" spans="1:16" ht="14.5" x14ac:dyDescent="0.25">
      <c r="A260" s="10">
        <v>45776</v>
      </c>
      <c r="B260" s="2" t="str">
        <f t="shared" si="8"/>
        <v>Apr-2025</v>
      </c>
      <c r="C260" s="2" t="str">
        <f t="shared" si="9"/>
        <v>Q1</v>
      </c>
      <c r="D260" s="2" t="s">
        <v>28</v>
      </c>
      <c r="E260" s="11" t="s">
        <v>111</v>
      </c>
      <c r="F260" s="11" t="s">
        <v>22</v>
      </c>
      <c r="G260" s="11" t="s">
        <v>506</v>
      </c>
      <c r="H260" s="11" t="s">
        <v>39</v>
      </c>
      <c r="I260" s="12">
        <v>1</v>
      </c>
      <c r="J260" s="12">
        <v>72</v>
      </c>
      <c r="K260" s="12">
        <v>131.83000000000001</v>
      </c>
      <c r="L260" s="12">
        <v>9491.76</v>
      </c>
      <c r="M260" s="12">
        <v>0</v>
      </c>
      <c r="N260" s="12">
        <v>0</v>
      </c>
      <c r="O260" s="12">
        <v>1233.928997</v>
      </c>
      <c r="P260" s="12">
        <v>10725.688996999999</v>
      </c>
    </row>
    <row r="261" spans="1:16" ht="14.5" x14ac:dyDescent="0.25">
      <c r="A261" s="10">
        <v>45776</v>
      </c>
      <c r="B261" s="2" t="str">
        <f t="shared" si="8"/>
        <v>Apr-2025</v>
      </c>
      <c r="C261" s="2" t="str">
        <f t="shared" si="9"/>
        <v>Q1</v>
      </c>
      <c r="D261" s="2" t="s">
        <v>28</v>
      </c>
      <c r="E261" s="11" t="s">
        <v>111</v>
      </c>
      <c r="F261" s="11" t="s">
        <v>22</v>
      </c>
      <c r="G261" s="11" t="s">
        <v>505</v>
      </c>
      <c r="H261" s="11" t="s">
        <v>49</v>
      </c>
      <c r="I261" s="12">
        <v>0.56000000000000005</v>
      </c>
      <c r="J261" s="12">
        <v>100</v>
      </c>
      <c r="K261" s="12">
        <v>182.53</v>
      </c>
      <c r="L261" s="12">
        <v>18253</v>
      </c>
      <c r="M261" s="12">
        <v>0</v>
      </c>
      <c r="N261" s="12">
        <v>0</v>
      </c>
      <c r="O261" s="12">
        <v>2372.8903789999999</v>
      </c>
      <c r="P261" s="12">
        <v>20625.890379</v>
      </c>
    </row>
    <row r="262" spans="1:16" ht="14.5" x14ac:dyDescent="0.25">
      <c r="A262" s="10">
        <v>45776</v>
      </c>
      <c r="B262" s="2" t="str">
        <f t="shared" si="8"/>
        <v>Apr-2025</v>
      </c>
      <c r="C262" s="2" t="str">
        <f t="shared" si="9"/>
        <v>Q1</v>
      </c>
      <c r="D262" s="2" t="s">
        <v>28</v>
      </c>
      <c r="E262" s="11" t="s">
        <v>111</v>
      </c>
      <c r="F262" s="11" t="s">
        <v>22</v>
      </c>
      <c r="G262" s="11" t="s">
        <v>505</v>
      </c>
      <c r="H262" s="11" t="s">
        <v>56</v>
      </c>
      <c r="I262" s="12">
        <v>1</v>
      </c>
      <c r="J262" s="12">
        <v>120</v>
      </c>
      <c r="K262" s="12">
        <v>57.46</v>
      </c>
      <c r="L262" s="12">
        <v>6895.2</v>
      </c>
      <c r="M262" s="12">
        <v>0</v>
      </c>
      <c r="N262" s="12">
        <v>0</v>
      </c>
      <c r="O262" s="12">
        <v>896.37614299999996</v>
      </c>
      <c r="P262" s="12">
        <v>7791.5761430000002</v>
      </c>
    </row>
    <row r="263" spans="1:16" ht="14.5" x14ac:dyDescent="0.25">
      <c r="A263" s="10">
        <v>45776</v>
      </c>
      <c r="B263" s="2" t="str">
        <f t="shared" si="8"/>
        <v>Apr-2025</v>
      </c>
      <c r="C263" s="2" t="str">
        <f t="shared" si="9"/>
        <v>Q1</v>
      </c>
      <c r="D263" s="2" t="s">
        <v>28</v>
      </c>
      <c r="E263" s="11" t="s">
        <v>111</v>
      </c>
      <c r="F263" s="11" t="s">
        <v>22</v>
      </c>
      <c r="G263" s="11" t="s">
        <v>503</v>
      </c>
      <c r="H263" s="11" t="s">
        <v>51</v>
      </c>
      <c r="I263" s="12">
        <v>0.56000000000000005</v>
      </c>
      <c r="J263" s="12">
        <v>100</v>
      </c>
      <c r="K263" s="12">
        <v>64.23</v>
      </c>
      <c r="L263" s="12">
        <v>6423</v>
      </c>
      <c r="M263" s="12">
        <v>0</v>
      </c>
      <c r="N263" s="12">
        <v>0</v>
      </c>
      <c r="O263" s="12">
        <v>834.99013300000001</v>
      </c>
      <c r="P263" s="12">
        <v>7257.9901330000002</v>
      </c>
    </row>
    <row r="264" spans="1:16" ht="14.5" x14ac:dyDescent="0.25">
      <c r="A264" s="10">
        <v>45776</v>
      </c>
      <c r="B264" s="2" t="str">
        <f t="shared" si="8"/>
        <v>Apr-2025</v>
      </c>
      <c r="C264" s="2" t="str">
        <f t="shared" si="9"/>
        <v>Q1</v>
      </c>
      <c r="D264" s="2" t="s">
        <v>28</v>
      </c>
      <c r="E264" s="11" t="s">
        <v>111</v>
      </c>
      <c r="F264" s="11" t="s">
        <v>22</v>
      </c>
      <c r="G264" s="11" t="s">
        <v>503</v>
      </c>
      <c r="H264" s="11" t="s">
        <v>59</v>
      </c>
      <c r="I264" s="12">
        <v>0.56000000000000005</v>
      </c>
      <c r="J264" s="12">
        <v>100</v>
      </c>
      <c r="K264" s="12">
        <v>64.23</v>
      </c>
      <c r="L264" s="12">
        <v>6423</v>
      </c>
      <c r="M264" s="12">
        <v>0</v>
      </c>
      <c r="N264" s="12">
        <v>0</v>
      </c>
      <c r="O264" s="12">
        <v>834.99013300000001</v>
      </c>
      <c r="P264" s="12">
        <v>7257.9901330000002</v>
      </c>
    </row>
    <row r="265" spans="1:16" ht="14.5" x14ac:dyDescent="0.25">
      <c r="A265" s="10">
        <v>45776</v>
      </c>
      <c r="B265" s="2" t="str">
        <f t="shared" si="8"/>
        <v>Apr-2025</v>
      </c>
      <c r="C265" s="2" t="str">
        <f t="shared" si="9"/>
        <v>Q1</v>
      </c>
      <c r="D265" s="2" t="s">
        <v>28</v>
      </c>
      <c r="E265" s="11" t="s">
        <v>111</v>
      </c>
      <c r="F265" s="11" t="s">
        <v>22</v>
      </c>
      <c r="G265" s="11" t="s">
        <v>506</v>
      </c>
      <c r="H265" s="11" t="s">
        <v>58</v>
      </c>
      <c r="I265" s="12">
        <v>1</v>
      </c>
      <c r="J265" s="12">
        <v>72</v>
      </c>
      <c r="K265" s="12">
        <v>148.72999999999999</v>
      </c>
      <c r="L265" s="12">
        <v>10708.56</v>
      </c>
      <c r="M265" s="12">
        <v>0</v>
      </c>
      <c r="N265" s="12">
        <v>0</v>
      </c>
      <c r="O265" s="12">
        <v>1392.1130219999998</v>
      </c>
      <c r="P265" s="12">
        <v>12100.673022000001</v>
      </c>
    </row>
    <row r="266" spans="1:16" ht="14.5" x14ac:dyDescent="0.25">
      <c r="A266" s="10">
        <v>45776</v>
      </c>
      <c r="B266" s="2" t="str">
        <f t="shared" si="8"/>
        <v>Apr-2025</v>
      </c>
      <c r="C266" s="2" t="str">
        <f t="shared" si="9"/>
        <v>Q1</v>
      </c>
      <c r="D266" s="2" t="s">
        <v>28</v>
      </c>
      <c r="E266" s="11" t="s">
        <v>111</v>
      </c>
      <c r="F266" s="11" t="s">
        <v>22</v>
      </c>
      <c r="G266" s="11" t="s">
        <v>504</v>
      </c>
      <c r="H266" s="11" t="s">
        <v>67</v>
      </c>
      <c r="I266" s="12">
        <v>1</v>
      </c>
      <c r="J266" s="12">
        <v>40</v>
      </c>
      <c r="K266" s="12">
        <v>459.72</v>
      </c>
      <c r="L266" s="12">
        <v>18388.8</v>
      </c>
      <c r="M266" s="12">
        <v>0</v>
      </c>
      <c r="N266" s="12">
        <v>0</v>
      </c>
      <c r="O266" s="12">
        <v>2390.5443810000002</v>
      </c>
      <c r="P266" s="12">
        <v>20779.344380999999</v>
      </c>
    </row>
    <row r="267" spans="1:16" ht="14.5" x14ac:dyDescent="0.25">
      <c r="A267" s="10">
        <v>45776</v>
      </c>
      <c r="B267" s="2" t="str">
        <f t="shared" si="8"/>
        <v>Apr-2025</v>
      </c>
      <c r="C267" s="2" t="str">
        <f t="shared" si="9"/>
        <v>Q1</v>
      </c>
      <c r="D267" s="2" t="s">
        <v>28</v>
      </c>
      <c r="E267" s="11" t="s">
        <v>111</v>
      </c>
      <c r="F267" s="11" t="s">
        <v>22</v>
      </c>
      <c r="G267" s="11" t="s">
        <v>503</v>
      </c>
      <c r="H267" s="11" t="s">
        <v>46</v>
      </c>
      <c r="I267" s="12">
        <v>0.83</v>
      </c>
      <c r="J267" s="12">
        <v>100</v>
      </c>
      <c r="K267" s="12">
        <v>121.69</v>
      </c>
      <c r="L267" s="12">
        <v>12169</v>
      </c>
      <c r="M267" s="12">
        <v>0</v>
      </c>
      <c r="N267" s="12">
        <v>0</v>
      </c>
      <c r="O267" s="12">
        <v>1581.9702519999998</v>
      </c>
      <c r="P267" s="12">
        <v>13750.970251999999</v>
      </c>
    </row>
    <row r="268" spans="1:16" ht="14.5" x14ac:dyDescent="0.25">
      <c r="A268" s="10">
        <v>45776</v>
      </c>
      <c r="B268" s="2" t="str">
        <f t="shared" si="8"/>
        <v>Apr-2025</v>
      </c>
      <c r="C268" s="2" t="str">
        <f t="shared" si="9"/>
        <v>Q1</v>
      </c>
      <c r="D268" s="2" t="s">
        <v>28</v>
      </c>
      <c r="E268" s="11" t="s">
        <v>111</v>
      </c>
      <c r="F268" s="11" t="s">
        <v>22</v>
      </c>
      <c r="G268" s="11" t="s">
        <v>504</v>
      </c>
      <c r="H268" s="11" t="s">
        <v>69</v>
      </c>
      <c r="I268" s="12">
        <v>1</v>
      </c>
      <c r="J268" s="12">
        <v>100</v>
      </c>
      <c r="K268" s="12">
        <v>189.3</v>
      </c>
      <c r="L268" s="12">
        <v>18930</v>
      </c>
      <c r="M268" s="12">
        <v>0</v>
      </c>
      <c r="N268" s="12">
        <v>0</v>
      </c>
      <c r="O268" s="12">
        <v>2460.9003929999999</v>
      </c>
      <c r="P268" s="12">
        <v>21390.900393</v>
      </c>
    </row>
    <row r="269" spans="1:16" ht="14.5" x14ac:dyDescent="0.25">
      <c r="A269" s="10">
        <v>45776</v>
      </c>
      <c r="B269" s="2" t="str">
        <f t="shared" si="8"/>
        <v>Apr-2025</v>
      </c>
      <c r="C269" s="2" t="str">
        <f t="shared" si="9"/>
        <v>Q1</v>
      </c>
      <c r="D269" s="2" t="s">
        <v>28</v>
      </c>
      <c r="E269" s="11" t="s">
        <v>112</v>
      </c>
      <c r="F269" s="11" t="s">
        <v>22</v>
      </c>
      <c r="G269" s="11" t="s">
        <v>504</v>
      </c>
      <c r="H269" s="11" t="s">
        <v>61</v>
      </c>
      <c r="I269" s="12">
        <v>1</v>
      </c>
      <c r="J269" s="12">
        <v>40</v>
      </c>
      <c r="K269" s="12">
        <v>311.54000000000002</v>
      </c>
      <c r="L269" s="12">
        <v>12461.599999999999</v>
      </c>
      <c r="M269" s="12" t="s">
        <v>113</v>
      </c>
      <c r="N269" s="12" t="s">
        <v>113</v>
      </c>
      <c r="O269" s="12" t="s">
        <v>113</v>
      </c>
      <c r="P269" s="12">
        <v>12461.6</v>
      </c>
    </row>
    <row r="270" spans="1:16" ht="14.5" x14ac:dyDescent="0.25">
      <c r="A270" s="10">
        <v>45776</v>
      </c>
      <c r="B270" s="2" t="str">
        <f t="shared" si="8"/>
        <v>Apr-2025</v>
      </c>
      <c r="C270" s="2" t="str">
        <f t="shared" si="9"/>
        <v>Q1</v>
      </c>
      <c r="D270" s="2" t="s">
        <v>28</v>
      </c>
      <c r="E270" s="11" t="s">
        <v>112</v>
      </c>
      <c r="F270" s="11" t="s">
        <v>22</v>
      </c>
      <c r="G270" s="11" t="s">
        <v>504</v>
      </c>
      <c r="H270" s="11" t="s">
        <v>53</v>
      </c>
      <c r="I270" s="12">
        <v>1</v>
      </c>
      <c r="J270" s="12">
        <v>100</v>
      </c>
      <c r="K270" s="12">
        <v>130.77000000000001</v>
      </c>
      <c r="L270" s="12">
        <v>13077</v>
      </c>
      <c r="M270" s="12" t="s">
        <v>113</v>
      </c>
      <c r="N270" s="12" t="s">
        <v>113</v>
      </c>
      <c r="O270" s="12" t="s">
        <v>113</v>
      </c>
      <c r="P270" s="12">
        <v>13077</v>
      </c>
    </row>
    <row r="271" spans="1:16" ht="14.5" x14ac:dyDescent="0.25">
      <c r="A271" s="10">
        <v>45779</v>
      </c>
      <c r="B271" s="2" t="str">
        <f t="shared" si="8"/>
        <v>May-2025</v>
      </c>
      <c r="C271" s="2" t="str">
        <f t="shared" si="9"/>
        <v>Q1</v>
      </c>
      <c r="D271" s="2" t="s">
        <v>28</v>
      </c>
      <c r="E271" s="11" t="s">
        <v>114</v>
      </c>
      <c r="F271" s="11" t="s">
        <v>38</v>
      </c>
      <c r="G271" s="11" t="s">
        <v>506</v>
      </c>
      <c r="H271" s="11" t="s">
        <v>54</v>
      </c>
      <c r="I271" s="12">
        <v>0.1</v>
      </c>
      <c r="J271" s="12">
        <v>5</v>
      </c>
      <c r="K271" s="12">
        <v>310.99</v>
      </c>
      <c r="L271" s="12">
        <v>1554.95</v>
      </c>
      <c r="M271" s="12">
        <v>-59.71</v>
      </c>
      <c r="N271" s="12">
        <v>0</v>
      </c>
      <c r="O271" s="12">
        <v>194.38009600000001</v>
      </c>
      <c r="P271" s="12">
        <v>1689.6200960000001</v>
      </c>
    </row>
    <row r="272" spans="1:16" ht="14.5" x14ac:dyDescent="0.25">
      <c r="A272" s="10">
        <v>45779</v>
      </c>
      <c r="B272" s="2" t="str">
        <f t="shared" si="8"/>
        <v>May-2025</v>
      </c>
      <c r="C272" s="2" t="str">
        <f t="shared" si="9"/>
        <v>Q1</v>
      </c>
      <c r="D272" s="2" t="s">
        <v>28</v>
      </c>
      <c r="E272" s="11" t="s">
        <v>114</v>
      </c>
      <c r="F272" s="11" t="s">
        <v>38</v>
      </c>
      <c r="G272" s="11" t="s">
        <v>506</v>
      </c>
      <c r="H272" s="11" t="s">
        <v>39</v>
      </c>
      <c r="I272" s="12">
        <v>7.0000000000000007E-2</v>
      </c>
      <c r="J272" s="12">
        <v>5</v>
      </c>
      <c r="K272" s="12">
        <v>131.83000000000001</v>
      </c>
      <c r="L272" s="12">
        <v>659.15000000000009</v>
      </c>
      <c r="M272" s="12">
        <v>-25.31</v>
      </c>
      <c r="N272" s="12">
        <v>0</v>
      </c>
      <c r="O272" s="12">
        <v>82.398731999999995</v>
      </c>
      <c r="P272" s="12">
        <v>716.23873200000003</v>
      </c>
    </row>
    <row r="273" spans="1:16" ht="14.5" x14ac:dyDescent="0.25">
      <c r="A273" s="10">
        <v>45779</v>
      </c>
      <c r="B273" s="2" t="str">
        <f t="shared" si="8"/>
        <v>May-2025</v>
      </c>
      <c r="C273" s="2" t="str">
        <f t="shared" si="9"/>
        <v>Q1</v>
      </c>
      <c r="D273" s="2" t="s">
        <v>28</v>
      </c>
      <c r="E273" s="11" t="s">
        <v>114</v>
      </c>
      <c r="F273" s="11" t="s">
        <v>38</v>
      </c>
      <c r="G273" s="11" t="s">
        <v>506</v>
      </c>
      <c r="H273" s="11" t="s">
        <v>58</v>
      </c>
      <c r="I273" s="12">
        <v>7.0000000000000007E-2</v>
      </c>
      <c r="J273" s="12">
        <v>5</v>
      </c>
      <c r="K273" s="12">
        <v>148.72999999999999</v>
      </c>
      <c r="L273" s="12">
        <v>743.65</v>
      </c>
      <c r="M273" s="12">
        <v>-28.56</v>
      </c>
      <c r="N273" s="12">
        <v>0</v>
      </c>
      <c r="O273" s="12">
        <v>92.961172000000005</v>
      </c>
      <c r="P273" s="12">
        <v>808.05117199999995</v>
      </c>
    </row>
    <row r="274" spans="1:16" ht="14.5" x14ac:dyDescent="0.25">
      <c r="A274" s="10">
        <v>45781</v>
      </c>
      <c r="B274" s="2" t="str">
        <f t="shared" si="8"/>
        <v>May-2025</v>
      </c>
      <c r="C274" s="2" t="str">
        <f t="shared" si="9"/>
        <v>Q1</v>
      </c>
      <c r="D274" s="2" t="s">
        <v>28</v>
      </c>
      <c r="E274" s="11" t="s">
        <v>115</v>
      </c>
      <c r="F274" s="11" t="s">
        <v>116</v>
      </c>
      <c r="G274" s="11" t="s">
        <v>503</v>
      </c>
      <c r="H274" s="11" t="s">
        <v>59</v>
      </c>
      <c r="I274" s="12">
        <v>2</v>
      </c>
      <c r="J274" s="12">
        <v>360</v>
      </c>
      <c r="K274" s="12">
        <v>64.23</v>
      </c>
      <c r="L274" s="12">
        <v>23122.799999999999</v>
      </c>
      <c r="M274" s="12">
        <v>-2101.8599999999997</v>
      </c>
      <c r="N274" s="12">
        <v>0</v>
      </c>
      <c r="O274" s="12">
        <v>2732.7223169999997</v>
      </c>
      <c r="P274" s="12">
        <v>23753.662316999998</v>
      </c>
    </row>
    <row r="275" spans="1:16" ht="14.5" x14ac:dyDescent="0.25">
      <c r="A275" s="10">
        <v>45781</v>
      </c>
      <c r="B275" s="2" t="str">
        <f t="shared" si="8"/>
        <v>May-2025</v>
      </c>
      <c r="C275" s="2" t="str">
        <f t="shared" si="9"/>
        <v>Q1</v>
      </c>
      <c r="D275" s="2" t="s">
        <v>28</v>
      </c>
      <c r="E275" s="11" t="s">
        <v>115</v>
      </c>
      <c r="F275" s="11" t="s">
        <v>116</v>
      </c>
      <c r="G275" s="11" t="s">
        <v>503</v>
      </c>
      <c r="H275" s="11" t="s">
        <v>41</v>
      </c>
      <c r="I275" s="12">
        <v>1</v>
      </c>
      <c r="J275" s="12">
        <v>180</v>
      </c>
      <c r="K275" s="12">
        <v>60.84</v>
      </c>
      <c r="L275" s="12">
        <v>10951.199999999999</v>
      </c>
      <c r="M275" s="12">
        <v>-995.46</v>
      </c>
      <c r="N275" s="12">
        <v>0</v>
      </c>
      <c r="O275" s="12">
        <v>1294.2462549999998</v>
      </c>
      <c r="P275" s="12">
        <v>11249.986255</v>
      </c>
    </row>
    <row r="276" spans="1:16" ht="14.5" x14ac:dyDescent="0.25">
      <c r="A276" s="10">
        <v>45781</v>
      </c>
      <c r="B276" s="2" t="str">
        <f t="shared" si="8"/>
        <v>May-2025</v>
      </c>
      <c r="C276" s="2" t="str">
        <f t="shared" si="9"/>
        <v>Q1</v>
      </c>
      <c r="D276" s="2" t="s">
        <v>28</v>
      </c>
      <c r="E276" s="11" t="s">
        <v>115</v>
      </c>
      <c r="F276" s="11" t="s">
        <v>116</v>
      </c>
      <c r="G276" s="11" t="s">
        <v>503</v>
      </c>
      <c r="H276" s="11" t="s">
        <v>47</v>
      </c>
      <c r="I276" s="12">
        <v>1</v>
      </c>
      <c r="J276" s="12">
        <v>120</v>
      </c>
      <c r="K276" s="12">
        <v>121.69</v>
      </c>
      <c r="L276" s="12">
        <v>14602.800000000001</v>
      </c>
      <c r="M276" s="12">
        <v>-1327.39</v>
      </c>
      <c r="N276" s="12">
        <v>0</v>
      </c>
      <c r="O276" s="12">
        <v>1725.8033739999998</v>
      </c>
      <c r="P276" s="12">
        <v>15001.213374000001</v>
      </c>
    </row>
    <row r="277" spans="1:16" ht="14.5" x14ac:dyDescent="0.25">
      <c r="A277" s="10">
        <v>45781</v>
      </c>
      <c r="B277" s="2" t="str">
        <f t="shared" si="8"/>
        <v>May-2025</v>
      </c>
      <c r="C277" s="2" t="str">
        <f t="shared" si="9"/>
        <v>Q1</v>
      </c>
      <c r="D277" s="2" t="s">
        <v>28</v>
      </c>
      <c r="E277" s="11" t="s">
        <v>115</v>
      </c>
      <c r="F277" s="11" t="s">
        <v>116</v>
      </c>
      <c r="G277" s="11" t="s">
        <v>505</v>
      </c>
      <c r="H277" s="11" t="s">
        <v>55</v>
      </c>
      <c r="I277" s="12">
        <v>1</v>
      </c>
      <c r="J277" s="12">
        <v>120</v>
      </c>
      <c r="K277" s="12">
        <v>152.11000000000001</v>
      </c>
      <c r="L277" s="12">
        <v>18253.2</v>
      </c>
      <c r="M277" s="12">
        <v>-1659.2199999999998</v>
      </c>
      <c r="N277" s="12">
        <v>0</v>
      </c>
      <c r="O277" s="12">
        <v>2157.2174919999998</v>
      </c>
      <c r="P277" s="12">
        <v>18751.197491999999</v>
      </c>
    </row>
    <row r="278" spans="1:16" ht="14.5" x14ac:dyDescent="0.25">
      <c r="A278" s="10">
        <v>45781</v>
      </c>
      <c r="B278" s="2" t="str">
        <f t="shared" si="8"/>
        <v>May-2025</v>
      </c>
      <c r="C278" s="2" t="str">
        <f t="shared" si="9"/>
        <v>Q1</v>
      </c>
      <c r="D278" s="2" t="s">
        <v>28</v>
      </c>
      <c r="E278" s="11" t="s">
        <v>115</v>
      </c>
      <c r="F278" s="11" t="s">
        <v>116</v>
      </c>
      <c r="G278" s="11" t="s">
        <v>503</v>
      </c>
      <c r="H278" s="11" t="s">
        <v>52</v>
      </c>
      <c r="I278" s="12">
        <v>1</v>
      </c>
      <c r="J278" s="12">
        <v>180</v>
      </c>
      <c r="K278" s="12">
        <v>70.989999999999995</v>
      </c>
      <c r="L278" s="12">
        <v>12778.2</v>
      </c>
      <c r="M278" s="12">
        <v>-1161.54</v>
      </c>
      <c r="N278" s="12">
        <v>0</v>
      </c>
      <c r="O278" s="12">
        <v>1510.1658649999999</v>
      </c>
      <c r="P278" s="12">
        <v>13126.825865000001</v>
      </c>
    </row>
    <row r="279" spans="1:16" ht="14.5" x14ac:dyDescent="0.25">
      <c r="A279" s="10">
        <v>45781</v>
      </c>
      <c r="B279" s="2" t="str">
        <f t="shared" si="8"/>
        <v>May-2025</v>
      </c>
      <c r="C279" s="2" t="str">
        <f t="shared" si="9"/>
        <v>Q1</v>
      </c>
      <c r="D279" s="2" t="s">
        <v>28</v>
      </c>
      <c r="E279" s="11" t="s">
        <v>115</v>
      </c>
      <c r="F279" s="11" t="s">
        <v>116</v>
      </c>
      <c r="G279" s="11" t="s">
        <v>503</v>
      </c>
      <c r="H279" s="11" t="s">
        <v>45</v>
      </c>
      <c r="I279" s="12">
        <v>2</v>
      </c>
      <c r="J279" s="12">
        <v>360</v>
      </c>
      <c r="K279" s="12">
        <v>64.23</v>
      </c>
      <c r="L279" s="12">
        <v>23122.799999999999</v>
      </c>
      <c r="M279" s="12">
        <v>-2101.8599999999997</v>
      </c>
      <c r="N279" s="12">
        <v>0</v>
      </c>
      <c r="O279" s="12">
        <v>2732.7223169999997</v>
      </c>
      <c r="P279" s="12">
        <v>23753.662316999998</v>
      </c>
    </row>
    <row r="280" spans="1:16" ht="14.5" x14ac:dyDescent="0.25">
      <c r="A280" s="10">
        <v>45781</v>
      </c>
      <c r="B280" s="2" t="str">
        <f t="shared" si="8"/>
        <v>May-2025</v>
      </c>
      <c r="C280" s="2" t="str">
        <f t="shared" si="9"/>
        <v>Q1</v>
      </c>
      <c r="D280" s="2" t="s">
        <v>28</v>
      </c>
      <c r="E280" s="11" t="s">
        <v>115</v>
      </c>
      <c r="F280" s="11" t="s">
        <v>116</v>
      </c>
      <c r="G280" s="11" t="s">
        <v>503</v>
      </c>
      <c r="H280" s="11" t="s">
        <v>46</v>
      </c>
      <c r="I280" s="12">
        <v>1</v>
      </c>
      <c r="J280" s="12">
        <v>120</v>
      </c>
      <c r="K280" s="12">
        <v>121.69</v>
      </c>
      <c r="L280" s="12">
        <v>14602.800000000001</v>
      </c>
      <c r="M280" s="12">
        <v>-1327.39</v>
      </c>
      <c r="N280" s="12">
        <v>0</v>
      </c>
      <c r="O280" s="12">
        <v>1725.8033739999998</v>
      </c>
      <c r="P280" s="12">
        <v>15001.213374000001</v>
      </c>
    </row>
    <row r="281" spans="1:16" ht="14.5" x14ac:dyDescent="0.25">
      <c r="A281" s="10">
        <v>45781</v>
      </c>
      <c r="B281" s="2" t="str">
        <f t="shared" si="8"/>
        <v>May-2025</v>
      </c>
      <c r="C281" s="2" t="str">
        <f t="shared" si="9"/>
        <v>Q1</v>
      </c>
      <c r="D281" s="2" t="s">
        <v>28</v>
      </c>
      <c r="E281" s="11" t="s">
        <v>115</v>
      </c>
      <c r="F281" s="11" t="s">
        <v>116</v>
      </c>
      <c r="G281" s="11" t="s">
        <v>504</v>
      </c>
      <c r="H281" s="11" t="s">
        <v>69</v>
      </c>
      <c r="I281" s="12">
        <v>1</v>
      </c>
      <c r="J281" s="12">
        <v>100</v>
      </c>
      <c r="K281" s="12">
        <v>189.3</v>
      </c>
      <c r="L281" s="12">
        <v>18930</v>
      </c>
      <c r="M281" s="12">
        <v>-1720.7399999999998</v>
      </c>
      <c r="N281" s="12">
        <v>0</v>
      </c>
      <c r="O281" s="12">
        <v>2237.203896</v>
      </c>
      <c r="P281" s="12">
        <v>19446.463896000001</v>
      </c>
    </row>
    <row r="282" spans="1:16" ht="14.5" x14ac:dyDescent="0.25">
      <c r="A282" s="10">
        <v>45781</v>
      </c>
      <c r="B282" s="2" t="str">
        <f t="shared" si="8"/>
        <v>May-2025</v>
      </c>
      <c r="C282" s="2" t="str">
        <f t="shared" si="9"/>
        <v>Q1</v>
      </c>
      <c r="D282" s="2" t="s">
        <v>28</v>
      </c>
      <c r="E282" s="11" t="s">
        <v>115</v>
      </c>
      <c r="F282" s="11" t="s">
        <v>116</v>
      </c>
      <c r="G282" s="11" t="s">
        <v>503</v>
      </c>
      <c r="H282" s="11" t="s">
        <v>89</v>
      </c>
      <c r="I282" s="12">
        <v>1</v>
      </c>
      <c r="J282" s="12">
        <v>120</v>
      </c>
      <c r="K282" s="12">
        <v>118.31</v>
      </c>
      <c r="L282" s="12">
        <v>14197.199999999999</v>
      </c>
      <c r="M282" s="12">
        <v>-1290.53</v>
      </c>
      <c r="N282" s="12">
        <v>0</v>
      </c>
      <c r="O282" s="12">
        <v>1677.8671720000002</v>
      </c>
      <c r="P282" s="12">
        <v>14584.537172</v>
      </c>
    </row>
    <row r="283" spans="1:16" ht="14.5" x14ac:dyDescent="0.25">
      <c r="A283" s="10">
        <v>45781</v>
      </c>
      <c r="B283" s="2" t="str">
        <f t="shared" si="8"/>
        <v>May-2025</v>
      </c>
      <c r="C283" s="2" t="str">
        <f t="shared" si="9"/>
        <v>Q1</v>
      </c>
      <c r="D283" s="2" t="s">
        <v>28</v>
      </c>
      <c r="E283" s="11" t="s">
        <v>115</v>
      </c>
      <c r="F283" s="11" t="s">
        <v>116</v>
      </c>
      <c r="G283" s="11" t="s">
        <v>505</v>
      </c>
      <c r="H283" s="11" t="s">
        <v>40</v>
      </c>
      <c r="I283" s="12">
        <v>1</v>
      </c>
      <c r="J283" s="12">
        <v>180</v>
      </c>
      <c r="K283" s="12">
        <v>94.65</v>
      </c>
      <c r="L283" s="12">
        <v>17037</v>
      </c>
      <c r="M283" s="12">
        <v>-1548.6599999999999</v>
      </c>
      <c r="N283" s="12">
        <v>0</v>
      </c>
      <c r="O283" s="12">
        <v>2013.4842859999999</v>
      </c>
      <c r="P283" s="12">
        <v>17501.824285999999</v>
      </c>
    </row>
    <row r="284" spans="1:16" ht="14.5" x14ac:dyDescent="0.25">
      <c r="A284" s="10">
        <v>45781</v>
      </c>
      <c r="B284" s="2" t="str">
        <f t="shared" si="8"/>
        <v>May-2025</v>
      </c>
      <c r="C284" s="2" t="str">
        <f t="shared" si="9"/>
        <v>Q1</v>
      </c>
      <c r="D284" s="2" t="s">
        <v>28</v>
      </c>
      <c r="E284" s="11" t="s">
        <v>115</v>
      </c>
      <c r="F284" s="11" t="s">
        <v>116</v>
      </c>
      <c r="G284" s="11" t="s">
        <v>503</v>
      </c>
      <c r="H284" s="11" t="s">
        <v>57</v>
      </c>
      <c r="I284" s="12">
        <v>1</v>
      </c>
      <c r="J284" s="12">
        <v>180</v>
      </c>
      <c r="K284" s="12">
        <v>121.69</v>
      </c>
      <c r="L284" s="12">
        <v>21904.199999999997</v>
      </c>
      <c r="M284" s="12">
        <v>-1991.09</v>
      </c>
      <c r="N284" s="12">
        <v>0</v>
      </c>
      <c r="O284" s="12">
        <v>2588.7044110000002</v>
      </c>
      <c r="P284" s="12">
        <v>22501.814410999999</v>
      </c>
    </row>
    <row r="285" spans="1:16" ht="14.5" x14ac:dyDescent="0.25">
      <c r="A285" s="10">
        <v>45781</v>
      </c>
      <c r="B285" s="2" t="str">
        <f t="shared" si="8"/>
        <v>May-2025</v>
      </c>
      <c r="C285" s="2" t="str">
        <f t="shared" si="9"/>
        <v>Q1</v>
      </c>
      <c r="D285" s="2" t="s">
        <v>28</v>
      </c>
      <c r="E285" s="11" t="s">
        <v>115</v>
      </c>
      <c r="F285" s="11" t="s">
        <v>116</v>
      </c>
      <c r="G285" s="11" t="s">
        <v>503</v>
      </c>
      <c r="H285" s="11" t="s">
        <v>44</v>
      </c>
      <c r="I285" s="12">
        <v>1</v>
      </c>
      <c r="J285" s="12">
        <v>180</v>
      </c>
      <c r="K285" s="12">
        <v>155.49</v>
      </c>
      <c r="L285" s="12">
        <v>27988.2</v>
      </c>
      <c r="M285" s="12">
        <v>-2544.13</v>
      </c>
      <c r="N285" s="12">
        <v>0</v>
      </c>
      <c r="O285" s="12">
        <v>3307.7292419999999</v>
      </c>
      <c r="P285" s="12">
        <v>28751.799242000001</v>
      </c>
    </row>
    <row r="286" spans="1:16" ht="14.5" x14ac:dyDescent="0.25">
      <c r="A286" s="10">
        <v>45781</v>
      </c>
      <c r="B286" s="2" t="str">
        <f t="shared" si="8"/>
        <v>May-2025</v>
      </c>
      <c r="C286" s="2" t="str">
        <f t="shared" si="9"/>
        <v>Q1</v>
      </c>
      <c r="D286" s="2" t="s">
        <v>28</v>
      </c>
      <c r="E286" s="11" t="s">
        <v>117</v>
      </c>
      <c r="F286" s="11" t="s">
        <v>15</v>
      </c>
      <c r="G286" s="11" t="s">
        <v>505</v>
      </c>
      <c r="H286" s="11" t="s">
        <v>40</v>
      </c>
      <c r="I286" s="12">
        <v>1</v>
      </c>
      <c r="J286" s="12">
        <v>180</v>
      </c>
      <c r="K286" s="12">
        <v>94.65</v>
      </c>
      <c r="L286" s="12">
        <v>17037</v>
      </c>
      <c r="M286" s="12">
        <v>-1548.6599999999999</v>
      </c>
      <c r="N286" s="12">
        <v>0</v>
      </c>
      <c r="O286" s="12">
        <v>2013.485727</v>
      </c>
      <c r="P286" s="12">
        <v>17501.825726999999</v>
      </c>
    </row>
    <row r="287" spans="1:16" ht="14.5" x14ac:dyDescent="0.25">
      <c r="A287" s="10">
        <v>45781</v>
      </c>
      <c r="B287" s="2" t="str">
        <f t="shared" si="8"/>
        <v>May-2025</v>
      </c>
      <c r="C287" s="2" t="str">
        <f t="shared" si="9"/>
        <v>Q1</v>
      </c>
      <c r="D287" s="2" t="s">
        <v>28</v>
      </c>
      <c r="E287" s="11" t="s">
        <v>117</v>
      </c>
      <c r="F287" s="11" t="s">
        <v>15</v>
      </c>
      <c r="G287" s="11" t="s">
        <v>503</v>
      </c>
      <c r="H287" s="11" t="s">
        <v>59</v>
      </c>
      <c r="I287" s="12">
        <v>1</v>
      </c>
      <c r="J287" s="12">
        <v>180</v>
      </c>
      <c r="K287" s="12">
        <v>64.23</v>
      </c>
      <c r="L287" s="12">
        <v>11561.4</v>
      </c>
      <c r="M287" s="12">
        <v>-1050.9299999999998</v>
      </c>
      <c r="N287" s="12">
        <v>0</v>
      </c>
      <c r="O287" s="12">
        <v>1366.362136</v>
      </c>
      <c r="P287" s="12">
        <v>11876.832136000001</v>
      </c>
    </row>
    <row r="288" spans="1:16" ht="14.5" x14ac:dyDescent="0.25">
      <c r="A288" s="10">
        <v>45781</v>
      </c>
      <c r="B288" s="2" t="str">
        <f t="shared" si="8"/>
        <v>May-2025</v>
      </c>
      <c r="C288" s="2" t="str">
        <f t="shared" si="9"/>
        <v>Q1</v>
      </c>
      <c r="D288" s="2" t="s">
        <v>28</v>
      </c>
      <c r="E288" s="11" t="s">
        <v>117</v>
      </c>
      <c r="F288" s="11" t="s">
        <v>15</v>
      </c>
      <c r="G288" s="11" t="s">
        <v>503</v>
      </c>
      <c r="H288" s="11" t="s">
        <v>45</v>
      </c>
      <c r="I288" s="12">
        <v>1</v>
      </c>
      <c r="J288" s="12">
        <v>180</v>
      </c>
      <c r="K288" s="12">
        <v>64.23</v>
      </c>
      <c r="L288" s="12">
        <v>11561.4</v>
      </c>
      <c r="M288" s="12">
        <v>-1050.9299999999998</v>
      </c>
      <c r="N288" s="12">
        <v>0</v>
      </c>
      <c r="O288" s="12">
        <v>1366.362136</v>
      </c>
      <c r="P288" s="12">
        <v>11876.832136000001</v>
      </c>
    </row>
    <row r="289" spans="1:16" ht="14.5" x14ac:dyDescent="0.25">
      <c r="A289" s="10">
        <v>45781</v>
      </c>
      <c r="B289" s="2" t="str">
        <f t="shared" si="8"/>
        <v>May-2025</v>
      </c>
      <c r="C289" s="2" t="str">
        <f t="shared" si="9"/>
        <v>Q1</v>
      </c>
      <c r="D289" s="2" t="s">
        <v>28</v>
      </c>
      <c r="E289" s="11" t="s">
        <v>118</v>
      </c>
      <c r="F289" s="11" t="s">
        <v>83</v>
      </c>
      <c r="G289" s="11" t="s">
        <v>506</v>
      </c>
      <c r="H289" s="11" t="s">
        <v>39</v>
      </c>
      <c r="I289" s="12">
        <v>1</v>
      </c>
      <c r="J289" s="12">
        <v>72</v>
      </c>
      <c r="K289" s="12">
        <v>131.83000000000001</v>
      </c>
      <c r="L289" s="12">
        <v>9491.76</v>
      </c>
      <c r="M289" s="12">
        <v>-862.8</v>
      </c>
      <c r="N289" s="12">
        <v>0</v>
      </c>
      <c r="O289" s="12">
        <v>1121.7644850000001</v>
      </c>
      <c r="P289" s="12">
        <v>9750.7244850000006</v>
      </c>
    </row>
    <row r="290" spans="1:16" ht="14.5" x14ac:dyDescent="0.25">
      <c r="A290" s="10">
        <v>45781</v>
      </c>
      <c r="B290" s="2" t="str">
        <f t="shared" si="8"/>
        <v>May-2025</v>
      </c>
      <c r="C290" s="2" t="str">
        <f t="shared" si="9"/>
        <v>Q1</v>
      </c>
      <c r="D290" s="2" t="s">
        <v>28</v>
      </c>
      <c r="E290" s="11" t="s">
        <v>118</v>
      </c>
      <c r="F290" s="11" t="s">
        <v>83</v>
      </c>
      <c r="G290" s="11" t="s">
        <v>503</v>
      </c>
      <c r="H290" s="11" t="s">
        <v>89</v>
      </c>
      <c r="I290" s="12">
        <v>1</v>
      </c>
      <c r="J290" s="12">
        <v>120</v>
      </c>
      <c r="K290" s="12">
        <v>118.31</v>
      </c>
      <c r="L290" s="12">
        <v>14197.199999999999</v>
      </c>
      <c r="M290" s="12">
        <v>-1290.53</v>
      </c>
      <c r="N290" s="12">
        <v>0</v>
      </c>
      <c r="O290" s="12">
        <v>1677.866628</v>
      </c>
      <c r="P290" s="12">
        <v>14584.536628</v>
      </c>
    </row>
    <row r="291" spans="1:16" ht="14.5" x14ac:dyDescent="0.25">
      <c r="A291" s="10">
        <v>45781</v>
      </c>
      <c r="B291" s="2" t="str">
        <f t="shared" si="8"/>
        <v>May-2025</v>
      </c>
      <c r="C291" s="2" t="str">
        <f t="shared" si="9"/>
        <v>Q1</v>
      </c>
      <c r="D291" s="2" t="s">
        <v>28</v>
      </c>
      <c r="E291" s="11" t="s">
        <v>118</v>
      </c>
      <c r="F291" s="11" t="s">
        <v>83</v>
      </c>
      <c r="G291" s="11" t="s">
        <v>503</v>
      </c>
      <c r="H291" s="11" t="s">
        <v>42</v>
      </c>
      <c r="I291" s="12">
        <v>0.75</v>
      </c>
      <c r="J291" s="12">
        <v>90</v>
      </c>
      <c r="K291" s="12">
        <v>141.97</v>
      </c>
      <c r="L291" s="12">
        <v>12777.3</v>
      </c>
      <c r="M291" s="12">
        <v>-1161.46</v>
      </c>
      <c r="N291" s="12">
        <v>0</v>
      </c>
      <c r="O291" s="12">
        <v>1510.0587759999999</v>
      </c>
      <c r="P291" s="12">
        <v>13125.898776</v>
      </c>
    </row>
    <row r="292" spans="1:16" ht="14.5" x14ac:dyDescent="0.25">
      <c r="A292" s="10">
        <v>45781</v>
      </c>
      <c r="B292" s="2" t="str">
        <f t="shared" si="8"/>
        <v>May-2025</v>
      </c>
      <c r="C292" s="2" t="str">
        <f t="shared" si="9"/>
        <v>Q1</v>
      </c>
      <c r="D292" s="2" t="s">
        <v>28</v>
      </c>
      <c r="E292" s="11" t="s">
        <v>118</v>
      </c>
      <c r="F292" s="11" t="s">
        <v>83</v>
      </c>
      <c r="G292" s="11" t="s">
        <v>506</v>
      </c>
      <c r="H292" s="11" t="s">
        <v>58</v>
      </c>
      <c r="I292" s="12">
        <v>1</v>
      </c>
      <c r="J292" s="12">
        <v>72</v>
      </c>
      <c r="K292" s="12">
        <v>148.72999999999999</v>
      </c>
      <c r="L292" s="12">
        <v>10708.56</v>
      </c>
      <c r="M292" s="12">
        <v>-973.41</v>
      </c>
      <c r="N292" s="12">
        <v>0</v>
      </c>
      <c r="O292" s="12">
        <v>1265.5691440000001</v>
      </c>
      <c r="P292" s="12">
        <v>11000.719144000001</v>
      </c>
    </row>
    <row r="293" spans="1:16" ht="14.5" x14ac:dyDescent="0.25">
      <c r="A293" s="10">
        <v>45781</v>
      </c>
      <c r="B293" s="2" t="str">
        <f t="shared" si="8"/>
        <v>May-2025</v>
      </c>
      <c r="C293" s="2" t="str">
        <f t="shared" si="9"/>
        <v>Q1</v>
      </c>
      <c r="D293" s="2" t="s">
        <v>28</v>
      </c>
      <c r="E293" s="11" t="s">
        <v>118</v>
      </c>
      <c r="F293" s="11" t="s">
        <v>83</v>
      </c>
      <c r="G293" s="11" t="s">
        <v>503</v>
      </c>
      <c r="H293" s="11" t="s">
        <v>44</v>
      </c>
      <c r="I293" s="12">
        <v>1</v>
      </c>
      <c r="J293" s="12">
        <v>180</v>
      </c>
      <c r="K293" s="12">
        <v>155.49</v>
      </c>
      <c r="L293" s="12">
        <v>27988.2</v>
      </c>
      <c r="M293" s="12">
        <v>-2544.13</v>
      </c>
      <c r="N293" s="12">
        <v>0</v>
      </c>
      <c r="O293" s="12">
        <v>3307.7281700000003</v>
      </c>
      <c r="P293" s="12">
        <v>28751.798169999998</v>
      </c>
    </row>
    <row r="294" spans="1:16" ht="14.5" x14ac:dyDescent="0.25">
      <c r="A294" s="10">
        <v>45781</v>
      </c>
      <c r="B294" s="2" t="str">
        <f t="shared" ref="B294:B357" si="10">+TEXT(A294,"MMM-yyy")</f>
        <v>May-2025</v>
      </c>
      <c r="C294" s="2" t="str">
        <f t="shared" ref="C294:C357" si="11">"Q" &amp; CHOOSE(MONTH(A294),4,4,4,1,1,1,2,2,2,3,3,3)</f>
        <v>Q1</v>
      </c>
      <c r="D294" s="2" t="s">
        <v>28</v>
      </c>
      <c r="E294" s="11" t="s">
        <v>118</v>
      </c>
      <c r="F294" s="11" t="s">
        <v>83</v>
      </c>
      <c r="G294" s="11" t="s">
        <v>503</v>
      </c>
      <c r="H294" s="11" t="s">
        <v>63</v>
      </c>
      <c r="I294" s="12">
        <v>1</v>
      </c>
      <c r="J294" s="12">
        <v>80</v>
      </c>
      <c r="K294" s="12">
        <v>189.3</v>
      </c>
      <c r="L294" s="12">
        <v>15144</v>
      </c>
      <c r="M294" s="12">
        <v>-1376.5900000000001</v>
      </c>
      <c r="N294" s="12">
        <v>0</v>
      </c>
      <c r="O294" s="12">
        <v>1789.7627970000001</v>
      </c>
      <c r="P294" s="12">
        <v>15557.172796999999</v>
      </c>
    </row>
    <row r="295" spans="1:16" ht="14.5" x14ac:dyDescent="0.25">
      <c r="A295" s="10">
        <v>45784</v>
      </c>
      <c r="B295" s="2" t="str">
        <f t="shared" si="10"/>
        <v>May-2025</v>
      </c>
      <c r="C295" s="2" t="str">
        <f t="shared" si="11"/>
        <v>Q1</v>
      </c>
      <c r="D295" s="2" t="s">
        <v>28</v>
      </c>
      <c r="E295" s="11" t="s">
        <v>119</v>
      </c>
      <c r="F295" s="11" t="s">
        <v>14</v>
      </c>
      <c r="G295" s="11" t="s">
        <v>503</v>
      </c>
      <c r="H295" s="11" t="s">
        <v>45</v>
      </c>
      <c r="I295" s="12">
        <v>1</v>
      </c>
      <c r="J295" s="12">
        <v>180</v>
      </c>
      <c r="K295" s="12">
        <v>64.23</v>
      </c>
      <c r="L295" s="12">
        <v>11561.4</v>
      </c>
      <c r="M295" s="12">
        <v>-1050.9299999999998</v>
      </c>
      <c r="N295" s="12">
        <v>0</v>
      </c>
      <c r="O295" s="12">
        <v>1366.3610019999999</v>
      </c>
      <c r="P295" s="12">
        <v>11876.831002000001</v>
      </c>
    </row>
    <row r="296" spans="1:16" ht="14.5" x14ac:dyDescent="0.25">
      <c r="A296" s="10">
        <v>45784</v>
      </c>
      <c r="B296" s="2" t="str">
        <f t="shared" si="10"/>
        <v>May-2025</v>
      </c>
      <c r="C296" s="2" t="str">
        <f t="shared" si="11"/>
        <v>Q1</v>
      </c>
      <c r="D296" s="2" t="s">
        <v>28</v>
      </c>
      <c r="E296" s="11" t="s">
        <v>119</v>
      </c>
      <c r="F296" s="11" t="s">
        <v>14</v>
      </c>
      <c r="G296" s="11" t="s">
        <v>503</v>
      </c>
      <c r="H296" s="11" t="s">
        <v>59</v>
      </c>
      <c r="I296" s="12">
        <v>1</v>
      </c>
      <c r="J296" s="12">
        <v>180</v>
      </c>
      <c r="K296" s="12">
        <v>64.23</v>
      </c>
      <c r="L296" s="12">
        <v>11561.4</v>
      </c>
      <c r="M296" s="12">
        <v>-1050.9299999999998</v>
      </c>
      <c r="N296" s="12">
        <v>0</v>
      </c>
      <c r="O296" s="12">
        <v>1366.3610019999999</v>
      </c>
      <c r="P296" s="12">
        <v>11876.831002000001</v>
      </c>
    </row>
    <row r="297" spans="1:16" ht="14.5" x14ac:dyDescent="0.25">
      <c r="A297" s="10">
        <v>45784</v>
      </c>
      <c r="B297" s="2" t="str">
        <f t="shared" si="10"/>
        <v>May-2025</v>
      </c>
      <c r="C297" s="2" t="str">
        <f t="shared" si="11"/>
        <v>Q1</v>
      </c>
      <c r="D297" s="2" t="s">
        <v>28</v>
      </c>
      <c r="E297" s="11" t="s">
        <v>119</v>
      </c>
      <c r="F297" s="11" t="s">
        <v>14</v>
      </c>
      <c r="G297" s="11" t="s">
        <v>503</v>
      </c>
      <c r="H297" s="11" t="s">
        <v>52</v>
      </c>
      <c r="I297" s="12">
        <v>1</v>
      </c>
      <c r="J297" s="12">
        <v>180</v>
      </c>
      <c r="K297" s="12">
        <v>70.989999999999995</v>
      </c>
      <c r="L297" s="12">
        <v>12778.2</v>
      </c>
      <c r="M297" s="12">
        <v>-1161.54</v>
      </c>
      <c r="N297" s="12">
        <v>0</v>
      </c>
      <c r="O297" s="12">
        <v>1510.165692</v>
      </c>
      <c r="P297" s="12">
        <v>13126.825692</v>
      </c>
    </row>
    <row r="298" spans="1:16" ht="14.5" x14ac:dyDescent="0.25">
      <c r="A298" s="10">
        <v>45784</v>
      </c>
      <c r="B298" s="2" t="str">
        <f t="shared" si="10"/>
        <v>May-2025</v>
      </c>
      <c r="C298" s="2" t="str">
        <f t="shared" si="11"/>
        <v>Q1</v>
      </c>
      <c r="D298" s="2" t="s">
        <v>28</v>
      </c>
      <c r="E298" s="11" t="s">
        <v>119</v>
      </c>
      <c r="F298" s="11" t="s">
        <v>14</v>
      </c>
      <c r="G298" s="11" t="s">
        <v>503</v>
      </c>
      <c r="H298" s="11" t="s">
        <v>51</v>
      </c>
      <c r="I298" s="12">
        <v>1</v>
      </c>
      <c r="J298" s="12">
        <v>180</v>
      </c>
      <c r="K298" s="12">
        <v>64.23</v>
      </c>
      <c r="L298" s="12">
        <v>11561.4</v>
      </c>
      <c r="M298" s="12">
        <v>-1050.9299999999998</v>
      </c>
      <c r="N298" s="12">
        <v>0</v>
      </c>
      <c r="O298" s="12">
        <v>1366.3610019999999</v>
      </c>
      <c r="P298" s="12">
        <v>11876.831002000001</v>
      </c>
    </row>
    <row r="299" spans="1:16" ht="14.5" x14ac:dyDescent="0.25">
      <c r="A299" s="10">
        <v>45784</v>
      </c>
      <c r="B299" s="2" t="str">
        <f t="shared" si="10"/>
        <v>May-2025</v>
      </c>
      <c r="C299" s="2" t="str">
        <f t="shared" si="11"/>
        <v>Q1</v>
      </c>
      <c r="D299" s="2" t="s">
        <v>28</v>
      </c>
      <c r="E299" s="11" t="s">
        <v>119</v>
      </c>
      <c r="F299" s="11" t="s">
        <v>14</v>
      </c>
      <c r="G299" s="11" t="s">
        <v>505</v>
      </c>
      <c r="H299" s="11" t="s">
        <v>55</v>
      </c>
      <c r="I299" s="12">
        <v>1</v>
      </c>
      <c r="J299" s="12">
        <v>120</v>
      </c>
      <c r="K299" s="12">
        <v>152.11000000000001</v>
      </c>
      <c r="L299" s="12">
        <v>18253.2</v>
      </c>
      <c r="M299" s="12">
        <v>-1659.2199999999998</v>
      </c>
      <c r="N299" s="12">
        <v>0</v>
      </c>
      <c r="O299" s="12">
        <v>2157.2172460000002</v>
      </c>
      <c r="P299" s="12">
        <v>18751.197246</v>
      </c>
    </row>
    <row r="300" spans="1:16" ht="14.5" x14ac:dyDescent="0.25">
      <c r="A300" s="10">
        <v>45784</v>
      </c>
      <c r="B300" s="2" t="str">
        <f t="shared" si="10"/>
        <v>May-2025</v>
      </c>
      <c r="C300" s="2" t="str">
        <f t="shared" si="11"/>
        <v>Q1</v>
      </c>
      <c r="D300" s="2" t="s">
        <v>28</v>
      </c>
      <c r="E300" s="11" t="s">
        <v>119</v>
      </c>
      <c r="F300" s="11" t="s">
        <v>14</v>
      </c>
      <c r="G300" s="11" t="s">
        <v>505</v>
      </c>
      <c r="H300" s="11" t="s">
        <v>40</v>
      </c>
      <c r="I300" s="12">
        <v>1</v>
      </c>
      <c r="J300" s="12">
        <v>180</v>
      </c>
      <c r="K300" s="12">
        <v>94.65</v>
      </c>
      <c r="L300" s="12">
        <v>17037</v>
      </c>
      <c r="M300" s="12">
        <v>-1548.6599999999999</v>
      </c>
      <c r="N300" s="12">
        <v>0</v>
      </c>
      <c r="O300" s="12">
        <v>2013.484056</v>
      </c>
      <c r="P300" s="12">
        <v>17501.824056000001</v>
      </c>
    </row>
    <row r="301" spans="1:16" ht="14.5" x14ac:dyDescent="0.25">
      <c r="A301" s="10">
        <v>45785</v>
      </c>
      <c r="B301" s="2" t="str">
        <f t="shared" si="10"/>
        <v>May-2025</v>
      </c>
      <c r="C301" s="2" t="str">
        <f t="shared" si="11"/>
        <v>Q1</v>
      </c>
      <c r="D301" s="2" t="s">
        <v>28</v>
      </c>
      <c r="E301" s="11" t="s">
        <v>120</v>
      </c>
      <c r="F301" s="11" t="s">
        <v>15</v>
      </c>
      <c r="G301" s="11" t="s">
        <v>506</v>
      </c>
      <c r="H301" s="11" t="s">
        <v>39</v>
      </c>
      <c r="I301" s="12">
        <v>0.5</v>
      </c>
      <c r="J301" s="12">
        <v>36</v>
      </c>
      <c r="K301" s="12">
        <v>131.83000000000001</v>
      </c>
      <c r="L301" s="12">
        <v>4745.88</v>
      </c>
      <c r="M301" s="12">
        <v>-431.4</v>
      </c>
      <c r="N301" s="12">
        <v>0</v>
      </c>
      <c r="O301" s="12">
        <v>560.882159</v>
      </c>
      <c r="P301" s="12">
        <v>4875.3621590000002</v>
      </c>
    </row>
    <row r="302" spans="1:16" ht="14.5" x14ac:dyDescent="0.25">
      <c r="A302" s="10">
        <v>45785</v>
      </c>
      <c r="B302" s="2" t="str">
        <f t="shared" si="10"/>
        <v>May-2025</v>
      </c>
      <c r="C302" s="2" t="str">
        <f t="shared" si="11"/>
        <v>Q1</v>
      </c>
      <c r="D302" s="2" t="s">
        <v>28</v>
      </c>
      <c r="E302" s="11" t="s">
        <v>120</v>
      </c>
      <c r="F302" s="11" t="s">
        <v>15</v>
      </c>
      <c r="G302" s="11" t="s">
        <v>506</v>
      </c>
      <c r="H302" s="11" t="s">
        <v>58</v>
      </c>
      <c r="I302" s="12">
        <v>1.58</v>
      </c>
      <c r="J302" s="12">
        <v>114</v>
      </c>
      <c r="K302" s="12">
        <v>148.72999999999999</v>
      </c>
      <c r="L302" s="12">
        <v>16955.22</v>
      </c>
      <c r="M302" s="12">
        <v>-1541.23</v>
      </c>
      <c r="N302" s="12">
        <v>0</v>
      </c>
      <c r="O302" s="12">
        <v>2003.817841</v>
      </c>
      <c r="P302" s="12">
        <v>17417.807841000002</v>
      </c>
    </row>
    <row r="303" spans="1:16" ht="14.5" x14ac:dyDescent="0.25">
      <c r="A303" s="10">
        <v>45785</v>
      </c>
      <c r="B303" s="2" t="str">
        <f t="shared" si="10"/>
        <v>May-2025</v>
      </c>
      <c r="C303" s="2" t="str">
        <f t="shared" si="11"/>
        <v>Q1</v>
      </c>
      <c r="D303" s="2" t="s">
        <v>28</v>
      </c>
      <c r="E303" s="11" t="s">
        <v>121</v>
      </c>
      <c r="F303" s="11" t="s">
        <v>22</v>
      </c>
      <c r="G303" s="11" t="s">
        <v>503</v>
      </c>
      <c r="H303" s="11" t="s">
        <v>87</v>
      </c>
      <c r="I303" s="12">
        <v>0.22</v>
      </c>
      <c r="J303" s="12">
        <v>40</v>
      </c>
      <c r="K303" s="12">
        <v>115.72</v>
      </c>
      <c r="L303" s="12">
        <v>4628.8</v>
      </c>
      <c r="M303" s="12">
        <v>0</v>
      </c>
      <c r="N303" s="12">
        <v>0</v>
      </c>
      <c r="O303" s="12">
        <v>601.74415199999999</v>
      </c>
      <c r="P303" s="12">
        <v>5230.5441520000004</v>
      </c>
    </row>
    <row r="304" spans="1:16" ht="14.5" x14ac:dyDescent="0.25">
      <c r="A304" s="10">
        <v>45785</v>
      </c>
      <c r="B304" s="2" t="str">
        <f t="shared" si="10"/>
        <v>May-2025</v>
      </c>
      <c r="C304" s="2" t="str">
        <f t="shared" si="11"/>
        <v>Q1</v>
      </c>
      <c r="D304" s="2" t="s">
        <v>28</v>
      </c>
      <c r="E304" s="11" t="s">
        <v>121</v>
      </c>
      <c r="F304" s="11" t="s">
        <v>22</v>
      </c>
      <c r="G304" s="11" t="s">
        <v>503</v>
      </c>
      <c r="H304" s="11" t="s">
        <v>57</v>
      </c>
      <c r="I304" s="12">
        <v>0.22</v>
      </c>
      <c r="J304" s="12">
        <v>40</v>
      </c>
      <c r="K304" s="12">
        <v>122.53</v>
      </c>
      <c r="L304" s="12">
        <v>4901.2</v>
      </c>
      <c r="M304" s="12">
        <v>0</v>
      </c>
      <c r="N304" s="12">
        <v>0</v>
      </c>
      <c r="O304" s="12">
        <v>637.15616100000011</v>
      </c>
      <c r="P304" s="12">
        <v>5538.3561609999997</v>
      </c>
    </row>
    <row r="305" spans="1:16" ht="14.5" x14ac:dyDescent="0.25">
      <c r="A305" s="10">
        <v>45785</v>
      </c>
      <c r="B305" s="2" t="str">
        <f t="shared" si="10"/>
        <v>May-2025</v>
      </c>
      <c r="C305" s="2" t="str">
        <f t="shared" si="11"/>
        <v>Q1</v>
      </c>
      <c r="D305" s="2" t="s">
        <v>28</v>
      </c>
      <c r="E305" s="11" t="s">
        <v>121</v>
      </c>
      <c r="F305" s="11" t="s">
        <v>22</v>
      </c>
      <c r="G305" s="11" t="s">
        <v>503</v>
      </c>
      <c r="H305" s="11" t="s">
        <v>51</v>
      </c>
      <c r="I305" s="12">
        <v>0.22</v>
      </c>
      <c r="J305" s="12">
        <v>40</v>
      </c>
      <c r="K305" s="12">
        <v>64.67</v>
      </c>
      <c r="L305" s="12">
        <v>2586.8000000000002</v>
      </c>
      <c r="M305" s="12">
        <v>0</v>
      </c>
      <c r="N305" s="12">
        <v>0</v>
      </c>
      <c r="O305" s="12">
        <v>336.284085</v>
      </c>
      <c r="P305" s="12">
        <v>2923.084085</v>
      </c>
    </row>
    <row r="306" spans="1:16" ht="14.5" x14ac:dyDescent="0.25">
      <c r="A306" s="10">
        <v>45785</v>
      </c>
      <c r="B306" s="2" t="str">
        <f t="shared" si="10"/>
        <v>May-2025</v>
      </c>
      <c r="C306" s="2" t="str">
        <f t="shared" si="11"/>
        <v>Q1</v>
      </c>
      <c r="D306" s="2" t="s">
        <v>28</v>
      </c>
      <c r="E306" s="11" t="s">
        <v>121</v>
      </c>
      <c r="F306" s="11" t="s">
        <v>22</v>
      </c>
      <c r="G306" s="11" t="s">
        <v>506</v>
      </c>
      <c r="H306" s="11" t="s">
        <v>54</v>
      </c>
      <c r="I306" s="12">
        <v>0.13</v>
      </c>
      <c r="J306" s="12">
        <v>6</v>
      </c>
      <c r="K306" s="12">
        <v>313.14</v>
      </c>
      <c r="L306" s="12">
        <v>1878.84</v>
      </c>
      <c r="M306" s="12">
        <v>0</v>
      </c>
      <c r="N306" s="12">
        <v>0</v>
      </c>
      <c r="O306" s="12">
        <v>244.24926200000002</v>
      </c>
      <c r="P306" s="12">
        <v>2123.089262</v>
      </c>
    </row>
    <row r="307" spans="1:16" ht="14.5" x14ac:dyDescent="0.25">
      <c r="A307" s="10">
        <v>45785</v>
      </c>
      <c r="B307" s="2" t="str">
        <f t="shared" si="10"/>
        <v>May-2025</v>
      </c>
      <c r="C307" s="2" t="str">
        <f t="shared" si="11"/>
        <v>Q1</v>
      </c>
      <c r="D307" s="2" t="s">
        <v>28</v>
      </c>
      <c r="E307" s="11" t="s">
        <v>121</v>
      </c>
      <c r="F307" s="11" t="s">
        <v>22</v>
      </c>
      <c r="G307" s="11" t="s">
        <v>503</v>
      </c>
      <c r="H307" s="11" t="s">
        <v>47</v>
      </c>
      <c r="I307" s="12">
        <v>0.33</v>
      </c>
      <c r="J307" s="12">
        <v>40</v>
      </c>
      <c r="K307" s="12">
        <v>122.53</v>
      </c>
      <c r="L307" s="12">
        <v>4901.2</v>
      </c>
      <c r="M307" s="12">
        <v>0</v>
      </c>
      <c r="N307" s="12">
        <v>0</v>
      </c>
      <c r="O307" s="12">
        <v>637.15616100000011</v>
      </c>
      <c r="P307" s="12">
        <v>5538.3561609999997</v>
      </c>
    </row>
    <row r="308" spans="1:16" ht="14.5" x14ac:dyDescent="0.25">
      <c r="A308" s="10">
        <v>45785</v>
      </c>
      <c r="B308" s="2" t="str">
        <f t="shared" si="10"/>
        <v>May-2025</v>
      </c>
      <c r="C308" s="2" t="str">
        <f t="shared" si="11"/>
        <v>Q1</v>
      </c>
      <c r="D308" s="2" t="s">
        <v>28</v>
      </c>
      <c r="E308" s="11" t="s">
        <v>121</v>
      </c>
      <c r="F308" s="11" t="s">
        <v>22</v>
      </c>
      <c r="G308" s="11" t="s">
        <v>503</v>
      </c>
      <c r="H308" s="11" t="s">
        <v>48</v>
      </c>
      <c r="I308" s="12">
        <v>0.22</v>
      </c>
      <c r="J308" s="12">
        <v>40</v>
      </c>
      <c r="K308" s="12">
        <v>136.15</v>
      </c>
      <c r="L308" s="12">
        <v>5446.0000000000009</v>
      </c>
      <c r="M308" s="12">
        <v>0</v>
      </c>
      <c r="N308" s="12">
        <v>0</v>
      </c>
      <c r="O308" s="12">
        <v>707.98017900000002</v>
      </c>
      <c r="P308" s="12">
        <v>6153.9801790000001</v>
      </c>
    </row>
    <row r="309" spans="1:16" ht="14.5" x14ac:dyDescent="0.25">
      <c r="A309" s="10">
        <v>45785</v>
      </c>
      <c r="B309" s="2" t="str">
        <f t="shared" si="10"/>
        <v>May-2025</v>
      </c>
      <c r="C309" s="2" t="str">
        <f t="shared" si="11"/>
        <v>Q1</v>
      </c>
      <c r="D309" s="2" t="s">
        <v>28</v>
      </c>
      <c r="E309" s="11" t="s">
        <v>122</v>
      </c>
      <c r="F309" s="11" t="s">
        <v>22</v>
      </c>
      <c r="G309" s="11" t="s">
        <v>504</v>
      </c>
      <c r="H309" s="11" t="s">
        <v>53</v>
      </c>
      <c r="I309" s="12">
        <v>0.5</v>
      </c>
      <c r="J309" s="12">
        <v>50</v>
      </c>
      <c r="K309" s="12">
        <v>130.77000000000001</v>
      </c>
      <c r="L309" s="12">
        <v>6538.5</v>
      </c>
      <c r="M309" s="12" t="s">
        <v>113</v>
      </c>
      <c r="N309" s="12" t="s">
        <v>113</v>
      </c>
      <c r="O309" s="12" t="s">
        <v>113</v>
      </c>
      <c r="P309" s="12">
        <v>6538.5</v>
      </c>
    </row>
    <row r="310" spans="1:16" ht="14.5" x14ac:dyDescent="0.25">
      <c r="A310" s="10">
        <v>45785</v>
      </c>
      <c r="B310" s="2" t="str">
        <f t="shared" si="10"/>
        <v>May-2025</v>
      </c>
      <c r="C310" s="2" t="str">
        <f t="shared" si="11"/>
        <v>Q1</v>
      </c>
      <c r="D310" s="2" t="s">
        <v>28</v>
      </c>
      <c r="E310" s="11" t="s">
        <v>122</v>
      </c>
      <c r="F310" s="11" t="s">
        <v>22</v>
      </c>
      <c r="G310" s="11" t="s">
        <v>504</v>
      </c>
      <c r="H310" s="11" t="s">
        <v>61</v>
      </c>
      <c r="I310" s="12">
        <v>0.3</v>
      </c>
      <c r="J310" s="12">
        <v>12</v>
      </c>
      <c r="K310" s="12">
        <v>311.54000000000002</v>
      </c>
      <c r="L310" s="12">
        <v>3738.48</v>
      </c>
      <c r="M310" s="12" t="s">
        <v>113</v>
      </c>
      <c r="N310" s="12" t="s">
        <v>113</v>
      </c>
      <c r="O310" s="12" t="s">
        <v>113</v>
      </c>
      <c r="P310" s="12">
        <v>3738.48</v>
      </c>
    </row>
    <row r="311" spans="1:16" ht="14.5" x14ac:dyDescent="0.25">
      <c r="A311" s="10">
        <v>45785</v>
      </c>
      <c r="B311" s="2" t="str">
        <f t="shared" si="10"/>
        <v>May-2025</v>
      </c>
      <c r="C311" s="2" t="str">
        <f t="shared" si="11"/>
        <v>Q1</v>
      </c>
      <c r="D311" s="2" t="s">
        <v>28</v>
      </c>
      <c r="E311" s="11" t="s">
        <v>123</v>
      </c>
      <c r="F311" s="11" t="s">
        <v>22</v>
      </c>
      <c r="G311" s="11" t="s">
        <v>503</v>
      </c>
      <c r="H311" s="11" t="s">
        <v>45</v>
      </c>
      <c r="I311" s="12">
        <v>0.28000000000000003</v>
      </c>
      <c r="J311" s="12">
        <v>50</v>
      </c>
      <c r="K311" s="12">
        <v>64.67</v>
      </c>
      <c r="L311" s="12">
        <v>3233.5</v>
      </c>
      <c r="M311" s="12">
        <v>0</v>
      </c>
      <c r="N311" s="12">
        <v>0</v>
      </c>
      <c r="O311" s="12">
        <v>420.35489899999999</v>
      </c>
      <c r="P311" s="12">
        <v>3653.8548989999999</v>
      </c>
    </row>
    <row r="312" spans="1:16" ht="14.5" x14ac:dyDescent="0.25">
      <c r="A312" s="10">
        <v>45785</v>
      </c>
      <c r="B312" s="2" t="str">
        <f t="shared" si="10"/>
        <v>May-2025</v>
      </c>
      <c r="C312" s="2" t="str">
        <f t="shared" si="11"/>
        <v>Q1</v>
      </c>
      <c r="D312" s="2" t="s">
        <v>28</v>
      </c>
      <c r="E312" s="11" t="s">
        <v>123</v>
      </c>
      <c r="F312" s="11" t="s">
        <v>22</v>
      </c>
      <c r="G312" s="11" t="s">
        <v>505</v>
      </c>
      <c r="H312" s="11" t="s">
        <v>49</v>
      </c>
      <c r="I312" s="12">
        <v>0.28000000000000003</v>
      </c>
      <c r="J312" s="12">
        <v>50</v>
      </c>
      <c r="K312" s="12">
        <v>183.8</v>
      </c>
      <c r="L312" s="12">
        <v>9190</v>
      </c>
      <c r="M312" s="12">
        <v>0</v>
      </c>
      <c r="N312" s="12">
        <v>0</v>
      </c>
      <c r="O312" s="12">
        <v>1194.699713</v>
      </c>
      <c r="P312" s="12">
        <v>10384.699713</v>
      </c>
    </row>
    <row r="313" spans="1:16" ht="14.5" x14ac:dyDescent="0.25">
      <c r="A313" s="10">
        <v>45785</v>
      </c>
      <c r="B313" s="2" t="str">
        <f t="shared" si="10"/>
        <v>May-2025</v>
      </c>
      <c r="C313" s="2" t="str">
        <f t="shared" si="11"/>
        <v>Q1</v>
      </c>
      <c r="D313" s="2" t="s">
        <v>28</v>
      </c>
      <c r="E313" s="11" t="s">
        <v>123</v>
      </c>
      <c r="F313" s="11" t="s">
        <v>22</v>
      </c>
      <c r="G313" s="11" t="s">
        <v>503</v>
      </c>
      <c r="H313" s="11" t="s">
        <v>57</v>
      </c>
      <c r="I313" s="12">
        <v>0.28000000000000003</v>
      </c>
      <c r="J313" s="12">
        <v>50</v>
      </c>
      <c r="K313" s="12">
        <v>122.53</v>
      </c>
      <c r="L313" s="12">
        <v>6126.5</v>
      </c>
      <c r="M313" s="12">
        <v>0</v>
      </c>
      <c r="N313" s="12">
        <v>0</v>
      </c>
      <c r="O313" s="12">
        <v>796.44480900000008</v>
      </c>
      <c r="P313" s="12">
        <v>6922.9448089999996</v>
      </c>
    </row>
    <row r="314" spans="1:16" ht="14.5" x14ac:dyDescent="0.25">
      <c r="A314" s="10">
        <v>45785</v>
      </c>
      <c r="B314" s="2" t="str">
        <f t="shared" si="10"/>
        <v>May-2025</v>
      </c>
      <c r="C314" s="2" t="str">
        <f t="shared" si="11"/>
        <v>Q1</v>
      </c>
      <c r="D314" s="2" t="s">
        <v>28</v>
      </c>
      <c r="E314" s="11" t="s">
        <v>123</v>
      </c>
      <c r="F314" s="11" t="s">
        <v>22</v>
      </c>
      <c r="G314" s="11" t="s">
        <v>503</v>
      </c>
      <c r="H314" s="11" t="s">
        <v>87</v>
      </c>
      <c r="I314" s="12">
        <v>0.28000000000000003</v>
      </c>
      <c r="J314" s="12">
        <v>50</v>
      </c>
      <c r="K314" s="12">
        <v>115.72</v>
      </c>
      <c r="L314" s="12">
        <v>5785.9999999999991</v>
      </c>
      <c r="M314" s="12">
        <v>0</v>
      </c>
      <c r="N314" s="12">
        <v>0</v>
      </c>
      <c r="O314" s="12">
        <v>752.17981999999995</v>
      </c>
      <c r="P314" s="12">
        <v>6538.1798200000003</v>
      </c>
    </row>
    <row r="315" spans="1:16" ht="14.5" x14ac:dyDescent="0.25">
      <c r="A315" s="10">
        <v>45785</v>
      </c>
      <c r="B315" s="2" t="str">
        <f t="shared" si="10"/>
        <v>May-2025</v>
      </c>
      <c r="C315" s="2" t="str">
        <f t="shared" si="11"/>
        <v>Q1</v>
      </c>
      <c r="D315" s="2" t="s">
        <v>28</v>
      </c>
      <c r="E315" s="11" t="s">
        <v>123</v>
      </c>
      <c r="F315" s="11" t="s">
        <v>22</v>
      </c>
      <c r="G315" s="11" t="s">
        <v>503</v>
      </c>
      <c r="H315" s="11" t="s">
        <v>51</v>
      </c>
      <c r="I315" s="12">
        <v>0.28000000000000003</v>
      </c>
      <c r="J315" s="12">
        <v>50</v>
      </c>
      <c r="K315" s="12">
        <v>64.67</v>
      </c>
      <c r="L315" s="12">
        <v>3233.5</v>
      </c>
      <c r="M315" s="12">
        <v>0</v>
      </c>
      <c r="N315" s="12">
        <v>0</v>
      </c>
      <c r="O315" s="12">
        <v>420.35489899999999</v>
      </c>
      <c r="P315" s="12">
        <v>3653.8548989999999</v>
      </c>
    </row>
    <row r="316" spans="1:16" ht="14.5" x14ac:dyDescent="0.25">
      <c r="A316" s="10">
        <v>45785</v>
      </c>
      <c r="B316" s="2" t="str">
        <f t="shared" si="10"/>
        <v>May-2025</v>
      </c>
      <c r="C316" s="2" t="str">
        <f t="shared" si="11"/>
        <v>Q1</v>
      </c>
      <c r="D316" s="2" t="s">
        <v>28</v>
      </c>
      <c r="E316" s="11" t="s">
        <v>123</v>
      </c>
      <c r="F316" s="11" t="s">
        <v>22</v>
      </c>
      <c r="G316" s="11" t="s">
        <v>503</v>
      </c>
      <c r="H316" s="11" t="s">
        <v>59</v>
      </c>
      <c r="I316" s="12">
        <v>0.28000000000000003</v>
      </c>
      <c r="J316" s="12">
        <v>50</v>
      </c>
      <c r="K316" s="12">
        <v>64.67</v>
      </c>
      <c r="L316" s="12">
        <v>3233.5</v>
      </c>
      <c r="M316" s="12">
        <v>0</v>
      </c>
      <c r="N316" s="12">
        <v>0</v>
      </c>
      <c r="O316" s="12">
        <v>420.35489899999999</v>
      </c>
      <c r="P316" s="12">
        <v>3653.8548989999999</v>
      </c>
    </row>
    <row r="317" spans="1:16" ht="14.5" x14ac:dyDescent="0.25">
      <c r="A317" s="10">
        <v>45785</v>
      </c>
      <c r="B317" s="2" t="str">
        <f t="shared" si="10"/>
        <v>May-2025</v>
      </c>
      <c r="C317" s="2" t="str">
        <f t="shared" si="11"/>
        <v>Q1</v>
      </c>
      <c r="D317" s="2" t="s">
        <v>28</v>
      </c>
      <c r="E317" s="11" t="s">
        <v>123</v>
      </c>
      <c r="F317" s="11" t="s">
        <v>22</v>
      </c>
      <c r="G317" s="11" t="s">
        <v>503</v>
      </c>
      <c r="H317" s="11" t="s">
        <v>52</v>
      </c>
      <c r="I317" s="12">
        <v>0.28000000000000003</v>
      </c>
      <c r="J317" s="12">
        <v>50</v>
      </c>
      <c r="K317" s="12">
        <v>71.48</v>
      </c>
      <c r="L317" s="12">
        <v>3574</v>
      </c>
      <c r="M317" s="12">
        <v>0</v>
      </c>
      <c r="N317" s="12">
        <v>0</v>
      </c>
      <c r="O317" s="12">
        <v>464.619889</v>
      </c>
      <c r="P317" s="12">
        <v>4038.6198890000001</v>
      </c>
    </row>
    <row r="318" spans="1:16" ht="14.5" x14ac:dyDescent="0.25">
      <c r="A318" s="10">
        <v>45785</v>
      </c>
      <c r="B318" s="2" t="str">
        <f t="shared" si="10"/>
        <v>May-2025</v>
      </c>
      <c r="C318" s="2" t="str">
        <f t="shared" si="11"/>
        <v>Q1</v>
      </c>
      <c r="D318" s="2" t="s">
        <v>28</v>
      </c>
      <c r="E318" s="11" t="s">
        <v>123</v>
      </c>
      <c r="F318" s="11" t="s">
        <v>22</v>
      </c>
      <c r="G318" s="11" t="s">
        <v>504</v>
      </c>
      <c r="H318" s="11" t="s">
        <v>67</v>
      </c>
      <c r="I318" s="12">
        <v>0.3</v>
      </c>
      <c r="J318" s="12">
        <v>12</v>
      </c>
      <c r="K318" s="12">
        <v>462.9</v>
      </c>
      <c r="L318" s="12">
        <v>5554.8</v>
      </c>
      <c r="M318" s="12">
        <v>0</v>
      </c>
      <c r="N318" s="12">
        <v>0</v>
      </c>
      <c r="O318" s="12">
        <v>722.12382700000001</v>
      </c>
      <c r="P318" s="12">
        <v>6276.9238269999996</v>
      </c>
    </row>
    <row r="319" spans="1:16" ht="14.5" x14ac:dyDescent="0.25">
      <c r="A319" s="10">
        <v>45785</v>
      </c>
      <c r="B319" s="2" t="str">
        <f t="shared" si="10"/>
        <v>May-2025</v>
      </c>
      <c r="C319" s="2" t="str">
        <f t="shared" si="11"/>
        <v>Q1</v>
      </c>
      <c r="D319" s="2" t="s">
        <v>28</v>
      </c>
      <c r="E319" s="11" t="s">
        <v>123</v>
      </c>
      <c r="F319" s="11" t="s">
        <v>22</v>
      </c>
      <c r="G319" s="11" t="s">
        <v>504</v>
      </c>
      <c r="H319" s="11" t="s">
        <v>66</v>
      </c>
      <c r="I319" s="12">
        <v>0.5</v>
      </c>
      <c r="J319" s="12">
        <v>50</v>
      </c>
      <c r="K319" s="12">
        <v>108.92</v>
      </c>
      <c r="L319" s="12">
        <v>5446.0000000000009</v>
      </c>
      <c r="M319" s="12">
        <v>0</v>
      </c>
      <c r="N319" s="12">
        <v>0</v>
      </c>
      <c r="O319" s="12">
        <v>707.97982999999999</v>
      </c>
      <c r="P319" s="12">
        <v>6153.9798300000002</v>
      </c>
    </row>
    <row r="320" spans="1:16" ht="14.5" x14ac:dyDescent="0.25">
      <c r="A320" s="10">
        <v>45785</v>
      </c>
      <c r="B320" s="2" t="str">
        <f t="shared" si="10"/>
        <v>May-2025</v>
      </c>
      <c r="C320" s="2" t="str">
        <f t="shared" si="11"/>
        <v>Q1</v>
      </c>
      <c r="D320" s="2" t="s">
        <v>28</v>
      </c>
      <c r="E320" s="11" t="s">
        <v>123</v>
      </c>
      <c r="F320" s="11" t="s">
        <v>22</v>
      </c>
      <c r="G320" s="11" t="s">
        <v>503</v>
      </c>
      <c r="H320" s="11" t="s">
        <v>48</v>
      </c>
      <c r="I320" s="12">
        <v>0.28000000000000003</v>
      </c>
      <c r="J320" s="12">
        <v>50</v>
      </c>
      <c r="K320" s="12">
        <v>136.15</v>
      </c>
      <c r="L320" s="12">
        <v>6807.5</v>
      </c>
      <c r="M320" s="12">
        <v>0</v>
      </c>
      <c r="N320" s="12">
        <v>0</v>
      </c>
      <c r="O320" s="12">
        <v>884.97478799999999</v>
      </c>
      <c r="P320" s="12">
        <v>7692.4747880000004</v>
      </c>
    </row>
    <row r="321" spans="1:16" ht="14.5" x14ac:dyDescent="0.25">
      <c r="A321" s="10">
        <v>45785</v>
      </c>
      <c r="B321" s="2" t="str">
        <f t="shared" si="10"/>
        <v>May-2025</v>
      </c>
      <c r="C321" s="2" t="str">
        <f t="shared" si="11"/>
        <v>Q1</v>
      </c>
      <c r="D321" s="2" t="s">
        <v>28</v>
      </c>
      <c r="E321" s="11" t="s">
        <v>123</v>
      </c>
      <c r="F321" s="11" t="s">
        <v>22</v>
      </c>
      <c r="G321" s="11" t="s">
        <v>504</v>
      </c>
      <c r="H321" s="11" t="s">
        <v>69</v>
      </c>
      <c r="I321" s="12">
        <v>0.5</v>
      </c>
      <c r="J321" s="12">
        <v>50</v>
      </c>
      <c r="K321" s="12">
        <v>190.61</v>
      </c>
      <c r="L321" s="12">
        <v>9530.5</v>
      </c>
      <c r="M321" s="12">
        <v>0</v>
      </c>
      <c r="N321" s="12">
        <v>0</v>
      </c>
      <c r="O321" s="12">
        <v>1238.9647029999999</v>
      </c>
      <c r="P321" s="12">
        <v>10769.464703</v>
      </c>
    </row>
    <row r="322" spans="1:16" ht="14.5" x14ac:dyDescent="0.25">
      <c r="A322" s="10">
        <v>45785</v>
      </c>
      <c r="B322" s="2" t="str">
        <f t="shared" si="10"/>
        <v>May-2025</v>
      </c>
      <c r="C322" s="2" t="str">
        <f t="shared" si="11"/>
        <v>Q1</v>
      </c>
      <c r="D322" s="2" t="s">
        <v>28</v>
      </c>
      <c r="E322" s="11" t="s">
        <v>123</v>
      </c>
      <c r="F322" s="11" t="s">
        <v>22</v>
      </c>
      <c r="G322" s="11" t="s">
        <v>504</v>
      </c>
      <c r="H322" s="11" t="s">
        <v>68</v>
      </c>
      <c r="I322" s="12">
        <v>0.3</v>
      </c>
      <c r="J322" s="12">
        <v>12</v>
      </c>
      <c r="K322" s="12">
        <v>262.08</v>
      </c>
      <c r="L322" s="12">
        <v>3144.96</v>
      </c>
      <c r="M322" s="12">
        <v>0</v>
      </c>
      <c r="N322" s="12">
        <v>0</v>
      </c>
      <c r="O322" s="12">
        <v>408.84470199999998</v>
      </c>
      <c r="P322" s="12">
        <v>3553.8047019999999</v>
      </c>
    </row>
    <row r="323" spans="1:16" ht="14.5" x14ac:dyDescent="0.25">
      <c r="A323" s="10">
        <v>45785</v>
      </c>
      <c r="B323" s="2" t="str">
        <f t="shared" si="10"/>
        <v>May-2025</v>
      </c>
      <c r="C323" s="2" t="str">
        <f t="shared" si="11"/>
        <v>Q1</v>
      </c>
      <c r="D323" s="2" t="s">
        <v>28</v>
      </c>
      <c r="E323" s="11" t="s">
        <v>123</v>
      </c>
      <c r="F323" s="11" t="s">
        <v>22</v>
      </c>
      <c r="G323" s="11" t="s">
        <v>505</v>
      </c>
      <c r="H323" s="11" t="s">
        <v>40</v>
      </c>
      <c r="I323" s="12">
        <v>0.28000000000000003</v>
      </c>
      <c r="J323" s="12">
        <v>50</v>
      </c>
      <c r="K323" s="12">
        <v>95.3</v>
      </c>
      <c r="L323" s="12">
        <v>4765</v>
      </c>
      <c r="M323" s="12">
        <v>0</v>
      </c>
      <c r="N323" s="12">
        <v>0</v>
      </c>
      <c r="O323" s="12">
        <v>619.44985099999997</v>
      </c>
      <c r="P323" s="12">
        <v>5384.4498510000003</v>
      </c>
    </row>
    <row r="324" spans="1:16" ht="14.5" x14ac:dyDescent="0.25">
      <c r="A324" s="10">
        <v>45785</v>
      </c>
      <c r="B324" s="2" t="str">
        <f t="shared" si="10"/>
        <v>May-2025</v>
      </c>
      <c r="C324" s="2" t="str">
        <f t="shared" si="11"/>
        <v>Q1</v>
      </c>
      <c r="D324" s="2" t="s">
        <v>28</v>
      </c>
      <c r="E324" s="11" t="s">
        <v>123</v>
      </c>
      <c r="F324" s="11" t="s">
        <v>22</v>
      </c>
      <c r="G324" s="11" t="s">
        <v>506</v>
      </c>
      <c r="H324" s="11" t="s">
        <v>54</v>
      </c>
      <c r="I324" s="12">
        <v>0.13</v>
      </c>
      <c r="J324" s="12">
        <v>6</v>
      </c>
      <c r="K324" s="12">
        <v>313.14</v>
      </c>
      <c r="L324" s="12">
        <v>1878.84</v>
      </c>
      <c r="M324" s="12">
        <v>0</v>
      </c>
      <c r="N324" s="12">
        <v>0</v>
      </c>
      <c r="O324" s="12">
        <v>244.24914100000001</v>
      </c>
      <c r="P324" s="12">
        <v>2123.0891409999999</v>
      </c>
    </row>
    <row r="325" spans="1:16" ht="14.5" x14ac:dyDescent="0.25">
      <c r="A325" s="10">
        <v>45785</v>
      </c>
      <c r="B325" s="2" t="str">
        <f t="shared" si="10"/>
        <v>May-2025</v>
      </c>
      <c r="C325" s="2" t="str">
        <f t="shared" si="11"/>
        <v>Q1</v>
      </c>
      <c r="D325" s="2" t="s">
        <v>28</v>
      </c>
      <c r="E325" s="11" t="s">
        <v>123</v>
      </c>
      <c r="F325" s="11" t="s">
        <v>22</v>
      </c>
      <c r="G325" s="11" t="s">
        <v>503</v>
      </c>
      <c r="H325" s="11" t="s">
        <v>47</v>
      </c>
      <c r="I325" s="12">
        <v>0.42</v>
      </c>
      <c r="J325" s="12">
        <v>50</v>
      </c>
      <c r="K325" s="12">
        <v>122.53</v>
      </c>
      <c r="L325" s="12">
        <v>6126.5</v>
      </c>
      <c r="M325" s="12">
        <v>0</v>
      </c>
      <c r="N325" s="12">
        <v>0</v>
      </c>
      <c r="O325" s="12">
        <v>796.44480900000008</v>
      </c>
      <c r="P325" s="12">
        <v>6922.9448089999996</v>
      </c>
    </row>
    <row r="326" spans="1:16" ht="14.5" x14ac:dyDescent="0.25">
      <c r="A326" s="10">
        <v>45785</v>
      </c>
      <c r="B326" s="2" t="str">
        <f t="shared" si="10"/>
        <v>May-2025</v>
      </c>
      <c r="C326" s="2" t="str">
        <f t="shared" si="11"/>
        <v>Q1</v>
      </c>
      <c r="D326" s="2" t="s">
        <v>28</v>
      </c>
      <c r="E326" s="11" t="s">
        <v>123</v>
      </c>
      <c r="F326" s="11" t="s">
        <v>22</v>
      </c>
      <c r="G326" s="11" t="s">
        <v>503</v>
      </c>
      <c r="H326" s="11" t="s">
        <v>63</v>
      </c>
      <c r="I326" s="12">
        <v>0.63</v>
      </c>
      <c r="J326" s="12">
        <v>50</v>
      </c>
      <c r="K326" s="12">
        <v>190.61</v>
      </c>
      <c r="L326" s="12">
        <v>9530.5</v>
      </c>
      <c r="M326" s="12">
        <v>0</v>
      </c>
      <c r="N326" s="12">
        <v>0</v>
      </c>
      <c r="O326" s="12">
        <v>1238.9647029999999</v>
      </c>
      <c r="P326" s="12">
        <v>10769.464703</v>
      </c>
    </row>
    <row r="327" spans="1:16" ht="14.5" x14ac:dyDescent="0.25">
      <c r="A327" s="10">
        <v>45785</v>
      </c>
      <c r="B327" s="2" t="str">
        <f t="shared" si="10"/>
        <v>May-2025</v>
      </c>
      <c r="C327" s="2" t="str">
        <f t="shared" si="11"/>
        <v>Q1</v>
      </c>
      <c r="D327" s="2" t="s">
        <v>28</v>
      </c>
      <c r="E327" s="11" t="s">
        <v>123</v>
      </c>
      <c r="F327" s="11" t="s">
        <v>22</v>
      </c>
      <c r="G327" s="11" t="s">
        <v>503</v>
      </c>
      <c r="H327" s="11" t="s">
        <v>46</v>
      </c>
      <c r="I327" s="12">
        <v>0.42</v>
      </c>
      <c r="J327" s="12">
        <v>50</v>
      </c>
      <c r="K327" s="12">
        <v>122.53</v>
      </c>
      <c r="L327" s="12">
        <v>6126.5</v>
      </c>
      <c r="M327" s="12">
        <v>0</v>
      </c>
      <c r="N327" s="12">
        <v>0</v>
      </c>
      <c r="O327" s="12">
        <v>796.44480900000008</v>
      </c>
      <c r="P327" s="12">
        <v>6922.9448089999996</v>
      </c>
    </row>
    <row r="328" spans="1:16" ht="14.5" x14ac:dyDescent="0.25">
      <c r="A328" s="10">
        <v>45785</v>
      </c>
      <c r="B328" s="2" t="str">
        <f t="shared" si="10"/>
        <v>May-2025</v>
      </c>
      <c r="C328" s="2" t="str">
        <f t="shared" si="11"/>
        <v>Q1</v>
      </c>
      <c r="D328" s="2" t="s">
        <v>28</v>
      </c>
      <c r="E328" s="11" t="s">
        <v>123</v>
      </c>
      <c r="F328" s="11" t="s">
        <v>22</v>
      </c>
      <c r="G328" s="11" t="s">
        <v>505</v>
      </c>
      <c r="H328" s="11" t="s">
        <v>56</v>
      </c>
      <c r="I328" s="12">
        <v>0.42</v>
      </c>
      <c r="J328" s="12">
        <v>50</v>
      </c>
      <c r="K328" s="12">
        <v>57.86</v>
      </c>
      <c r="L328" s="12">
        <v>2892.9999999999995</v>
      </c>
      <c r="M328" s="12">
        <v>0</v>
      </c>
      <c r="N328" s="12">
        <v>0</v>
      </c>
      <c r="O328" s="12">
        <v>376.08990999999997</v>
      </c>
      <c r="P328" s="12">
        <v>3269.0899100000001</v>
      </c>
    </row>
    <row r="329" spans="1:16" ht="14.5" x14ac:dyDescent="0.25">
      <c r="A329" s="10">
        <v>45786</v>
      </c>
      <c r="B329" s="2" t="str">
        <f t="shared" si="10"/>
        <v>May-2025</v>
      </c>
      <c r="C329" s="2" t="str">
        <f t="shared" si="11"/>
        <v>Q1</v>
      </c>
      <c r="D329" s="2" t="s">
        <v>28</v>
      </c>
      <c r="E329" s="11" t="s">
        <v>124</v>
      </c>
      <c r="F329" s="11" t="s">
        <v>75</v>
      </c>
      <c r="G329" s="11" t="s">
        <v>505</v>
      </c>
      <c r="H329" s="11" t="s">
        <v>55</v>
      </c>
      <c r="I329" s="12">
        <v>1</v>
      </c>
      <c r="J329" s="12">
        <v>120</v>
      </c>
      <c r="K329" s="12">
        <v>152.11000000000001</v>
      </c>
      <c r="L329" s="12">
        <v>18253.2</v>
      </c>
      <c r="M329" s="12">
        <v>-1659.2199999999998</v>
      </c>
      <c r="N329" s="12">
        <v>0</v>
      </c>
      <c r="O329" s="12">
        <v>2157.2191430000003</v>
      </c>
      <c r="P329" s="12">
        <v>18751.199143000002</v>
      </c>
    </row>
    <row r="330" spans="1:16" ht="14.5" x14ac:dyDescent="0.25">
      <c r="A330" s="10">
        <v>45786</v>
      </c>
      <c r="B330" s="2" t="str">
        <f t="shared" si="10"/>
        <v>May-2025</v>
      </c>
      <c r="C330" s="2" t="str">
        <f t="shared" si="11"/>
        <v>Q1</v>
      </c>
      <c r="D330" s="2" t="s">
        <v>28</v>
      </c>
      <c r="E330" s="11" t="s">
        <v>124</v>
      </c>
      <c r="F330" s="11" t="s">
        <v>75</v>
      </c>
      <c r="G330" s="11" t="s">
        <v>507</v>
      </c>
      <c r="H330" s="11" t="s">
        <v>90</v>
      </c>
      <c r="I330" s="12">
        <v>0.75</v>
      </c>
      <c r="J330" s="12">
        <v>90</v>
      </c>
      <c r="K330" s="12">
        <v>57.46</v>
      </c>
      <c r="L330" s="12">
        <v>5171.3999999999996</v>
      </c>
      <c r="M330" s="12">
        <v>-470.08</v>
      </c>
      <c r="N330" s="12">
        <v>0</v>
      </c>
      <c r="O330" s="12">
        <v>611.17209400000002</v>
      </c>
      <c r="P330" s="12">
        <v>5312.4920940000002</v>
      </c>
    </row>
    <row r="331" spans="1:16" ht="14.5" x14ac:dyDescent="0.25">
      <c r="A331" s="10">
        <v>45786</v>
      </c>
      <c r="B331" s="2" t="str">
        <f t="shared" si="10"/>
        <v>May-2025</v>
      </c>
      <c r="C331" s="2" t="str">
        <f t="shared" si="11"/>
        <v>Q1</v>
      </c>
      <c r="D331" s="2" t="s">
        <v>28</v>
      </c>
      <c r="E331" s="11" t="s">
        <v>124</v>
      </c>
      <c r="F331" s="11" t="s">
        <v>75</v>
      </c>
      <c r="G331" s="11" t="s">
        <v>503</v>
      </c>
      <c r="H331" s="11" t="s">
        <v>51</v>
      </c>
      <c r="I331" s="12">
        <v>1</v>
      </c>
      <c r="J331" s="12">
        <v>180</v>
      </c>
      <c r="K331" s="12">
        <v>64.23</v>
      </c>
      <c r="L331" s="12">
        <v>11561.4</v>
      </c>
      <c r="M331" s="12">
        <v>-1050.9299999999998</v>
      </c>
      <c r="N331" s="12">
        <v>0</v>
      </c>
      <c r="O331" s="12">
        <v>1366.3622039999998</v>
      </c>
      <c r="P331" s="12">
        <v>11876.832204</v>
      </c>
    </row>
    <row r="332" spans="1:16" ht="14.5" x14ac:dyDescent="0.25">
      <c r="A332" s="10">
        <v>45786</v>
      </c>
      <c r="B332" s="2" t="str">
        <f t="shared" si="10"/>
        <v>May-2025</v>
      </c>
      <c r="C332" s="2" t="str">
        <f t="shared" si="11"/>
        <v>Q1</v>
      </c>
      <c r="D332" s="2" t="s">
        <v>28</v>
      </c>
      <c r="E332" s="11" t="s">
        <v>124</v>
      </c>
      <c r="F332" s="11" t="s">
        <v>75</v>
      </c>
      <c r="G332" s="11" t="s">
        <v>505</v>
      </c>
      <c r="H332" s="11" t="s">
        <v>56</v>
      </c>
      <c r="I332" s="12">
        <v>1</v>
      </c>
      <c r="J332" s="12">
        <v>120</v>
      </c>
      <c r="K332" s="12">
        <v>57.46</v>
      </c>
      <c r="L332" s="12">
        <v>6895.2</v>
      </c>
      <c r="M332" s="12">
        <v>-626.77</v>
      </c>
      <c r="N332" s="12">
        <v>0</v>
      </c>
      <c r="O332" s="12">
        <v>814.89655900000002</v>
      </c>
      <c r="P332" s="12">
        <v>7083.3265590000001</v>
      </c>
    </row>
    <row r="333" spans="1:16" ht="14.5" x14ac:dyDescent="0.25">
      <c r="A333" s="10">
        <v>45792</v>
      </c>
      <c r="B333" s="2" t="str">
        <f t="shared" si="10"/>
        <v>May-2025</v>
      </c>
      <c r="C333" s="2" t="str">
        <f t="shared" si="11"/>
        <v>Q1</v>
      </c>
      <c r="D333" s="2" t="s">
        <v>28</v>
      </c>
      <c r="E333" s="11" t="s">
        <v>125</v>
      </c>
      <c r="F333" s="11" t="s">
        <v>104</v>
      </c>
      <c r="G333" s="11" t="s">
        <v>505</v>
      </c>
      <c r="H333" s="11" t="s">
        <v>56</v>
      </c>
      <c r="I333" s="12">
        <v>0.13</v>
      </c>
      <c r="J333" s="12">
        <v>16</v>
      </c>
      <c r="K333" s="12">
        <v>60.18</v>
      </c>
      <c r="L333" s="12">
        <v>962.88</v>
      </c>
      <c r="M333" s="12">
        <v>0</v>
      </c>
      <c r="N333" s="12">
        <v>0</v>
      </c>
      <c r="O333" s="12">
        <v>125.17403299999999</v>
      </c>
      <c r="P333" s="12">
        <v>1088.0540329999999</v>
      </c>
    </row>
    <row r="334" spans="1:16" ht="14.5" x14ac:dyDescent="0.25">
      <c r="A334" s="10">
        <v>45792</v>
      </c>
      <c r="B334" s="2" t="str">
        <f t="shared" si="10"/>
        <v>May-2025</v>
      </c>
      <c r="C334" s="2" t="str">
        <f t="shared" si="11"/>
        <v>Q1</v>
      </c>
      <c r="D334" s="2" t="s">
        <v>28</v>
      </c>
      <c r="E334" s="11" t="s">
        <v>125</v>
      </c>
      <c r="F334" s="11" t="s">
        <v>104</v>
      </c>
      <c r="G334" s="11" t="s">
        <v>507</v>
      </c>
      <c r="H334" s="11" t="s">
        <v>90</v>
      </c>
      <c r="I334" s="12">
        <v>0.7</v>
      </c>
      <c r="J334" s="12">
        <v>84</v>
      </c>
      <c r="K334" s="12">
        <v>60.18</v>
      </c>
      <c r="L334" s="12">
        <v>5055.12</v>
      </c>
      <c r="M334" s="12">
        <v>0</v>
      </c>
      <c r="N334" s="12">
        <v>0</v>
      </c>
      <c r="O334" s="12">
        <v>657.16367100000002</v>
      </c>
      <c r="P334" s="12">
        <v>5712.2836710000001</v>
      </c>
    </row>
    <row r="335" spans="1:16" ht="14.5" x14ac:dyDescent="0.25">
      <c r="A335" s="10">
        <v>45792</v>
      </c>
      <c r="B335" s="2" t="str">
        <f t="shared" si="10"/>
        <v>May-2025</v>
      </c>
      <c r="C335" s="2" t="str">
        <f t="shared" si="11"/>
        <v>Q1</v>
      </c>
      <c r="D335" s="2" t="s">
        <v>28</v>
      </c>
      <c r="E335" s="11" t="s">
        <v>125</v>
      </c>
      <c r="F335" s="11" t="s">
        <v>104</v>
      </c>
      <c r="G335" s="11" t="s">
        <v>503</v>
      </c>
      <c r="H335" s="11" t="s">
        <v>59</v>
      </c>
      <c r="I335" s="12">
        <v>0.09</v>
      </c>
      <c r="J335" s="12">
        <v>16</v>
      </c>
      <c r="K335" s="12">
        <v>67.260000000000005</v>
      </c>
      <c r="L335" s="12">
        <v>1076.1600000000001</v>
      </c>
      <c r="M335" s="12">
        <v>0</v>
      </c>
      <c r="N335" s="12">
        <v>0</v>
      </c>
      <c r="O335" s="12">
        <v>139.90038899999999</v>
      </c>
      <c r="P335" s="12">
        <v>1216.060389</v>
      </c>
    </row>
    <row r="336" spans="1:16" ht="14.5" x14ac:dyDescent="0.25">
      <c r="A336" s="10">
        <v>45792</v>
      </c>
      <c r="B336" s="2" t="str">
        <f t="shared" si="10"/>
        <v>May-2025</v>
      </c>
      <c r="C336" s="2" t="str">
        <f t="shared" si="11"/>
        <v>Q1</v>
      </c>
      <c r="D336" s="2" t="s">
        <v>28</v>
      </c>
      <c r="E336" s="11" t="s">
        <v>125</v>
      </c>
      <c r="F336" s="11" t="s">
        <v>104</v>
      </c>
      <c r="G336" s="11" t="s">
        <v>503</v>
      </c>
      <c r="H336" s="11" t="s">
        <v>41</v>
      </c>
      <c r="I336" s="12">
        <v>0.1</v>
      </c>
      <c r="J336" s="12">
        <v>18</v>
      </c>
      <c r="K336" s="12">
        <v>63.72</v>
      </c>
      <c r="L336" s="12">
        <v>1146.96</v>
      </c>
      <c r="M336" s="12">
        <v>0</v>
      </c>
      <c r="N336" s="12">
        <v>0</v>
      </c>
      <c r="O336" s="12">
        <v>149.10436199999998</v>
      </c>
      <c r="P336" s="12">
        <v>1296.0643620000001</v>
      </c>
    </row>
    <row r="337" spans="1:16" ht="14.5" x14ac:dyDescent="0.25">
      <c r="A337" s="10">
        <v>45792</v>
      </c>
      <c r="B337" s="2" t="str">
        <f t="shared" si="10"/>
        <v>May-2025</v>
      </c>
      <c r="C337" s="2" t="str">
        <f t="shared" si="11"/>
        <v>Q1</v>
      </c>
      <c r="D337" s="2" t="s">
        <v>28</v>
      </c>
      <c r="E337" s="11" t="s">
        <v>125</v>
      </c>
      <c r="F337" s="11" t="s">
        <v>104</v>
      </c>
      <c r="G337" s="11" t="s">
        <v>503</v>
      </c>
      <c r="H337" s="11" t="s">
        <v>52</v>
      </c>
      <c r="I337" s="12">
        <v>0.05</v>
      </c>
      <c r="J337" s="12">
        <v>9</v>
      </c>
      <c r="K337" s="12">
        <v>74.34</v>
      </c>
      <c r="L337" s="12">
        <v>669.06</v>
      </c>
      <c r="M337" s="12">
        <v>0</v>
      </c>
      <c r="N337" s="12">
        <v>0</v>
      </c>
      <c r="O337" s="12">
        <v>86.977544999999992</v>
      </c>
      <c r="P337" s="12">
        <v>756.03754500000002</v>
      </c>
    </row>
    <row r="338" spans="1:16" ht="14.5" x14ac:dyDescent="0.25">
      <c r="A338" s="10">
        <v>45792</v>
      </c>
      <c r="B338" s="2" t="str">
        <f t="shared" si="10"/>
        <v>May-2025</v>
      </c>
      <c r="C338" s="2" t="str">
        <f t="shared" si="11"/>
        <v>Q1</v>
      </c>
      <c r="D338" s="2" t="s">
        <v>28</v>
      </c>
      <c r="E338" s="11" t="s">
        <v>126</v>
      </c>
      <c r="F338" s="11" t="s">
        <v>15</v>
      </c>
      <c r="G338" s="11" t="s">
        <v>506</v>
      </c>
      <c r="H338" s="11" t="s">
        <v>58</v>
      </c>
      <c r="I338" s="12">
        <v>1</v>
      </c>
      <c r="J338" s="12">
        <v>72</v>
      </c>
      <c r="K338" s="12">
        <v>148.72999999999999</v>
      </c>
      <c r="L338" s="12">
        <v>10708.56</v>
      </c>
      <c r="M338" s="12">
        <v>-973.41</v>
      </c>
      <c r="N338" s="12">
        <v>0</v>
      </c>
      <c r="O338" s="12">
        <v>1265.5695819999999</v>
      </c>
      <c r="P338" s="12">
        <v>11000.719582</v>
      </c>
    </row>
    <row r="339" spans="1:16" ht="14.5" x14ac:dyDescent="0.25">
      <c r="A339" s="10">
        <v>45792</v>
      </c>
      <c r="B339" s="2" t="str">
        <f t="shared" si="10"/>
        <v>May-2025</v>
      </c>
      <c r="C339" s="2" t="str">
        <f t="shared" si="11"/>
        <v>Q1</v>
      </c>
      <c r="D339" s="2" t="s">
        <v>28</v>
      </c>
      <c r="E339" s="11" t="s">
        <v>126</v>
      </c>
      <c r="F339" s="11" t="s">
        <v>15</v>
      </c>
      <c r="G339" s="11" t="s">
        <v>503</v>
      </c>
      <c r="H339" s="11" t="s">
        <v>42</v>
      </c>
      <c r="I339" s="12">
        <v>1</v>
      </c>
      <c r="J339" s="12">
        <v>120</v>
      </c>
      <c r="K339" s="12">
        <v>141.97</v>
      </c>
      <c r="L339" s="12">
        <v>17036.400000000001</v>
      </c>
      <c r="M339" s="12">
        <v>-1548.61</v>
      </c>
      <c r="N339" s="12">
        <v>0</v>
      </c>
      <c r="O339" s="12">
        <v>2013.41283</v>
      </c>
      <c r="P339" s="12">
        <v>17501.202829999998</v>
      </c>
    </row>
    <row r="340" spans="1:16" ht="14.5" x14ac:dyDescent="0.25">
      <c r="A340" s="10">
        <v>45792</v>
      </c>
      <c r="B340" s="2" t="str">
        <f t="shared" si="10"/>
        <v>May-2025</v>
      </c>
      <c r="C340" s="2" t="str">
        <f t="shared" si="11"/>
        <v>Q1</v>
      </c>
      <c r="D340" s="2" t="s">
        <v>28</v>
      </c>
      <c r="E340" s="11" t="s">
        <v>126</v>
      </c>
      <c r="F340" s="11" t="s">
        <v>15</v>
      </c>
      <c r="G340" s="11" t="s">
        <v>505</v>
      </c>
      <c r="H340" s="11" t="s">
        <v>56</v>
      </c>
      <c r="I340" s="12">
        <v>1</v>
      </c>
      <c r="J340" s="12">
        <v>120</v>
      </c>
      <c r="K340" s="12">
        <v>57.46</v>
      </c>
      <c r="L340" s="12">
        <v>6895.2</v>
      </c>
      <c r="M340" s="12">
        <v>-626.77</v>
      </c>
      <c r="N340" s="12">
        <v>0</v>
      </c>
      <c r="O340" s="12">
        <v>814.89595299999996</v>
      </c>
      <c r="P340" s="12">
        <v>7083.3259529999996</v>
      </c>
    </row>
    <row r="341" spans="1:16" ht="14.5" x14ac:dyDescent="0.25">
      <c r="A341" s="10">
        <v>45792</v>
      </c>
      <c r="B341" s="2" t="str">
        <f t="shared" si="10"/>
        <v>May-2025</v>
      </c>
      <c r="C341" s="2" t="str">
        <f t="shared" si="11"/>
        <v>Q1</v>
      </c>
      <c r="D341" s="2" t="s">
        <v>28</v>
      </c>
      <c r="E341" s="11" t="s">
        <v>126</v>
      </c>
      <c r="F341" s="11" t="s">
        <v>15</v>
      </c>
      <c r="G341" s="11" t="s">
        <v>505</v>
      </c>
      <c r="H341" s="11" t="s">
        <v>50</v>
      </c>
      <c r="I341" s="12">
        <v>0.25</v>
      </c>
      <c r="J341" s="12">
        <v>20</v>
      </c>
      <c r="K341" s="12">
        <v>169.01</v>
      </c>
      <c r="L341" s="12">
        <v>3380.2</v>
      </c>
      <c r="M341" s="12">
        <v>-307.26</v>
      </c>
      <c r="N341" s="12">
        <v>0</v>
      </c>
      <c r="O341" s="12">
        <v>399.48222599999997</v>
      </c>
      <c r="P341" s="12">
        <v>3472.4222260000001</v>
      </c>
    </row>
    <row r="342" spans="1:16" ht="14.5" x14ac:dyDescent="0.25">
      <c r="A342" s="10">
        <v>45792</v>
      </c>
      <c r="B342" s="2" t="str">
        <f t="shared" si="10"/>
        <v>May-2025</v>
      </c>
      <c r="C342" s="2" t="str">
        <f t="shared" si="11"/>
        <v>Q1</v>
      </c>
      <c r="D342" s="2" t="s">
        <v>28</v>
      </c>
      <c r="E342" s="11" t="s">
        <v>126</v>
      </c>
      <c r="F342" s="11" t="s">
        <v>15</v>
      </c>
      <c r="G342" s="11" t="s">
        <v>503</v>
      </c>
      <c r="H342" s="11" t="s">
        <v>44</v>
      </c>
      <c r="I342" s="12">
        <v>1</v>
      </c>
      <c r="J342" s="12">
        <v>180</v>
      </c>
      <c r="K342" s="12">
        <v>155.49</v>
      </c>
      <c r="L342" s="12">
        <v>27988.2</v>
      </c>
      <c r="M342" s="12">
        <v>-2544.13</v>
      </c>
      <c r="N342" s="12">
        <v>0</v>
      </c>
      <c r="O342" s="12">
        <v>3307.7293140000002</v>
      </c>
      <c r="P342" s="12">
        <v>28751.799314</v>
      </c>
    </row>
    <row r="343" spans="1:16" ht="14.5" x14ac:dyDescent="0.25">
      <c r="A343" s="10">
        <v>45792</v>
      </c>
      <c r="B343" s="2" t="str">
        <f t="shared" si="10"/>
        <v>May-2025</v>
      </c>
      <c r="C343" s="2" t="str">
        <f t="shared" si="11"/>
        <v>Q1</v>
      </c>
      <c r="D343" s="2" t="s">
        <v>28</v>
      </c>
      <c r="E343" s="11" t="s">
        <v>126</v>
      </c>
      <c r="F343" s="11" t="s">
        <v>15</v>
      </c>
      <c r="G343" s="11" t="s">
        <v>507</v>
      </c>
      <c r="H343" s="11" t="s">
        <v>60</v>
      </c>
      <c r="I343" s="12">
        <v>1</v>
      </c>
      <c r="J343" s="12">
        <v>60</v>
      </c>
      <c r="K343" s="12">
        <v>98.03</v>
      </c>
      <c r="L343" s="12">
        <v>5881.8</v>
      </c>
      <c r="M343" s="12">
        <v>-534.66</v>
      </c>
      <c r="N343" s="12">
        <v>0</v>
      </c>
      <c r="O343" s="12">
        <v>695.12824499999999</v>
      </c>
      <c r="P343" s="12">
        <v>6042.2682450000002</v>
      </c>
    </row>
    <row r="344" spans="1:16" ht="14.5" x14ac:dyDescent="0.25">
      <c r="A344" s="10">
        <v>45792</v>
      </c>
      <c r="B344" s="2" t="str">
        <f t="shared" si="10"/>
        <v>May-2025</v>
      </c>
      <c r="C344" s="2" t="str">
        <f t="shared" si="11"/>
        <v>Q1</v>
      </c>
      <c r="D344" s="2" t="s">
        <v>28</v>
      </c>
      <c r="E344" s="11" t="s">
        <v>126</v>
      </c>
      <c r="F344" s="11" t="s">
        <v>15</v>
      </c>
      <c r="G344" s="11" t="s">
        <v>506</v>
      </c>
      <c r="H344" s="11" t="s">
        <v>54</v>
      </c>
      <c r="I344" s="12">
        <v>1.01</v>
      </c>
      <c r="J344" s="12">
        <v>48</v>
      </c>
      <c r="K344" s="12">
        <v>310.99</v>
      </c>
      <c r="L344" s="12">
        <v>14927.519999999999</v>
      </c>
      <c r="M344" s="12">
        <v>-1356.91</v>
      </c>
      <c r="N344" s="12">
        <v>0</v>
      </c>
      <c r="O344" s="12">
        <v>1764.179414</v>
      </c>
      <c r="P344" s="12">
        <v>15334.789414000001</v>
      </c>
    </row>
    <row r="345" spans="1:16" ht="14.5" x14ac:dyDescent="0.25">
      <c r="A345" s="10">
        <v>45792</v>
      </c>
      <c r="B345" s="2" t="str">
        <f t="shared" si="10"/>
        <v>May-2025</v>
      </c>
      <c r="C345" s="2" t="str">
        <f t="shared" si="11"/>
        <v>Q1</v>
      </c>
      <c r="D345" s="2" t="s">
        <v>28</v>
      </c>
      <c r="E345" s="11" t="s">
        <v>126</v>
      </c>
      <c r="F345" s="11" t="s">
        <v>15</v>
      </c>
      <c r="G345" s="11" t="s">
        <v>506</v>
      </c>
      <c r="H345" s="11" t="s">
        <v>39</v>
      </c>
      <c r="I345" s="12">
        <v>0.5</v>
      </c>
      <c r="J345" s="12">
        <v>36</v>
      </c>
      <c r="K345" s="12">
        <v>131.83000000000001</v>
      </c>
      <c r="L345" s="12">
        <v>4745.88</v>
      </c>
      <c r="M345" s="12">
        <v>-431.4</v>
      </c>
      <c r="N345" s="12">
        <v>0</v>
      </c>
      <c r="O345" s="12">
        <v>560.88243599999998</v>
      </c>
      <c r="P345" s="12">
        <v>4875.3624360000003</v>
      </c>
    </row>
    <row r="346" spans="1:16" ht="14.5" x14ac:dyDescent="0.25">
      <c r="A346" s="10">
        <v>45792</v>
      </c>
      <c r="B346" s="2" t="str">
        <f t="shared" si="10"/>
        <v>May-2025</v>
      </c>
      <c r="C346" s="2" t="str">
        <f t="shared" si="11"/>
        <v>Q1</v>
      </c>
      <c r="D346" s="2" t="s">
        <v>28</v>
      </c>
      <c r="E346" s="11" t="s">
        <v>127</v>
      </c>
      <c r="F346" s="11" t="s">
        <v>83</v>
      </c>
      <c r="G346" s="11" t="s">
        <v>505</v>
      </c>
      <c r="H346" s="11" t="s">
        <v>50</v>
      </c>
      <c r="I346" s="12">
        <v>0.25</v>
      </c>
      <c r="J346" s="12">
        <v>20</v>
      </c>
      <c r="K346" s="12">
        <v>169.01</v>
      </c>
      <c r="L346" s="12">
        <v>3380.2</v>
      </c>
      <c r="M346" s="12">
        <v>-307.26</v>
      </c>
      <c r="N346" s="12">
        <v>0</v>
      </c>
      <c r="O346" s="12">
        <v>399.482597</v>
      </c>
      <c r="P346" s="12">
        <v>3472.4225970000002</v>
      </c>
    </row>
    <row r="347" spans="1:16" ht="14.5" x14ac:dyDescent="0.25">
      <c r="A347" s="10">
        <v>45792</v>
      </c>
      <c r="B347" s="2" t="str">
        <f t="shared" si="10"/>
        <v>May-2025</v>
      </c>
      <c r="C347" s="2" t="str">
        <f t="shared" si="11"/>
        <v>Q1</v>
      </c>
      <c r="D347" s="2" t="s">
        <v>28</v>
      </c>
      <c r="E347" s="11" t="s">
        <v>127</v>
      </c>
      <c r="F347" s="11" t="s">
        <v>83</v>
      </c>
      <c r="G347" s="11" t="s">
        <v>506</v>
      </c>
      <c r="H347" s="11" t="s">
        <v>39</v>
      </c>
      <c r="I347" s="12">
        <v>0.5</v>
      </c>
      <c r="J347" s="12">
        <v>36</v>
      </c>
      <c r="K347" s="12">
        <v>131.83000000000001</v>
      </c>
      <c r="L347" s="12">
        <v>4745.88</v>
      </c>
      <c r="M347" s="12">
        <v>-431.4</v>
      </c>
      <c r="N347" s="12">
        <v>0</v>
      </c>
      <c r="O347" s="12">
        <v>560.88295700000003</v>
      </c>
      <c r="P347" s="12">
        <v>4875.3629570000003</v>
      </c>
    </row>
    <row r="348" spans="1:16" ht="14.5" x14ac:dyDescent="0.25">
      <c r="A348" s="10">
        <v>45792</v>
      </c>
      <c r="B348" s="2" t="str">
        <f t="shared" si="10"/>
        <v>May-2025</v>
      </c>
      <c r="C348" s="2" t="str">
        <f t="shared" si="11"/>
        <v>Q1</v>
      </c>
      <c r="D348" s="2" t="s">
        <v>28</v>
      </c>
      <c r="E348" s="11" t="s">
        <v>127</v>
      </c>
      <c r="F348" s="11" t="s">
        <v>83</v>
      </c>
      <c r="G348" s="11" t="s">
        <v>507</v>
      </c>
      <c r="H348" s="11" t="s">
        <v>90</v>
      </c>
      <c r="I348" s="12">
        <v>0.25</v>
      </c>
      <c r="J348" s="12">
        <v>30</v>
      </c>
      <c r="K348" s="12">
        <v>57.46</v>
      </c>
      <c r="L348" s="12">
        <v>1723.8</v>
      </c>
      <c r="M348" s="12">
        <v>-156.69</v>
      </c>
      <c r="N348" s="12">
        <v>0</v>
      </c>
      <c r="O348" s="12">
        <v>203.724502</v>
      </c>
      <c r="P348" s="12">
        <v>1770.8345019999999</v>
      </c>
    </row>
    <row r="349" spans="1:16" ht="14.5" x14ac:dyDescent="0.25">
      <c r="A349" s="10">
        <v>45792</v>
      </c>
      <c r="B349" s="2" t="str">
        <f t="shared" si="10"/>
        <v>May-2025</v>
      </c>
      <c r="C349" s="2" t="str">
        <f t="shared" si="11"/>
        <v>Q1</v>
      </c>
      <c r="D349" s="2" t="s">
        <v>28</v>
      </c>
      <c r="E349" s="11" t="s">
        <v>127</v>
      </c>
      <c r="F349" s="11" t="s">
        <v>83</v>
      </c>
      <c r="G349" s="11" t="s">
        <v>506</v>
      </c>
      <c r="H349" s="11" t="s">
        <v>54</v>
      </c>
      <c r="I349" s="12">
        <v>1</v>
      </c>
      <c r="J349" s="12">
        <v>48</v>
      </c>
      <c r="K349" s="12">
        <v>310.99</v>
      </c>
      <c r="L349" s="12">
        <v>14927.519999999999</v>
      </c>
      <c r="M349" s="12">
        <v>-1356.91</v>
      </c>
      <c r="N349" s="12">
        <v>0</v>
      </c>
      <c r="O349" s="12">
        <v>1764.181053</v>
      </c>
      <c r="P349" s="12">
        <v>15334.791053000001</v>
      </c>
    </row>
    <row r="350" spans="1:16" ht="14.5" x14ac:dyDescent="0.25">
      <c r="A350" s="10">
        <v>45792</v>
      </c>
      <c r="B350" s="2" t="str">
        <f t="shared" si="10"/>
        <v>May-2025</v>
      </c>
      <c r="C350" s="2" t="str">
        <f t="shared" si="11"/>
        <v>Q1</v>
      </c>
      <c r="D350" s="2" t="s">
        <v>28</v>
      </c>
      <c r="E350" s="11" t="s">
        <v>127</v>
      </c>
      <c r="F350" s="11" t="s">
        <v>83</v>
      </c>
      <c r="G350" s="11" t="s">
        <v>507</v>
      </c>
      <c r="H350" s="11" t="s">
        <v>60</v>
      </c>
      <c r="I350" s="12">
        <v>1</v>
      </c>
      <c r="J350" s="12">
        <v>60</v>
      </c>
      <c r="K350" s="12">
        <v>98.03</v>
      </c>
      <c r="L350" s="12">
        <v>5881.8</v>
      </c>
      <c r="M350" s="12">
        <v>-534.66</v>
      </c>
      <c r="N350" s="12">
        <v>0</v>
      </c>
      <c r="O350" s="12">
        <v>695.12889099999995</v>
      </c>
      <c r="P350" s="12">
        <v>6042.2688909999997</v>
      </c>
    </row>
    <row r="351" spans="1:16" ht="14.5" x14ac:dyDescent="0.25">
      <c r="A351" s="10">
        <v>45792</v>
      </c>
      <c r="B351" s="2" t="str">
        <f t="shared" si="10"/>
        <v>May-2025</v>
      </c>
      <c r="C351" s="2" t="str">
        <f t="shared" si="11"/>
        <v>Q1</v>
      </c>
      <c r="D351" s="2" t="s">
        <v>28</v>
      </c>
      <c r="E351" s="11" t="s">
        <v>128</v>
      </c>
      <c r="F351" s="11" t="s">
        <v>73</v>
      </c>
      <c r="G351" s="11" t="s">
        <v>503</v>
      </c>
      <c r="H351" s="11" t="s">
        <v>45</v>
      </c>
      <c r="I351" s="12">
        <v>2</v>
      </c>
      <c r="J351" s="12">
        <v>360</v>
      </c>
      <c r="K351" s="12">
        <v>64.23</v>
      </c>
      <c r="L351" s="12">
        <v>23122.799999999999</v>
      </c>
      <c r="M351" s="12">
        <v>-2101.8599999999997</v>
      </c>
      <c r="N351" s="12">
        <v>0</v>
      </c>
      <c r="O351" s="12">
        <v>2732.722984</v>
      </c>
      <c r="P351" s="12">
        <v>23753.662983999999</v>
      </c>
    </row>
    <row r="352" spans="1:16" ht="14.5" x14ac:dyDescent="0.25">
      <c r="A352" s="10">
        <v>45792</v>
      </c>
      <c r="B352" s="2" t="str">
        <f t="shared" si="10"/>
        <v>May-2025</v>
      </c>
      <c r="C352" s="2" t="str">
        <f t="shared" si="11"/>
        <v>Q1</v>
      </c>
      <c r="D352" s="2" t="s">
        <v>28</v>
      </c>
      <c r="E352" s="11" t="s">
        <v>128</v>
      </c>
      <c r="F352" s="11" t="s">
        <v>73</v>
      </c>
      <c r="G352" s="11" t="s">
        <v>503</v>
      </c>
      <c r="H352" s="11" t="s">
        <v>51</v>
      </c>
      <c r="I352" s="12">
        <v>1</v>
      </c>
      <c r="J352" s="12">
        <v>180</v>
      </c>
      <c r="K352" s="12">
        <v>64.23</v>
      </c>
      <c r="L352" s="12">
        <v>11561.4</v>
      </c>
      <c r="M352" s="12">
        <v>-1050.9299999999998</v>
      </c>
      <c r="N352" s="12">
        <v>0</v>
      </c>
      <c r="O352" s="12">
        <v>1366.361492</v>
      </c>
      <c r="P352" s="12">
        <v>11876.831491999999</v>
      </c>
    </row>
    <row r="353" spans="1:16" ht="14.5" x14ac:dyDescent="0.25">
      <c r="A353" s="10">
        <v>45792</v>
      </c>
      <c r="B353" s="2" t="str">
        <f t="shared" si="10"/>
        <v>May-2025</v>
      </c>
      <c r="C353" s="2" t="str">
        <f t="shared" si="11"/>
        <v>Q1</v>
      </c>
      <c r="D353" s="2" t="s">
        <v>28</v>
      </c>
      <c r="E353" s="11" t="s">
        <v>128</v>
      </c>
      <c r="F353" s="11" t="s">
        <v>73</v>
      </c>
      <c r="G353" s="11" t="s">
        <v>505</v>
      </c>
      <c r="H353" s="11" t="s">
        <v>40</v>
      </c>
      <c r="I353" s="12">
        <v>3</v>
      </c>
      <c r="J353" s="12">
        <v>540</v>
      </c>
      <c r="K353" s="12">
        <v>94.65</v>
      </c>
      <c r="L353" s="12">
        <v>51110.999999999993</v>
      </c>
      <c r="M353" s="12">
        <v>-4645.99</v>
      </c>
      <c r="N353" s="12">
        <v>0</v>
      </c>
      <c r="O353" s="12">
        <v>6040.4530329999998</v>
      </c>
      <c r="P353" s="12">
        <v>52505.463033</v>
      </c>
    </row>
    <row r="354" spans="1:16" ht="14.5" x14ac:dyDescent="0.25">
      <c r="A354" s="10">
        <v>45792</v>
      </c>
      <c r="B354" s="2" t="str">
        <f t="shared" si="10"/>
        <v>May-2025</v>
      </c>
      <c r="C354" s="2" t="str">
        <f t="shared" si="11"/>
        <v>Q1</v>
      </c>
      <c r="D354" s="2" t="s">
        <v>28</v>
      </c>
      <c r="E354" s="11" t="s">
        <v>128</v>
      </c>
      <c r="F354" s="11" t="s">
        <v>73</v>
      </c>
      <c r="G354" s="11" t="s">
        <v>505</v>
      </c>
      <c r="H354" s="11" t="s">
        <v>56</v>
      </c>
      <c r="I354" s="12">
        <v>0.92</v>
      </c>
      <c r="J354" s="12">
        <v>110</v>
      </c>
      <c r="K354" s="12">
        <v>57.46</v>
      </c>
      <c r="L354" s="12">
        <v>6320.6</v>
      </c>
      <c r="M354" s="12">
        <v>-574.54</v>
      </c>
      <c r="N354" s="12">
        <v>0</v>
      </c>
      <c r="O354" s="12">
        <v>746.98801399999991</v>
      </c>
      <c r="P354" s="12">
        <v>6493.048014</v>
      </c>
    </row>
    <row r="355" spans="1:16" ht="14.5" x14ac:dyDescent="0.25">
      <c r="A355" s="10">
        <v>45792</v>
      </c>
      <c r="B355" s="2" t="str">
        <f t="shared" si="10"/>
        <v>May-2025</v>
      </c>
      <c r="C355" s="2" t="str">
        <f t="shared" si="11"/>
        <v>Q1</v>
      </c>
      <c r="D355" s="2" t="s">
        <v>28</v>
      </c>
      <c r="E355" s="11" t="s">
        <v>128</v>
      </c>
      <c r="F355" s="11" t="s">
        <v>73</v>
      </c>
      <c r="G355" s="11" t="s">
        <v>503</v>
      </c>
      <c r="H355" s="11" t="s">
        <v>59</v>
      </c>
      <c r="I355" s="12">
        <v>3</v>
      </c>
      <c r="J355" s="12">
        <v>540</v>
      </c>
      <c r="K355" s="12">
        <v>64.23</v>
      </c>
      <c r="L355" s="12">
        <v>34684.199999999997</v>
      </c>
      <c r="M355" s="12">
        <v>-3152.79</v>
      </c>
      <c r="N355" s="12">
        <v>0</v>
      </c>
      <c r="O355" s="12">
        <v>4099.084476</v>
      </c>
      <c r="P355" s="12">
        <v>35630.494476</v>
      </c>
    </row>
    <row r="356" spans="1:16" ht="14.5" x14ac:dyDescent="0.25">
      <c r="A356" s="10">
        <v>45792</v>
      </c>
      <c r="B356" s="2" t="str">
        <f t="shared" si="10"/>
        <v>May-2025</v>
      </c>
      <c r="C356" s="2" t="str">
        <f t="shared" si="11"/>
        <v>Q1</v>
      </c>
      <c r="D356" s="2" t="s">
        <v>28</v>
      </c>
      <c r="E356" s="11" t="s">
        <v>129</v>
      </c>
      <c r="F356" s="11" t="s">
        <v>71</v>
      </c>
      <c r="G356" s="11" t="s">
        <v>504</v>
      </c>
      <c r="H356" s="11" t="s">
        <v>53</v>
      </c>
      <c r="I356" s="12">
        <v>-1</v>
      </c>
      <c r="J356" s="12">
        <v>-100</v>
      </c>
      <c r="K356" s="12">
        <v>124.88</v>
      </c>
      <c r="L356" s="12">
        <v>-12488</v>
      </c>
      <c r="M356" s="12">
        <v>479.54</v>
      </c>
      <c r="N356" s="12">
        <v>0</v>
      </c>
      <c r="O356" s="12">
        <v>0</v>
      </c>
      <c r="P356" s="12">
        <v>-12008.46</v>
      </c>
    </row>
    <row r="357" spans="1:16" ht="14.5" x14ac:dyDescent="0.25">
      <c r="A357" s="10">
        <v>45792</v>
      </c>
      <c r="B357" s="2" t="str">
        <f t="shared" si="10"/>
        <v>May-2025</v>
      </c>
      <c r="C357" s="2" t="str">
        <f t="shared" si="11"/>
        <v>Q1</v>
      </c>
      <c r="D357" s="2" t="s">
        <v>28</v>
      </c>
      <c r="E357" s="11" t="s">
        <v>129</v>
      </c>
      <c r="F357" s="11" t="s">
        <v>71</v>
      </c>
      <c r="G357" s="11" t="s">
        <v>504</v>
      </c>
      <c r="H357" s="11" t="s">
        <v>61</v>
      </c>
      <c r="I357" s="12">
        <v>-1</v>
      </c>
      <c r="J357" s="12">
        <v>-40</v>
      </c>
      <c r="K357" s="12">
        <v>297.52</v>
      </c>
      <c r="L357" s="12">
        <v>-11900.8</v>
      </c>
      <c r="M357" s="12">
        <v>456.99</v>
      </c>
      <c r="N357" s="12">
        <v>0</v>
      </c>
      <c r="O357" s="12">
        <v>0</v>
      </c>
      <c r="P357" s="12">
        <v>-11443.81</v>
      </c>
    </row>
    <row r="358" spans="1:16" ht="14.5" x14ac:dyDescent="0.25">
      <c r="A358" s="10">
        <v>45792</v>
      </c>
      <c r="B358" s="2" t="str">
        <f t="shared" ref="B358:B421" si="12">+TEXT(A358,"MMM-yyy")</f>
        <v>May-2025</v>
      </c>
      <c r="C358" s="2" t="str">
        <f t="shared" ref="C358:C421" si="13">"Q" &amp; CHOOSE(MONTH(A358),4,4,4,1,1,1,2,2,2,3,3,3)</f>
        <v>Q1</v>
      </c>
      <c r="D358" s="2" t="s">
        <v>28</v>
      </c>
      <c r="E358" s="11" t="s">
        <v>130</v>
      </c>
      <c r="F358" s="11" t="s">
        <v>71</v>
      </c>
      <c r="G358" s="11" t="s">
        <v>507</v>
      </c>
      <c r="H358" s="11" t="s">
        <v>90</v>
      </c>
      <c r="I358" s="12">
        <v>-1</v>
      </c>
      <c r="J358" s="12">
        <v>-120</v>
      </c>
      <c r="K358" s="12">
        <v>57.46</v>
      </c>
      <c r="L358" s="12">
        <v>-6895.2</v>
      </c>
      <c r="M358" s="12">
        <v>264.77999999999997</v>
      </c>
      <c r="N358" s="12">
        <v>0</v>
      </c>
      <c r="O358" s="12">
        <v>-861.95490699999993</v>
      </c>
      <c r="P358" s="12">
        <v>-7492.3749070000003</v>
      </c>
    </row>
    <row r="359" spans="1:16" ht="14.5" x14ac:dyDescent="0.25">
      <c r="A359" s="10">
        <v>45792</v>
      </c>
      <c r="B359" s="2" t="str">
        <f t="shared" si="12"/>
        <v>May-2025</v>
      </c>
      <c r="C359" s="2" t="str">
        <f t="shared" si="13"/>
        <v>Q1</v>
      </c>
      <c r="D359" s="2" t="s">
        <v>28</v>
      </c>
      <c r="E359" s="11" t="s">
        <v>130</v>
      </c>
      <c r="F359" s="11" t="s">
        <v>71</v>
      </c>
      <c r="G359" s="11" t="s">
        <v>504</v>
      </c>
      <c r="H359" s="11" t="s">
        <v>67</v>
      </c>
      <c r="I359" s="12">
        <v>-1</v>
      </c>
      <c r="J359" s="12">
        <v>-40</v>
      </c>
      <c r="K359" s="12">
        <v>459.72</v>
      </c>
      <c r="L359" s="12">
        <v>-18388.8</v>
      </c>
      <c r="M359" s="12">
        <v>706.12999999999988</v>
      </c>
      <c r="N359" s="12">
        <v>0</v>
      </c>
      <c r="O359" s="12">
        <v>-2298.7479189999999</v>
      </c>
      <c r="P359" s="12">
        <v>-19981.417919</v>
      </c>
    </row>
    <row r="360" spans="1:16" ht="14.5" x14ac:dyDescent="0.25">
      <c r="A360" s="10">
        <v>45792</v>
      </c>
      <c r="B360" s="2" t="str">
        <f t="shared" si="12"/>
        <v>May-2025</v>
      </c>
      <c r="C360" s="2" t="str">
        <f t="shared" si="13"/>
        <v>Q1</v>
      </c>
      <c r="D360" s="2" t="s">
        <v>28</v>
      </c>
      <c r="E360" s="11" t="s">
        <v>130</v>
      </c>
      <c r="F360" s="11" t="s">
        <v>71</v>
      </c>
      <c r="G360" s="11" t="s">
        <v>504</v>
      </c>
      <c r="H360" s="11" t="s">
        <v>69</v>
      </c>
      <c r="I360" s="12">
        <v>-1</v>
      </c>
      <c r="J360" s="12">
        <v>-100</v>
      </c>
      <c r="K360" s="12">
        <v>189.3</v>
      </c>
      <c r="L360" s="12">
        <v>-18930</v>
      </c>
      <c r="M360" s="12">
        <v>726.91000000000008</v>
      </c>
      <c r="N360" s="12">
        <v>0</v>
      </c>
      <c r="O360" s="12">
        <v>-2366.4025429999997</v>
      </c>
      <c r="P360" s="12">
        <v>-20569.492543</v>
      </c>
    </row>
    <row r="361" spans="1:16" ht="14.5" x14ac:dyDescent="0.25">
      <c r="A361" s="10">
        <v>45792</v>
      </c>
      <c r="B361" s="2" t="str">
        <f t="shared" si="12"/>
        <v>May-2025</v>
      </c>
      <c r="C361" s="2" t="str">
        <f t="shared" si="13"/>
        <v>Q1</v>
      </c>
      <c r="D361" s="2" t="s">
        <v>28</v>
      </c>
      <c r="E361" s="11" t="s">
        <v>130</v>
      </c>
      <c r="F361" s="11" t="s">
        <v>71</v>
      </c>
      <c r="G361" s="11" t="s">
        <v>503</v>
      </c>
      <c r="H361" s="11" t="s">
        <v>41</v>
      </c>
      <c r="I361" s="12">
        <v>-0.89</v>
      </c>
      <c r="J361" s="12">
        <v>-160</v>
      </c>
      <c r="K361" s="12">
        <v>60.84</v>
      </c>
      <c r="L361" s="12">
        <v>-9734.4</v>
      </c>
      <c r="M361" s="12">
        <v>373.8</v>
      </c>
      <c r="N361" s="12">
        <v>0</v>
      </c>
      <c r="O361" s="12">
        <v>-1216.8784330000001</v>
      </c>
      <c r="P361" s="12">
        <v>-10577.478433</v>
      </c>
    </row>
    <row r="362" spans="1:16" ht="14.5" x14ac:dyDescent="0.25">
      <c r="A362" s="10">
        <v>45792</v>
      </c>
      <c r="B362" s="2" t="str">
        <f t="shared" si="12"/>
        <v>May-2025</v>
      </c>
      <c r="C362" s="2" t="str">
        <f t="shared" si="13"/>
        <v>Q1</v>
      </c>
      <c r="D362" s="2" t="s">
        <v>28</v>
      </c>
      <c r="E362" s="11" t="s">
        <v>130</v>
      </c>
      <c r="F362" s="11" t="s">
        <v>71</v>
      </c>
      <c r="G362" s="11" t="s">
        <v>503</v>
      </c>
      <c r="H362" s="11" t="s">
        <v>63</v>
      </c>
      <c r="I362" s="12">
        <v>-1</v>
      </c>
      <c r="J362" s="12">
        <v>-80</v>
      </c>
      <c r="K362" s="12">
        <v>189.3</v>
      </c>
      <c r="L362" s="12">
        <v>-15144</v>
      </c>
      <c r="M362" s="12">
        <v>581.53</v>
      </c>
      <c r="N362" s="12">
        <v>0</v>
      </c>
      <c r="O362" s="12">
        <v>-1893.121774</v>
      </c>
      <c r="P362" s="12">
        <v>-16455.591774</v>
      </c>
    </row>
    <row r="363" spans="1:16" ht="14.5" x14ac:dyDescent="0.25">
      <c r="A363" s="10">
        <v>45792</v>
      </c>
      <c r="B363" s="2" t="str">
        <f t="shared" si="12"/>
        <v>May-2025</v>
      </c>
      <c r="C363" s="2" t="str">
        <f t="shared" si="13"/>
        <v>Q1</v>
      </c>
      <c r="D363" s="2" t="s">
        <v>28</v>
      </c>
      <c r="E363" s="11" t="s">
        <v>130</v>
      </c>
      <c r="F363" s="11" t="s">
        <v>71</v>
      </c>
      <c r="G363" s="11" t="s">
        <v>506</v>
      </c>
      <c r="H363" s="11" t="s">
        <v>58</v>
      </c>
      <c r="I363" s="12">
        <v>-1</v>
      </c>
      <c r="J363" s="12">
        <v>-72</v>
      </c>
      <c r="K363" s="12">
        <v>148.72999999999999</v>
      </c>
      <c r="L363" s="12">
        <v>-10708.56</v>
      </c>
      <c r="M363" s="12">
        <v>411.21</v>
      </c>
      <c r="N363" s="12">
        <v>0</v>
      </c>
      <c r="O363" s="12">
        <v>-1338.6559770000001</v>
      </c>
      <c r="P363" s="12">
        <v>-11636.005977000001</v>
      </c>
    </row>
    <row r="364" spans="1:16" ht="14.5" x14ac:dyDescent="0.25">
      <c r="A364" s="10">
        <v>45792</v>
      </c>
      <c r="B364" s="2" t="str">
        <f t="shared" si="12"/>
        <v>May-2025</v>
      </c>
      <c r="C364" s="2" t="str">
        <f t="shared" si="13"/>
        <v>Q1</v>
      </c>
      <c r="D364" s="2" t="s">
        <v>28</v>
      </c>
      <c r="E364" s="11" t="s">
        <v>130</v>
      </c>
      <c r="F364" s="11" t="s">
        <v>71</v>
      </c>
      <c r="G364" s="11" t="s">
        <v>505</v>
      </c>
      <c r="H364" s="11" t="s">
        <v>62</v>
      </c>
      <c r="I364" s="12">
        <v>-0.7</v>
      </c>
      <c r="J364" s="12">
        <v>-28</v>
      </c>
      <c r="K364" s="12">
        <v>439.44</v>
      </c>
      <c r="L364" s="12">
        <v>-12304.32</v>
      </c>
      <c r="M364" s="12">
        <v>472.49</v>
      </c>
      <c r="N364" s="12">
        <v>0</v>
      </c>
      <c r="O364" s="12">
        <v>-1538.1384479999999</v>
      </c>
      <c r="P364" s="12">
        <v>-13369.968448</v>
      </c>
    </row>
    <row r="365" spans="1:16" ht="14.5" x14ac:dyDescent="0.25">
      <c r="A365" s="10">
        <v>45792</v>
      </c>
      <c r="B365" s="2" t="str">
        <f t="shared" si="12"/>
        <v>May-2025</v>
      </c>
      <c r="C365" s="2" t="str">
        <f t="shared" si="13"/>
        <v>Q1</v>
      </c>
      <c r="D365" s="2" t="s">
        <v>28</v>
      </c>
      <c r="E365" s="11" t="s">
        <v>131</v>
      </c>
      <c r="F365" s="11" t="s">
        <v>71</v>
      </c>
      <c r="G365" s="11" t="s">
        <v>505</v>
      </c>
      <c r="H365" s="11" t="s">
        <v>50</v>
      </c>
      <c r="I365" s="12">
        <v>-0.5</v>
      </c>
      <c r="J365" s="12">
        <v>-40</v>
      </c>
      <c r="K365" s="12">
        <v>169.01</v>
      </c>
      <c r="L365" s="12">
        <v>-6760.4</v>
      </c>
      <c r="M365" s="12">
        <v>259.60000000000002</v>
      </c>
      <c r="N365" s="12">
        <v>0</v>
      </c>
      <c r="O365" s="12">
        <v>-845.10402699999997</v>
      </c>
      <c r="P365" s="12">
        <v>-7345.9040269999996</v>
      </c>
    </row>
    <row r="366" spans="1:16" ht="14.5" x14ac:dyDescent="0.25">
      <c r="A366" s="10">
        <v>45792</v>
      </c>
      <c r="B366" s="2" t="str">
        <f t="shared" si="12"/>
        <v>May-2025</v>
      </c>
      <c r="C366" s="2" t="str">
        <f t="shared" si="13"/>
        <v>Q1</v>
      </c>
      <c r="D366" s="2" t="s">
        <v>28</v>
      </c>
      <c r="E366" s="11" t="s">
        <v>131</v>
      </c>
      <c r="F366" s="11" t="s">
        <v>71</v>
      </c>
      <c r="G366" s="11" t="s">
        <v>503</v>
      </c>
      <c r="H366" s="11" t="s">
        <v>42</v>
      </c>
      <c r="I366" s="12">
        <v>-1</v>
      </c>
      <c r="J366" s="12">
        <v>-120</v>
      </c>
      <c r="K366" s="12">
        <v>141.97</v>
      </c>
      <c r="L366" s="12">
        <v>-17036.400000000001</v>
      </c>
      <c r="M366" s="12">
        <v>654.20000000000005</v>
      </c>
      <c r="N366" s="12">
        <v>0</v>
      </c>
      <c r="O366" s="12">
        <v>-2129.6860689999999</v>
      </c>
      <c r="P366" s="12">
        <v>-18511.886069</v>
      </c>
    </row>
    <row r="367" spans="1:16" ht="14.5" x14ac:dyDescent="0.25">
      <c r="A367" s="10">
        <v>45792</v>
      </c>
      <c r="B367" s="2" t="str">
        <f t="shared" si="12"/>
        <v>May-2025</v>
      </c>
      <c r="C367" s="2" t="str">
        <f t="shared" si="13"/>
        <v>Q1</v>
      </c>
      <c r="D367" s="2" t="s">
        <v>28</v>
      </c>
      <c r="E367" s="11" t="s">
        <v>131</v>
      </c>
      <c r="F367" s="11" t="s">
        <v>71</v>
      </c>
      <c r="G367" s="11" t="s">
        <v>504</v>
      </c>
      <c r="H367" s="11" t="s">
        <v>68</v>
      </c>
      <c r="I367" s="12">
        <v>-1</v>
      </c>
      <c r="J367" s="12">
        <v>-40</v>
      </c>
      <c r="K367" s="12">
        <v>260.27999999999997</v>
      </c>
      <c r="L367" s="12">
        <v>-10411.200000000001</v>
      </c>
      <c r="M367" s="12">
        <v>399.79</v>
      </c>
      <c r="N367" s="12">
        <v>0</v>
      </c>
      <c r="O367" s="12">
        <v>-1301.483342</v>
      </c>
      <c r="P367" s="12">
        <v>-11312.893341999999</v>
      </c>
    </row>
    <row r="368" spans="1:16" ht="14.5" x14ac:dyDescent="0.25">
      <c r="A368" s="10">
        <v>45792</v>
      </c>
      <c r="B368" s="2" t="str">
        <f t="shared" si="12"/>
        <v>May-2025</v>
      </c>
      <c r="C368" s="2" t="str">
        <f t="shared" si="13"/>
        <v>Q1</v>
      </c>
      <c r="D368" s="2" t="s">
        <v>28</v>
      </c>
      <c r="E368" s="11" t="s">
        <v>131</v>
      </c>
      <c r="F368" s="11" t="s">
        <v>71</v>
      </c>
      <c r="G368" s="11" t="s">
        <v>507</v>
      </c>
      <c r="H368" s="11" t="s">
        <v>60</v>
      </c>
      <c r="I368" s="12">
        <v>-2.42</v>
      </c>
      <c r="J368" s="12">
        <v>-145</v>
      </c>
      <c r="K368" s="12">
        <v>98.03</v>
      </c>
      <c r="L368" s="12">
        <v>-14214.35</v>
      </c>
      <c r="M368" s="12">
        <v>545.83000000000004</v>
      </c>
      <c r="N368" s="12">
        <v>0</v>
      </c>
      <c r="O368" s="12">
        <v>-1776.907657</v>
      </c>
      <c r="P368" s="12">
        <v>-15445.427657</v>
      </c>
    </row>
    <row r="369" spans="1:16" ht="14.5" x14ac:dyDescent="0.25">
      <c r="A369" s="10">
        <v>45792</v>
      </c>
      <c r="B369" s="2" t="str">
        <f t="shared" si="12"/>
        <v>May-2025</v>
      </c>
      <c r="C369" s="2" t="str">
        <f t="shared" si="13"/>
        <v>Q1</v>
      </c>
      <c r="D369" s="2" t="s">
        <v>28</v>
      </c>
      <c r="E369" s="11" t="s">
        <v>131</v>
      </c>
      <c r="F369" s="11" t="s">
        <v>71</v>
      </c>
      <c r="G369" s="11" t="s">
        <v>504</v>
      </c>
      <c r="H369" s="11" t="s">
        <v>66</v>
      </c>
      <c r="I369" s="12">
        <v>-1</v>
      </c>
      <c r="J369" s="12">
        <v>-100</v>
      </c>
      <c r="K369" s="12">
        <v>108.17</v>
      </c>
      <c r="L369" s="12">
        <v>-10817</v>
      </c>
      <c r="M369" s="12">
        <v>415.37</v>
      </c>
      <c r="N369" s="12">
        <v>0</v>
      </c>
      <c r="O369" s="12">
        <v>-1352.2119440000001</v>
      </c>
      <c r="P369" s="12">
        <v>-11753.841944</v>
      </c>
    </row>
    <row r="370" spans="1:16" ht="14.5" x14ac:dyDescent="0.25">
      <c r="A370" s="10">
        <v>45792</v>
      </c>
      <c r="B370" s="2" t="str">
        <f t="shared" si="12"/>
        <v>May-2025</v>
      </c>
      <c r="C370" s="2" t="str">
        <f t="shared" si="13"/>
        <v>Q1</v>
      </c>
      <c r="D370" s="2" t="s">
        <v>28</v>
      </c>
      <c r="E370" s="11" t="s">
        <v>131</v>
      </c>
      <c r="F370" s="11" t="s">
        <v>71</v>
      </c>
      <c r="G370" s="11" t="s">
        <v>503</v>
      </c>
      <c r="H370" s="11" t="s">
        <v>51</v>
      </c>
      <c r="I370" s="12">
        <v>-0.97</v>
      </c>
      <c r="J370" s="12">
        <v>-174</v>
      </c>
      <c r="K370" s="12">
        <v>64.23</v>
      </c>
      <c r="L370" s="12">
        <v>-11176.02</v>
      </c>
      <c r="M370" s="12">
        <v>429.16</v>
      </c>
      <c r="N370" s="12">
        <v>0</v>
      </c>
      <c r="O370" s="12">
        <v>-1397.0918449999999</v>
      </c>
      <c r="P370" s="12">
        <v>-12143.951845</v>
      </c>
    </row>
    <row r="371" spans="1:16" ht="14.5" x14ac:dyDescent="0.25">
      <c r="A371" s="10">
        <v>45792</v>
      </c>
      <c r="B371" s="2" t="str">
        <f t="shared" si="12"/>
        <v>May-2025</v>
      </c>
      <c r="C371" s="2" t="str">
        <f t="shared" si="13"/>
        <v>Q1</v>
      </c>
      <c r="D371" s="2" t="s">
        <v>28</v>
      </c>
      <c r="E371" s="11" t="s">
        <v>131</v>
      </c>
      <c r="F371" s="11" t="s">
        <v>71</v>
      </c>
      <c r="G371" s="11" t="s">
        <v>503</v>
      </c>
      <c r="H371" s="11" t="s">
        <v>59</v>
      </c>
      <c r="I371" s="12">
        <v>-0.83</v>
      </c>
      <c r="J371" s="12">
        <v>-150</v>
      </c>
      <c r="K371" s="12">
        <v>64.23</v>
      </c>
      <c r="L371" s="12">
        <v>-9634.5</v>
      </c>
      <c r="M371" s="12">
        <v>369.96</v>
      </c>
      <c r="N371" s="12">
        <v>0</v>
      </c>
      <c r="O371" s="12">
        <v>-1204.3902389999998</v>
      </c>
      <c r="P371" s="12">
        <v>-10468.930238999999</v>
      </c>
    </row>
    <row r="372" spans="1:16" ht="14.5" x14ac:dyDescent="0.25">
      <c r="A372" s="10">
        <v>45792</v>
      </c>
      <c r="B372" s="2" t="str">
        <f t="shared" si="12"/>
        <v>May-2025</v>
      </c>
      <c r="C372" s="2" t="str">
        <f t="shared" si="13"/>
        <v>Q1</v>
      </c>
      <c r="D372" s="2" t="s">
        <v>28</v>
      </c>
      <c r="E372" s="11" t="s">
        <v>131</v>
      </c>
      <c r="F372" s="11" t="s">
        <v>71</v>
      </c>
      <c r="G372" s="11" t="s">
        <v>506</v>
      </c>
      <c r="H372" s="11" t="s">
        <v>54</v>
      </c>
      <c r="I372" s="12">
        <v>-2</v>
      </c>
      <c r="J372" s="12">
        <v>-96</v>
      </c>
      <c r="K372" s="12">
        <v>310.99</v>
      </c>
      <c r="L372" s="12">
        <v>-29855.039999999997</v>
      </c>
      <c r="M372" s="12">
        <v>1146.43</v>
      </c>
      <c r="N372" s="12">
        <v>0</v>
      </c>
      <c r="O372" s="12">
        <v>-3732.1194209999999</v>
      </c>
      <c r="P372" s="12">
        <v>-32440.729421</v>
      </c>
    </row>
    <row r="373" spans="1:16" ht="14.5" x14ac:dyDescent="0.25">
      <c r="A373" s="10">
        <v>45792</v>
      </c>
      <c r="B373" s="2" t="str">
        <f t="shared" si="12"/>
        <v>May-2025</v>
      </c>
      <c r="C373" s="2" t="str">
        <f t="shared" si="13"/>
        <v>Q1</v>
      </c>
      <c r="D373" s="2" t="s">
        <v>28</v>
      </c>
      <c r="E373" s="11" t="s">
        <v>131</v>
      </c>
      <c r="F373" s="11" t="s">
        <v>71</v>
      </c>
      <c r="G373" s="11" t="s">
        <v>503</v>
      </c>
      <c r="H373" s="11" t="s">
        <v>52</v>
      </c>
      <c r="I373" s="12">
        <v>-0.83</v>
      </c>
      <c r="J373" s="12">
        <v>-149</v>
      </c>
      <c r="K373" s="12">
        <v>70.989999999999995</v>
      </c>
      <c r="L373" s="12">
        <v>-10577.51</v>
      </c>
      <c r="M373" s="12">
        <v>406.18</v>
      </c>
      <c r="N373" s="12">
        <v>0</v>
      </c>
      <c r="O373" s="12">
        <v>-1322.2729429999999</v>
      </c>
      <c r="P373" s="12">
        <v>-11493.602943</v>
      </c>
    </row>
    <row r="374" spans="1:16" ht="14.5" x14ac:dyDescent="0.25">
      <c r="A374" s="10">
        <v>45792</v>
      </c>
      <c r="B374" s="2" t="str">
        <f t="shared" si="12"/>
        <v>May-2025</v>
      </c>
      <c r="C374" s="2" t="str">
        <f t="shared" si="13"/>
        <v>Q1</v>
      </c>
      <c r="D374" s="2" t="s">
        <v>28</v>
      </c>
      <c r="E374" s="11" t="s">
        <v>131</v>
      </c>
      <c r="F374" s="11" t="s">
        <v>71</v>
      </c>
      <c r="G374" s="11" t="s">
        <v>503</v>
      </c>
      <c r="H374" s="11" t="s">
        <v>44</v>
      </c>
      <c r="I374" s="12">
        <v>-1</v>
      </c>
      <c r="J374" s="12">
        <v>-180</v>
      </c>
      <c r="K374" s="12">
        <v>155.49</v>
      </c>
      <c r="L374" s="12">
        <v>-27988.2</v>
      </c>
      <c r="M374" s="12">
        <v>1074.75</v>
      </c>
      <c r="N374" s="12">
        <v>0</v>
      </c>
      <c r="O374" s="12">
        <v>-3498.7486130000002</v>
      </c>
      <c r="P374" s="12">
        <v>-30412.198613</v>
      </c>
    </row>
    <row r="375" spans="1:16" ht="14.5" x14ac:dyDescent="0.25">
      <c r="A375" s="10">
        <v>45792</v>
      </c>
      <c r="B375" s="2" t="str">
        <f t="shared" si="12"/>
        <v>May-2025</v>
      </c>
      <c r="C375" s="2" t="str">
        <f t="shared" si="13"/>
        <v>Q1</v>
      </c>
      <c r="D375" s="2" t="s">
        <v>28</v>
      </c>
      <c r="E375" s="11" t="s">
        <v>131</v>
      </c>
      <c r="F375" s="11" t="s">
        <v>71</v>
      </c>
      <c r="G375" s="11" t="s">
        <v>505</v>
      </c>
      <c r="H375" s="11" t="s">
        <v>55</v>
      </c>
      <c r="I375" s="12">
        <v>-1.91</v>
      </c>
      <c r="J375" s="12">
        <v>-229</v>
      </c>
      <c r="K375" s="12">
        <v>152.11000000000001</v>
      </c>
      <c r="L375" s="12">
        <v>-34833.19</v>
      </c>
      <c r="M375" s="12">
        <v>1337.5900000000001</v>
      </c>
      <c r="N375" s="12">
        <v>0</v>
      </c>
      <c r="O375" s="12">
        <v>-4354.4281410000003</v>
      </c>
      <c r="P375" s="12">
        <v>-37850.028141000003</v>
      </c>
    </row>
    <row r="376" spans="1:16" ht="14.5" x14ac:dyDescent="0.25">
      <c r="A376" s="10">
        <v>45792</v>
      </c>
      <c r="B376" s="2" t="str">
        <f t="shared" si="12"/>
        <v>May-2025</v>
      </c>
      <c r="C376" s="2" t="str">
        <f t="shared" si="13"/>
        <v>Q1</v>
      </c>
      <c r="D376" s="2" t="s">
        <v>28</v>
      </c>
      <c r="E376" s="11" t="s">
        <v>131</v>
      </c>
      <c r="F376" s="11" t="s">
        <v>71</v>
      </c>
      <c r="G376" s="11" t="s">
        <v>505</v>
      </c>
      <c r="H376" s="11" t="s">
        <v>56</v>
      </c>
      <c r="I376" s="12">
        <v>-0.75</v>
      </c>
      <c r="J376" s="12">
        <v>-90</v>
      </c>
      <c r="K376" s="12">
        <v>57.46</v>
      </c>
      <c r="L376" s="12">
        <v>-5171.3999999999996</v>
      </c>
      <c r="M376" s="12">
        <v>198.58</v>
      </c>
      <c r="N376" s="12">
        <v>0</v>
      </c>
      <c r="O376" s="12">
        <v>-646.46662099999992</v>
      </c>
      <c r="P376" s="12">
        <v>-5619.2866210000002</v>
      </c>
    </row>
    <row r="377" spans="1:16" ht="14.5" x14ac:dyDescent="0.25">
      <c r="A377" s="10">
        <v>45792</v>
      </c>
      <c r="B377" s="2" t="str">
        <f t="shared" si="12"/>
        <v>May-2025</v>
      </c>
      <c r="C377" s="2" t="str">
        <f t="shared" si="13"/>
        <v>Q1</v>
      </c>
      <c r="D377" s="2" t="s">
        <v>28</v>
      </c>
      <c r="E377" s="11" t="s">
        <v>131</v>
      </c>
      <c r="F377" s="11" t="s">
        <v>71</v>
      </c>
      <c r="G377" s="11" t="s">
        <v>503</v>
      </c>
      <c r="H377" s="11" t="s">
        <v>45</v>
      </c>
      <c r="I377" s="12">
        <v>-1.66</v>
      </c>
      <c r="J377" s="12">
        <v>-299</v>
      </c>
      <c r="K377" s="12">
        <v>64.23</v>
      </c>
      <c r="L377" s="12">
        <v>-19204.769999999997</v>
      </c>
      <c r="M377" s="12">
        <v>737.46</v>
      </c>
      <c r="N377" s="12">
        <v>0</v>
      </c>
      <c r="O377" s="12">
        <v>-2400.7503780000002</v>
      </c>
      <c r="P377" s="12">
        <v>-20868.060377999998</v>
      </c>
    </row>
    <row r="378" spans="1:16" ht="14.5" x14ac:dyDescent="0.25">
      <c r="A378" s="10">
        <v>45792</v>
      </c>
      <c r="B378" s="2" t="str">
        <f t="shared" si="12"/>
        <v>May-2025</v>
      </c>
      <c r="C378" s="2" t="str">
        <f t="shared" si="13"/>
        <v>Q1</v>
      </c>
      <c r="D378" s="2" t="s">
        <v>28</v>
      </c>
      <c r="E378" s="11" t="s">
        <v>131</v>
      </c>
      <c r="F378" s="11" t="s">
        <v>71</v>
      </c>
      <c r="G378" s="11" t="s">
        <v>506</v>
      </c>
      <c r="H378" s="11" t="s">
        <v>39</v>
      </c>
      <c r="I378" s="12">
        <v>-1</v>
      </c>
      <c r="J378" s="12">
        <v>-72</v>
      </c>
      <c r="K378" s="12">
        <v>131.83000000000001</v>
      </c>
      <c r="L378" s="12">
        <v>-9491.76</v>
      </c>
      <c r="M378" s="12">
        <v>364.48</v>
      </c>
      <c r="N378" s="12">
        <v>0</v>
      </c>
      <c r="O378" s="12">
        <v>-1186.5464380000001</v>
      </c>
      <c r="P378" s="12">
        <v>-10313.826438</v>
      </c>
    </row>
    <row r="379" spans="1:16" ht="14.5" x14ac:dyDescent="0.25">
      <c r="A379" s="10">
        <v>45792</v>
      </c>
      <c r="B379" s="2" t="str">
        <f t="shared" si="12"/>
        <v>May-2025</v>
      </c>
      <c r="C379" s="2" t="str">
        <f t="shared" si="13"/>
        <v>Q1</v>
      </c>
      <c r="D379" s="2" t="s">
        <v>28</v>
      </c>
      <c r="E379" s="11" t="s">
        <v>131</v>
      </c>
      <c r="F379" s="11" t="s">
        <v>71</v>
      </c>
      <c r="G379" s="11" t="s">
        <v>505</v>
      </c>
      <c r="H379" s="11" t="s">
        <v>40</v>
      </c>
      <c r="I379" s="12">
        <v>-1.78</v>
      </c>
      <c r="J379" s="12">
        <v>-320</v>
      </c>
      <c r="K379" s="12">
        <v>94.65</v>
      </c>
      <c r="L379" s="12">
        <v>-30288</v>
      </c>
      <c r="M379" s="12">
        <v>1163.06</v>
      </c>
      <c r="N379" s="12">
        <v>0</v>
      </c>
      <c r="O379" s="12">
        <v>-3786.2423219999996</v>
      </c>
      <c r="P379" s="12">
        <v>-32911.182322000001</v>
      </c>
    </row>
    <row r="380" spans="1:16" ht="14.5" x14ac:dyDescent="0.25">
      <c r="A380" s="10">
        <v>45796</v>
      </c>
      <c r="B380" s="2" t="str">
        <f t="shared" si="12"/>
        <v>May-2025</v>
      </c>
      <c r="C380" s="2" t="str">
        <f t="shared" si="13"/>
        <v>Q1</v>
      </c>
      <c r="D380" s="2" t="s">
        <v>28</v>
      </c>
      <c r="E380" s="11" t="s">
        <v>132</v>
      </c>
      <c r="F380" s="11" t="s">
        <v>95</v>
      </c>
      <c r="G380" s="11" t="s">
        <v>503</v>
      </c>
      <c r="H380" s="11" t="s">
        <v>44</v>
      </c>
      <c r="I380" s="12">
        <v>1</v>
      </c>
      <c r="J380" s="12">
        <v>180</v>
      </c>
      <c r="K380" s="12">
        <v>155.49</v>
      </c>
      <c r="L380" s="12">
        <v>27988.2</v>
      </c>
      <c r="M380" s="12">
        <v>-2544.13</v>
      </c>
      <c r="N380" s="12">
        <v>0</v>
      </c>
      <c r="O380" s="12">
        <v>3307.7286639999998</v>
      </c>
      <c r="P380" s="12">
        <v>28751.798664000002</v>
      </c>
    </row>
    <row r="381" spans="1:16" ht="14.5" x14ac:dyDescent="0.25">
      <c r="A381" s="10">
        <v>45796</v>
      </c>
      <c r="B381" s="2" t="str">
        <f t="shared" si="12"/>
        <v>May-2025</v>
      </c>
      <c r="C381" s="2" t="str">
        <f t="shared" si="13"/>
        <v>Q1</v>
      </c>
      <c r="D381" s="2" t="s">
        <v>28</v>
      </c>
      <c r="E381" s="11" t="s">
        <v>132</v>
      </c>
      <c r="F381" s="11" t="s">
        <v>95</v>
      </c>
      <c r="G381" s="11" t="s">
        <v>503</v>
      </c>
      <c r="H381" s="11" t="s">
        <v>57</v>
      </c>
      <c r="I381" s="12">
        <v>1</v>
      </c>
      <c r="J381" s="12">
        <v>180</v>
      </c>
      <c r="K381" s="12">
        <v>121.69</v>
      </c>
      <c r="L381" s="12">
        <v>21904.199999999997</v>
      </c>
      <c r="M381" s="12">
        <v>-1991.09</v>
      </c>
      <c r="N381" s="12">
        <v>0</v>
      </c>
      <c r="O381" s="12">
        <v>2588.7039589999999</v>
      </c>
      <c r="P381" s="12">
        <v>22501.813958999999</v>
      </c>
    </row>
    <row r="382" spans="1:16" ht="14.5" x14ac:dyDescent="0.25">
      <c r="A382" s="10">
        <v>45796</v>
      </c>
      <c r="B382" s="2" t="str">
        <f t="shared" si="12"/>
        <v>May-2025</v>
      </c>
      <c r="C382" s="2" t="str">
        <f t="shared" si="13"/>
        <v>Q1</v>
      </c>
      <c r="D382" s="2" t="s">
        <v>28</v>
      </c>
      <c r="E382" s="11" t="s">
        <v>132</v>
      </c>
      <c r="F382" s="11" t="s">
        <v>95</v>
      </c>
      <c r="G382" s="11" t="s">
        <v>503</v>
      </c>
      <c r="H382" s="11" t="s">
        <v>87</v>
      </c>
      <c r="I382" s="12">
        <v>1</v>
      </c>
      <c r="J382" s="12">
        <v>180</v>
      </c>
      <c r="K382" s="12">
        <v>114.93</v>
      </c>
      <c r="L382" s="12">
        <v>20687.400000000001</v>
      </c>
      <c r="M382" s="12">
        <v>-1880.48</v>
      </c>
      <c r="N382" s="12">
        <v>0</v>
      </c>
      <c r="O382" s="12">
        <v>2444.8992779999999</v>
      </c>
      <c r="P382" s="12">
        <v>21251.819277999999</v>
      </c>
    </row>
    <row r="383" spans="1:16" ht="14.5" x14ac:dyDescent="0.25">
      <c r="A383" s="10">
        <v>45796</v>
      </c>
      <c r="B383" s="2" t="str">
        <f t="shared" si="12"/>
        <v>May-2025</v>
      </c>
      <c r="C383" s="2" t="str">
        <f t="shared" si="13"/>
        <v>Q1</v>
      </c>
      <c r="D383" s="2" t="s">
        <v>28</v>
      </c>
      <c r="E383" s="11" t="s">
        <v>132</v>
      </c>
      <c r="F383" s="11" t="s">
        <v>95</v>
      </c>
      <c r="G383" s="11" t="s">
        <v>503</v>
      </c>
      <c r="H383" s="11" t="s">
        <v>47</v>
      </c>
      <c r="I383" s="12">
        <v>1</v>
      </c>
      <c r="J383" s="12">
        <v>120</v>
      </c>
      <c r="K383" s="12">
        <v>121.69</v>
      </c>
      <c r="L383" s="12">
        <v>14602.800000000001</v>
      </c>
      <c r="M383" s="12">
        <v>-1327.39</v>
      </c>
      <c r="N383" s="12">
        <v>0</v>
      </c>
      <c r="O383" s="12">
        <v>1725.803073</v>
      </c>
      <c r="P383" s="12">
        <v>15001.213073000001</v>
      </c>
    </row>
    <row r="384" spans="1:16" ht="14.5" x14ac:dyDescent="0.25">
      <c r="A384" s="10">
        <v>45796</v>
      </c>
      <c r="B384" s="2" t="str">
        <f t="shared" si="12"/>
        <v>May-2025</v>
      </c>
      <c r="C384" s="2" t="str">
        <f t="shared" si="13"/>
        <v>Q1</v>
      </c>
      <c r="D384" s="2" t="s">
        <v>28</v>
      </c>
      <c r="E384" s="11" t="s">
        <v>132</v>
      </c>
      <c r="F384" s="11" t="s">
        <v>95</v>
      </c>
      <c r="G384" s="11" t="s">
        <v>505</v>
      </c>
      <c r="H384" s="11" t="s">
        <v>49</v>
      </c>
      <c r="I384" s="12">
        <v>1</v>
      </c>
      <c r="J384" s="12">
        <v>180</v>
      </c>
      <c r="K384" s="12">
        <v>182.53</v>
      </c>
      <c r="L384" s="12">
        <v>32855.4</v>
      </c>
      <c r="M384" s="12">
        <v>-2986.56</v>
      </c>
      <c r="N384" s="12">
        <v>0</v>
      </c>
      <c r="O384" s="12">
        <v>3882.9486889999998</v>
      </c>
      <c r="P384" s="12">
        <v>33751.788689000001</v>
      </c>
    </row>
    <row r="385" spans="1:16" ht="14.5" x14ac:dyDescent="0.25">
      <c r="A385" s="10">
        <v>45796</v>
      </c>
      <c r="B385" s="2" t="str">
        <f t="shared" si="12"/>
        <v>May-2025</v>
      </c>
      <c r="C385" s="2" t="str">
        <f t="shared" si="13"/>
        <v>Q1</v>
      </c>
      <c r="D385" s="2" t="s">
        <v>28</v>
      </c>
      <c r="E385" s="11" t="s">
        <v>132</v>
      </c>
      <c r="F385" s="11" t="s">
        <v>95</v>
      </c>
      <c r="G385" s="11" t="s">
        <v>503</v>
      </c>
      <c r="H385" s="11" t="s">
        <v>46</v>
      </c>
      <c r="I385" s="12">
        <v>1</v>
      </c>
      <c r="J385" s="12">
        <v>120</v>
      </c>
      <c r="K385" s="12">
        <v>121.69</v>
      </c>
      <c r="L385" s="12">
        <v>14602.800000000001</v>
      </c>
      <c r="M385" s="12">
        <v>-1327.39</v>
      </c>
      <c r="N385" s="12">
        <v>0</v>
      </c>
      <c r="O385" s="12">
        <v>1725.803073</v>
      </c>
      <c r="P385" s="12">
        <v>15001.213073000001</v>
      </c>
    </row>
    <row r="386" spans="1:16" ht="14.5" x14ac:dyDescent="0.25">
      <c r="A386" s="10">
        <v>45796</v>
      </c>
      <c r="B386" s="2" t="str">
        <f t="shared" si="12"/>
        <v>May-2025</v>
      </c>
      <c r="C386" s="2" t="str">
        <f t="shared" si="13"/>
        <v>Q1</v>
      </c>
      <c r="D386" s="2" t="s">
        <v>28</v>
      </c>
      <c r="E386" s="11" t="s">
        <v>132</v>
      </c>
      <c r="F386" s="11" t="s">
        <v>95</v>
      </c>
      <c r="G386" s="11" t="s">
        <v>503</v>
      </c>
      <c r="H386" s="11" t="s">
        <v>63</v>
      </c>
      <c r="I386" s="12">
        <v>1</v>
      </c>
      <c r="J386" s="12">
        <v>80</v>
      </c>
      <c r="K386" s="12">
        <v>189.3</v>
      </c>
      <c r="L386" s="12">
        <v>15144</v>
      </c>
      <c r="M386" s="12">
        <v>-1376.5900000000001</v>
      </c>
      <c r="N386" s="12">
        <v>0</v>
      </c>
      <c r="O386" s="12">
        <v>1789.763064</v>
      </c>
      <c r="P386" s="12">
        <v>15557.173064000001</v>
      </c>
    </row>
    <row r="387" spans="1:16" ht="14.5" x14ac:dyDescent="0.25">
      <c r="A387" s="10">
        <v>45796</v>
      </c>
      <c r="B387" s="2" t="str">
        <f t="shared" si="12"/>
        <v>May-2025</v>
      </c>
      <c r="C387" s="2" t="str">
        <f t="shared" si="13"/>
        <v>Q1</v>
      </c>
      <c r="D387" s="2" t="s">
        <v>28</v>
      </c>
      <c r="E387" s="11" t="s">
        <v>132</v>
      </c>
      <c r="F387" s="11" t="s">
        <v>95</v>
      </c>
      <c r="G387" s="11" t="s">
        <v>503</v>
      </c>
      <c r="H387" s="11" t="s">
        <v>89</v>
      </c>
      <c r="I387" s="12">
        <v>1</v>
      </c>
      <c r="J387" s="12">
        <v>120</v>
      </c>
      <c r="K387" s="12">
        <v>118.31</v>
      </c>
      <c r="L387" s="12">
        <v>14197.199999999999</v>
      </c>
      <c r="M387" s="12">
        <v>-1290.53</v>
      </c>
      <c r="N387" s="12">
        <v>0</v>
      </c>
      <c r="O387" s="12">
        <v>1677.8668790000002</v>
      </c>
      <c r="P387" s="12">
        <v>14584.536878999999</v>
      </c>
    </row>
    <row r="388" spans="1:16" ht="14.5" x14ac:dyDescent="0.25">
      <c r="A388" s="10">
        <v>45796</v>
      </c>
      <c r="B388" s="2" t="str">
        <f t="shared" si="12"/>
        <v>May-2025</v>
      </c>
      <c r="C388" s="2" t="str">
        <f t="shared" si="13"/>
        <v>Q1</v>
      </c>
      <c r="D388" s="2" t="s">
        <v>28</v>
      </c>
      <c r="E388" s="11" t="s">
        <v>132</v>
      </c>
      <c r="F388" s="11" t="s">
        <v>95</v>
      </c>
      <c r="G388" s="11" t="s">
        <v>503</v>
      </c>
      <c r="H388" s="11" t="s">
        <v>48</v>
      </c>
      <c r="I388" s="12">
        <v>1</v>
      </c>
      <c r="J388" s="12">
        <v>180</v>
      </c>
      <c r="K388" s="12">
        <v>135.21</v>
      </c>
      <c r="L388" s="12">
        <v>24337.8</v>
      </c>
      <c r="M388" s="12">
        <v>-2212.31</v>
      </c>
      <c r="N388" s="12">
        <v>0</v>
      </c>
      <c r="O388" s="12">
        <v>2876.3133209999996</v>
      </c>
      <c r="P388" s="12">
        <v>25001.803320999999</v>
      </c>
    </row>
    <row r="389" spans="1:16" ht="14.5" x14ac:dyDescent="0.25">
      <c r="A389" s="10">
        <v>45797</v>
      </c>
      <c r="B389" s="2" t="str">
        <f t="shared" si="12"/>
        <v>May-2025</v>
      </c>
      <c r="C389" s="2" t="str">
        <f t="shared" si="13"/>
        <v>Q1</v>
      </c>
      <c r="D389" s="2" t="s">
        <v>28</v>
      </c>
      <c r="E389" s="11" t="s">
        <v>133</v>
      </c>
      <c r="F389" s="11" t="s">
        <v>95</v>
      </c>
      <c r="G389" s="11" t="s">
        <v>503</v>
      </c>
      <c r="H389" s="11" t="s">
        <v>44</v>
      </c>
      <c r="I389" s="12">
        <v>1</v>
      </c>
      <c r="J389" s="12">
        <v>180</v>
      </c>
      <c r="K389" s="12">
        <v>155.49</v>
      </c>
      <c r="L389" s="12">
        <v>27988.2</v>
      </c>
      <c r="M389" s="12">
        <v>-2544.13</v>
      </c>
      <c r="N389" s="12">
        <v>0</v>
      </c>
      <c r="O389" s="12">
        <v>3307.730532</v>
      </c>
      <c r="P389" s="12">
        <v>28751.800532000001</v>
      </c>
    </row>
    <row r="390" spans="1:16" ht="14.5" x14ac:dyDescent="0.25">
      <c r="A390" s="10">
        <v>45797</v>
      </c>
      <c r="B390" s="2" t="str">
        <f t="shared" si="12"/>
        <v>May-2025</v>
      </c>
      <c r="C390" s="2" t="str">
        <f t="shared" si="13"/>
        <v>Q1</v>
      </c>
      <c r="D390" s="2" t="s">
        <v>28</v>
      </c>
      <c r="E390" s="11" t="s">
        <v>133</v>
      </c>
      <c r="F390" s="11" t="s">
        <v>95</v>
      </c>
      <c r="G390" s="11" t="s">
        <v>503</v>
      </c>
      <c r="H390" s="11" t="s">
        <v>57</v>
      </c>
      <c r="I390" s="12">
        <v>1</v>
      </c>
      <c r="J390" s="12">
        <v>180</v>
      </c>
      <c r="K390" s="12">
        <v>121.69</v>
      </c>
      <c r="L390" s="12">
        <v>21904.199999999997</v>
      </c>
      <c r="M390" s="12">
        <v>-1991.09</v>
      </c>
      <c r="N390" s="12">
        <v>0</v>
      </c>
      <c r="O390" s="12">
        <v>2588.7054209999997</v>
      </c>
      <c r="P390" s="12">
        <v>22501.815420999999</v>
      </c>
    </row>
    <row r="391" spans="1:16" ht="14.5" x14ac:dyDescent="0.25">
      <c r="A391" s="10">
        <v>45797</v>
      </c>
      <c r="B391" s="2" t="str">
        <f t="shared" si="12"/>
        <v>May-2025</v>
      </c>
      <c r="C391" s="2" t="str">
        <f t="shared" si="13"/>
        <v>Q1</v>
      </c>
      <c r="D391" s="2" t="s">
        <v>28</v>
      </c>
      <c r="E391" s="11" t="s">
        <v>133</v>
      </c>
      <c r="F391" s="11" t="s">
        <v>95</v>
      </c>
      <c r="G391" s="11" t="s">
        <v>503</v>
      </c>
      <c r="H391" s="11" t="s">
        <v>47</v>
      </c>
      <c r="I391" s="12">
        <v>1</v>
      </c>
      <c r="J391" s="12">
        <v>120</v>
      </c>
      <c r="K391" s="12">
        <v>121.69</v>
      </c>
      <c r="L391" s="12">
        <v>14602.800000000001</v>
      </c>
      <c r="M391" s="12">
        <v>-1327.39</v>
      </c>
      <c r="N391" s="12">
        <v>0</v>
      </c>
      <c r="O391" s="12">
        <v>1725.8040470000001</v>
      </c>
      <c r="P391" s="12">
        <v>15001.214046999999</v>
      </c>
    </row>
    <row r="392" spans="1:16" ht="14.5" x14ac:dyDescent="0.25">
      <c r="A392" s="10">
        <v>45797</v>
      </c>
      <c r="B392" s="2" t="str">
        <f t="shared" si="12"/>
        <v>May-2025</v>
      </c>
      <c r="C392" s="2" t="str">
        <f t="shared" si="13"/>
        <v>Q1</v>
      </c>
      <c r="D392" s="2" t="s">
        <v>28</v>
      </c>
      <c r="E392" s="11" t="s">
        <v>134</v>
      </c>
      <c r="F392" s="11" t="s">
        <v>14</v>
      </c>
      <c r="G392" s="11" t="s">
        <v>505</v>
      </c>
      <c r="H392" s="11" t="s">
        <v>62</v>
      </c>
      <c r="I392" s="12">
        <v>1</v>
      </c>
      <c r="J392" s="12">
        <v>40</v>
      </c>
      <c r="K392" s="12">
        <v>439.44</v>
      </c>
      <c r="L392" s="12">
        <v>17577.599999999999</v>
      </c>
      <c r="M392" s="12">
        <v>-1597.8</v>
      </c>
      <c r="N392" s="12">
        <v>0</v>
      </c>
      <c r="O392" s="12">
        <v>2077.3723319999999</v>
      </c>
      <c r="P392" s="12">
        <v>18057.172331999998</v>
      </c>
    </row>
    <row r="393" spans="1:16" ht="14.5" x14ac:dyDescent="0.25">
      <c r="A393" s="10">
        <v>45797</v>
      </c>
      <c r="B393" s="2" t="str">
        <f t="shared" si="12"/>
        <v>May-2025</v>
      </c>
      <c r="C393" s="2" t="str">
        <f t="shared" si="13"/>
        <v>Q1</v>
      </c>
      <c r="D393" s="2" t="s">
        <v>28</v>
      </c>
      <c r="E393" s="11" t="s">
        <v>134</v>
      </c>
      <c r="F393" s="11" t="s">
        <v>14</v>
      </c>
      <c r="G393" s="11" t="s">
        <v>503</v>
      </c>
      <c r="H393" s="11" t="s">
        <v>47</v>
      </c>
      <c r="I393" s="12">
        <v>1</v>
      </c>
      <c r="J393" s="12">
        <v>120</v>
      </c>
      <c r="K393" s="12">
        <v>121.69</v>
      </c>
      <c r="L393" s="12">
        <v>14602.800000000001</v>
      </c>
      <c r="M393" s="12">
        <v>-1327.39</v>
      </c>
      <c r="N393" s="12">
        <v>0</v>
      </c>
      <c r="O393" s="12">
        <v>1725.801915</v>
      </c>
      <c r="P393" s="12">
        <v>15001.211915</v>
      </c>
    </row>
    <row r="394" spans="1:16" ht="14.5" x14ac:dyDescent="0.25">
      <c r="A394" s="10">
        <v>45797</v>
      </c>
      <c r="B394" s="2" t="str">
        <f t="shared" si="12"/>
        <v>May-2025</v>
      </c>
      <c r="C394" s="2" t="str">
        <f t="shared" si="13"/>
        <v>Q1</v>
      </c>
      <c r="D394" s="2" t="s">
        <v>28</v>
      </c>
      <c r="E394" s="11" t="s">
        <v>134</v>
      </c>
      <c r="F394" s="11" t="s">
        <v>14</v>
      </c>
      <c r="G394" s="11" t="s">
        <v>503</v>
      </c>
      <c r="H394" s="11" t="s">
        <v>89</v>
      </c>
      <c r="I394" s="12">
        <v>1</v>
      </c>
      <c r="J394" s="12">
        <v>120</v>
      </c>
      <c r="K394" s="12">
        <v>118.31</v>
      </c>
      <c r="L394" s="12">
        <v>14197.199999999999</v>
      </c>
      <c r="M394" s="12">
        <v>-1290.53</v>
      </c>
      <c r="N394" s="12">
        <v>0</v>
      </c>
      <c r="O394" s="12">
        <v>1677.865753</v>
      </c>
      <c r="P394" s="12">
        <v>14584.535753</v>
      </c>
    </row>
    <row r="395" spans="1:16" ht="14.5" x14ac:dyDescent="0.25">
      <c r="A395" s="10">
        <v>45797</v>
      </c>
      <c r="B395" s="2" t="str">
        <f t="shared" si="12"/>
        <v>May-2025</v>
      </c>
      <c r="C395" s="2" t="str">
        <f t="shared" si="13"/>
        <v>Q1</v>
      </c>
      <c r="D395" s="2" t="s">
        <v>28</v>
      </c>
      <c r="E395" s="11" t="s">
        <v>135</v>
      </c>
      <c r="F395" s="11" t="s">
        <v>15</v>
      </c>
      <c r="G395" s="11" t="s">
        <v>504</v>
      </c>
      <c r="H395" s="11" t="s">
        <v>66</v>
      </c>
      <c r="I395" s="12">
        <v>1</v>
      </c>
      <c r="J395" s="12">
        <v>100</v>
      </c>
      <c r="K395" s="12">
        <v>108.17</v>
      </c>
      <c r="L395" s="12">
        <v>10817</v>
      </c>
      <c r="M395" s="12">
        <v>-983.2700000000001</v>
      </c>
      <c r="N395" s="12">
        <v>0</v>
      </c>
      <c r="O395" s="12">
        <v>1278.3853730000001</v>
      </c>
      <c r="P395" s="12">
        <v>11112.115373000001</v>
      </c>
    </row>
    <row r="396" spans="1:16" ht="14.5" x14ac:dyDescent="0.25">
      <c r="A396" s="10">
        <v>45797</v>
      </c>
      <c r="B396" s="2" t="str">
        <f t="shared" si="12"/>
        <v>May-2025</v>
      </c>
      <c r="C396" s="2" t="str">
        <f t="shared" si="13"/>
        <v>Q1</v>
      </c>
      <c r="D396" s="2" t="s">
        <v>28</v>
      </c>
      <c r="E396" s="11" t="s">
        <v>135</v>
      </c>
      <c r="F396" s="11" t="s">
        <v>15</v>
      </c>
      <c r="G396" s="11" t="s">
        <v>504</v>
      </c>
      <c r="H396" s="11" t="s">
        <v>69</v>
      </c>
      <c r="I396" s="12">
        <v>1</v>
      </c>
      <c r="J396" s="12">
        <v>100</v>
      </c>
      <c r="K396" s="12">
        <v>189.3</v>
      </c>
      <c r="L396" s="12">
        <v>18930</v>
      </c>
      <c r="M396" s="12">
        <v>-1720.7399999999998</v>
      </c>
      <c r="N396" s="12">
        <v>0</v>
      </c>
      <c r="O396" s="12">
        <v>2237.2046270000001</v>
      </c>
      <c r="P396" s="12">
        <v>19446.464627000001</v>
      </c>
    </row>
    <row r="397" spans="1:16" ht="14.5" x14ac:dyDescent="0.25">
      <c r="A397" s="10">
        <v>45797</v>
      </c>
      <c r="B397" s="2" t="str">
        <f t="shared" si="12"/>
        <v>May-2025</v>
      </c>
      <c r="C397" s="2" t="str">
        <f t="shared" si="13"/>
        <v>Q1</v>
      </c>
      <c r="D397" s="2" t="s">
        <v>28</v>
      </c>
      <c r="E397" s="11" t="s">
        <v>136</v>
      </c>
      <c r="F397" s="11" t="s">
        <v>15</v>
      </c>
      <c r="G397" s="11" t="s">
        <v>504</v>
      </c>
      <c r="H397" s="11" t="s">
        <v>53</v>
      </c>
      <c r="I397" s="12">
        <v>1</v>
      </c>
      <c r="J397" s="12">
        <v>100</v>
      </c>
      <c r="K397" s="12">
        <v>129.88</v>
      </c>
      <c r="L397" s="12">
        <v>12988.000000000002</v>
      </c>
      <c r="M397" s="12">
        <v>-1180.6099999999999</v>
      </c>
      <c r="N397" s="12">
        <v>0</v>
      </c>
      <c r="O397" s="12">
        <v>0</v>
      </c>
      <c r="P397" s="12">
        <v>11807.39</v>
      </c>
    </row>
    <row r="398" spans="1:16" ht="14.5" x14ac:dyDescent="0.25">
      <c r="A398" s="10">
        <v>45800</v>
      </c>
      <c r="B398" s="2" t="str">
        <f t="shared" si="12"/>
        <v>May-2025</v>
      </c>
      <c r="C398" s="2" t="str">
        <f t="shared" si="13"/>
        <v>Q1</v>
      </c>
      <c r="D398" s="2" t="s">
        <v>28</v>
      </c>
      <c r="E398" s="11" t="s">
        <v>137</v>
      </c>
      <c r="F398" s="11" t="s">
        <v>104</v>
      </c>
      <c r="G398" s="11" t="s">
        <v>503</v>
      </c>
      <c r="H398" s="11" t="s">
        <v>59</v>
      </c>
      <c r="I398" s="12">
        <v>0.06</v>
      </c>
      <c r="J398" s="12">
        <v>10</v>
      </c>
      <c r="K398" s="12">
        <v>67.260000000000005</v>
      </c>
      <c r="L398" s="12">
        <v>672.6</v>
      </c>
      <c r="M398" s="12">
        <v>0</v>
      </c>
      <c r="N398" s="12">
        <v>0</v>
      </c>
      <c r="O398" s="12">
        <v>87.437515000000005</v>
      </c>
      <c r="P398" s="12">
        <v>760.03751499999998</v>
      </c>
    </row>
    <row r="399" spans="1:16" ht="14.5" x14ac:dyDescent="0.25">
      <c r="A399" s="10">
        <v>45800</v>
      </c>
      <c r="B399" s="2" t="str">
        <f t="shared" si="12"/>
        <v>May-2025</v>
      </c>
      <c r="C399" s="2" t="str">
        <f t="shared" si="13"/>
        <v>Q1</v>
      </c>
      <c r="D399" s="2" t="s">
        <v>28</v>
      </c>
      <c r="E399" s="11" t="s">
        <v>137</v>
      </c>
      <c r="F399" s="11" t="s">
        <v>104</v>
      </c>
      <c r="G399" s="11" t="s">
        <v>505</v>
      </c>
      <c r="H399" s="11" t="s">
        <v>40</v>
      </c>
      <c r="I399" s="12">
        <v>0.06</v>
      </c>
      <c r="J399" s="12">
        <v>11</v>
      </c>
      <c r="K399" s="12">
        <v>99.12</v>
      </c>
      <c r="L399" s="12">
        <v>1090.32</v>
      </c>
      <c r="M399" s="12">
        <v>0</v>
      </c>
      <c r="N399" s="12">
        <v>0</v>
      </c>
      <c r="O399" s="12">
        <v>141.740813</v>
      </c>
      <c r="P399" s="12">
        <v>1232.0608130000001</v>
      </c>
    </row>
    <row r="400" spans="1:16" ht="14.5" x14ac:dyDescent="0.25">
      <c r="A400" s="10">
        <v>45800</v>
      </c>
      <c r="B400" s="2" t="str">
        <f t="shared" si="12"/>
        <v>May-2025</v>
      </c>
      <c r="C400" s="2" t="str">
        <f t="shared" si="13"/>
        <v>Q1</v>
      </c>
      <c r="D400" s="2" t="s">
        <v>28</v>
      </c>
      <c r="E400" s="11" t="s">
        <v>137</v>
      </c>
      <c r="F400" s="11" t="s">
        <v>104</v>
      </c>
      <c r="G400" s="11" t="s">
        <v>505</v>
      </c>
      <c r="H400" s="11" t="s">
        <v>56</v>
      </c>
      <c r="I400" s="12">
        <v>0.08</v>
      </c>
      <c r="J400" s="12">
        <v>9</v>
      </c>
      <c r="K400" s="12">
        <v>60.18</v>
      </c>
      <c r="L400" s="12">
        <v>541.62</v>
      </c>
      <c r="M400" s="12">
        <v>0</v>
      </c>
      <c r="N400" s="12">
        <v>0</v>
      </c>
      <c r="O400" s="12">
        <v>70.410208999999995</v>
      </c>
      <c r="P400" s="12">
        <v>612.03020900000001</v>
      </c>
    </row>
    <row r="401" spans="1:16" ht="14.5" x14ac:dyDescent="0.25">
      <c r="A401" s="10">
        <v>45800</v>
      </c>
      <c r="B401" s="2" t="str">
        <f t="shared" si="12"/>
        <v>May-2025</v>
      </c>
      <c r="C401" s="2" t="str">
        <f t="shared" si="13"/>
        <v>Q1</v>
      </c>
      <c r="D401" s="2" t="s">
        <v>28</v>
      </c>
      <c r="E401" s="11" t="s">
        <v>137</v>
      </c>
      <c r="F401" s="11" t="s">
        <v>104</v>
      </c>
      <c r="G401" s="11" t="s">
        <v>503</v>
      </c>
      <c r="H401" s="11" t="s">
        <v>52</v>
      </c>
      <c r="I401" s="12">
        <v>0.06</v>
      </c>
      <c r="J401" s="12">
        <v>10</v>
      </c>
      <c r="K401" s="12">
        <v>74.34</v>
      </c>
      <c r="L401" s="12">
        <v>743.4</v>
      </c>
      <c r="M401" s="12">
        <v>0</v>
      </c>
      <c r="N401" s="12">
        <v>0</v>
      </c>
      <c r="O401" s="12">
        <v>96.641463000000002</v>
      </c>
      <c r="P401" s="12">
        <v>840.04146300000002</v>
      </c>
    </row>
    <row r="402" spans="1:16" ht="14.5" x14ac:dyDescent="0.25">
      <c r="A402" s="10">
        <v>45800</v>
      </c>
      <c r="B402" s="2" t="str">
        <f t="shared" si="12"/>
        <v>May-2025</v>
      </c>
      <c r="C402" s="2" t="str">
        <f t="shared" si="13"/>
        <v>Q1</v>
      </c>
      <c r="D402" s="2" t="s">
        <v>28</v>
      </c>
      <c r="E402" s="11" t="s">
        <v>138</v>
      </c>
      <c r="F402" s="11" t="s">
        <v>83</v>
      </c>
      <c r="G402" s="11" t="s">
        <v>504</v>
      </c>
      <c r="H402" s="11" t="s">
        <v>61</v>
      </c>
      <c r="I402" s="12">
        <v>-1</v>
      </c>
      <c r="J402" s="12">
        <v>-40</v>
      </c>
      <c r="K402" s="12">
        <v>297.52</v>
      </c>
      <c r="L402" s="12">
        <v>-11900.8</v>
      </c>
      <c r="M402" s="12">
        <v>456.99</v>
      </c>
      <c r="N402" s="12">
        <v>0</v>
      </c>
      <c r="O402" s="12">
        <v>0</v>
      </c>
      <c r="P402" s="12">
        <v>-11443.81</v>
      </c>
    </row>
    <row r="403" spans="1:16" ht="14.5" x14ac:dyDescent="0.25">
      <c r="A403" s="10">
        <v>45800</v>
      </c>
      <c r="B403" s="2" t="str">
        <f t="shared" si="12"/>
        <v>May-2025</v>
      </c>
      <c r="C403" s="2" t="str">
        <f t="shared" si="13"/>
        <v>Q1</v>
      </c>
      <c r="D403" s="2" t="s">
        <v>28</v>
      </c>
      <c r="E403" s="11" t="s">
        <v>138</v>
      </c>
      <c r="F403" s="11" t="s">
        <v>83</v>
      </c>
      <c r="G403" s="11" t="s">
        <v>504</v>
      </c>
      <c r="H403" s="11" t="s">
        <v>53</v>
      </c>
      <c r="I403" s="12">
        <v>-1</v>
      </c>
      <c r="J403" s="12">
        <v>-100</v>
      </c>
      <c r="K403" s="12">
        <v>124.88</v>
      </c>
      <c r="L403" s="12">
        <v>-12488</v>
      </c>
      <c r="M403" s="12">
        <v>479.54</v>
      </c>
      <c r="N403" s="12">
        <v>0</v>
      </c>
      <c r="O403" s="12">
        <v>0</v>
      </c>
      <c r="P403" s="12">
        <v>-12008.46</v>
      </c>
    </row>
    <row r="404" spans="1:16" ht="14.5" x14ac:dyDescent="0.25">
      <c r="A404" s="10">
        <v>45800</v>
      </c>
      <c r="B404" s="2" t="str">
        <f t="shared" si="12"/>
        <v>May-2025</v>
      </c>
      <c r="C404" s="2" t="str">
        <f t="shared" si="13"/>
        <v>Q1</v>
      </c>
      <c r="D404" s="2" t="s">
        <v>28</v>
      </c>
      <c r="E404" s="11" t="s">
        <v>139</v>
      </c>
      <c r="F404" s="11" t="s">
        <v>83</v>
      </c>
      <c r="G404" s="11" t="s">
        <v>504</v>
      </c>
      <c r="H404" s="11" t="s">
        <v>66</v>
      </c>
      <c r="I404" s="12">
        <v>-1</v>
      </c>
      <c r="J404" s="12">
        <v>-100</v>
      </c>
      <c r="K404" s="12">
        <v>108.17</v>
      </c>
      <c r="L404" s="12">
        <v>-10817</v>
      </c>
      <c r="M404" s="12">
        <v>415.37</v>
      </c>
      <c r="N404" s="12">
        <v>0</v>
      </c>
      <c r="O404" s="12">
        <v>-1352.2111610000002</v>
      </c>
      <c r="P404" s="12">
        <v>-11753.841161</v>
      </c>
    </row>
    <row r="405" spans="1:16" ht="14.5" x14ac:dyDescent="0.25">
      <c r="A405" s="10">
        <v>45800</v>
      </c>
      <c r="B405" s="2" t="str">
        <f t="shared" si="12"/>
        <v>May-2025</v>
      </c>
      <c r="C405" s="2" t="str">
        <f t="shared" si="13"/>
        <v>Q1</v>
      </c>
      <c r="D405" s="2" t="s">
        <v>28</v>
      </c>
      <c r="E405" s="11" t="s">
        <v>139</v>
      </c>
      <c r="F405" s="11" t="s">
        <v>83</v>
      </c>
      <c r="G405" s="11" t="s">
        <v>504</v>
      </c>
      <c r="H405" s="11" t="s">
        <v>69</v>
      </c>
      <c r="I405" s="12">
        <v>-1</v>
      </c>
      <c r="J405" s="12">
        <v>-100</v>
      </c>
      <c r="K405" s="12">
        <v>189.3</v>
      </c>
      <c r="L405" s="12">
        <v>-18930</v>
      </c>
      <c r="M405" s="12">
        <v>726.91000000000008</v>
      </c>
      <c r="N405" s="12">
        <v>0</v>
      </c>
      <c r="O405" s="12">
        <v>-2366.4004070000001</v>
      </c>
      <c r="P405" s="12">
        <v>-20569.490407000001</v>
      </c>
    </row>
    <row r="406" spans="1:16" ht="14.5" x14ac:dyDescent="0.25">
      <c r="A406" s="10">
        <v>45800</v>
      </c>
      <c r="B406" s="2" t="str">
        <f t="shared" si="12"/>
        <v>May-2025</v>
      </c>
      <c r="C406" s="2" t="str">
        <f t="shared" si="13"/>
        <v>Q1</v>
      </c>
      <c r="D406" s="2" t="s">
        <v>28</v>
      </c>
      <c r="E406" s="11" t="s">
        <v>139</v>
      </c>
      <c r="F406" s="11" t="s">
        <v>83</v>
      </c>
      <c r="G406" s="11" t="s">
        <v>504</v>
      </c>
      <c r="H406" s="11" t="s">
        <v>67</v>
      </c>
      <c r="I406" s="12">
        <v>-1</v>
      </c>
      <c r="J406" s="12">
        <v>-40</v>
      </c>
      <c r="K406" s="12">
        <v>459.72</v>
      </c>
      <c r="L406" s="12">
        <v>-18388.8</v>
      </c>
      <c r="M406" s="12">
        <v>706.12999999999988</v>
      </c>
      <c r="N406" s="12">
        <v>0</v>
      </c>
      <c r="O406" s="12">
        <v>-2298.745844</v>
      </c>
      <c r="P406" s="12">
        <v>-19981.415843999999</v>
      </c>
    </row>
    <row r="407" spans="1:16" ht="14.5" x14ac:dyDescent="0.25">
      <c r="A407" s="10">
        <v>45800</v>
      </c>
      <c r="B407" s="2" t="str">
        <f t="shared" si="12"/>
        <v>May-2025</v>
      </c>
      <c r="C407" s="2" t="str">
        <f t="shared" si="13"/>
        <v>Q1</v>
      </c>
      <c r="D407" s="2" t="s">
        <v>28</v>
      </c>
      <c r="E407" s="11" t="s">
        <v>139</v>
      </c>
      <c r="F407" s="11" t="s">
        <v>83</v>
      </c>
      <c r="G407" s="11" t="s">
        <v>504</v>
      </c>
      <c r="H407" s="11" t="s">
        <v>68</v>
      </c>
      <c r="I407" s="12">
        <v>-1</v>
      </c>
      <c r="J407" s="12">
        <v>-40</v>
      </c>
      <c r="K407" s="12">
        <v>260.27999999999997</v>
      </c>
      <c r="L407" s="12">
        <v>-10411.200000000001</v>
      </c>
      <c r="M407" s="12">
        <v>399.79</v>
      </c>
      <c r="N407" s="12">
        <v>0</v>
      </c>
      <c r="O407" s="12">
        <v>-1301.4825890000002</v>
      </c>
      <c r="P407" s="12">
        <v>-11312.892588999999</v>
      </c>
    </row>
    <row r="408" spans="1:16" ht="14.5" x14ac:dyDescent="0.25">
      <c r="A408" s="10">
        <v>45800</v>
      </c>
      <c r="B408" s="2" t="str">
        <f t="shared" si="12"/>
        <v>May-2025</v>
      </c>
      <c r="C408" s="2" t="str">
        <f t="shared" si="13"/>
        <v>Q1</v>
      </c>
      <c r="D408" s="2" t="s">
        <v>28</v>
      </c>
      <c r="E408" s="11" t="s">
        <v>140</v>
      </c>
      <c r="F408" s="11" t="s">
        <v>65</v>
      </c>
      <c r="G408" s="11" t="s">
        <v>504</v>
      </c>
      <c r="H408" s="11" t="s">
        <v>53</v>
      </c>
      <c r="I408" s="12">
        <v>-1</v>
      </c>
      <c r="J408" s="12">
        <v>-100</v>
      </c>
      <c r="K408" s="12">
        <v>124.88</v>
      </c>
      <c r="L408" s="12">
        <v>-12488</v>
      </c>
      <c r="M408" s="12">
        <v>479.54</v>
      </c>
      <c r="N408" s="12">
        <v>0</v>
      </c>
      <c r="O408" s="12">
        <v>0</v>
      </c>
      <c r="P408" s="12">
        <v>-12008.46</v>
      </c>
    </row>
    <row r="409" spans="1:16" ht="14.5" x14ac:dyDescent="0.25">
      <c r="A409" s="10">
        <v>45800</v>
      </c>
      <c r="B409" s="2" t="str">
        <f t="shared" si="12"/>
        <v>May-2025</v>
      </c>
      <c r="C409" s="2" t="str">
        <f t="shared" si="13"/>
        <v>Q1</v>
      </c>
      <c r="D409" s="2" t="s">
        <v>28</v>
      </c>
      <c r="E409" s="11" t="s">
        <v>140</v>
      </c>
      <c r="F409" s="11" t="s">
        <v>65</v>
      </c>
      <c r="G409" s="11" t="s">
        <v>504</v>
      </c>
      <c r="H409" s="11" t="s">
        <v>61</v>
      </c>
      <c r="I409" s="12">
        <v>-1</v>
      </c>
      <c r="J409" s="12">
        <v>-40</v>
      </c>
      <c r="K409" s="12">
        <v>297.52</v>
      </c>
      <c r="L409" s="12">
        <v>-11900.8</v>
      </c>
      <c r="M409" s="12">
        <v>456.99</v>
      </c>
      <c r="N409" s="12">
        <v>0</v>
      </c>
      <c r="O409" s="12">
        <v>0</v>
      </c>
      <c r="P409" s="12">
        <v>-11443.81</v>
      </c>
    </row>
    <row r="410" spans="1:16" ht="14.5" x14ac:dyDescent="0.25">
      <c r="A410" s="10">
        <v>45800</v>
      </c>
      <c r="B410" s="2" t="str">
        <f t="shared" si="12"/>
        <v>May-2025</v>
      </c>
      <c r="C410" s="2" t="str">
        <f t="shared" si="13"/>
        <v>Q1</v>
      </c>
      <c r="D410" s="2" t="s">
        <v>28</v>
      </c>
      <c r="E410" s="11" t="s">
        <v>141</v>
      </c>
      <c r="F410" s="11" t="s">
        <v>65</v>
      </c>
      <c r="G410" s="11" t="s">
        <v>504</v>
      </c>
      <c r="H410" s="11" t="s">
        <v>68</v>
      </c>
      <c r="I410" s="12">
        <v>-1</v>
      </c>
      <c r="J410" s="12">
        <v>-40</v>
      </c>
      <c r="K410" s="12">
        <v>260.27999999999997</v>
      </c>
      <c r="L410" s="12">
        <v>-10411.200000000001</v>
      </c>
      <c r="M410" s="12">
        <v>399.79</v>
      </c>
      <c r="N410" s="12">
        <v>0</v>
      </c>
      <c r="O410" s="12">
        <v>-1301.4825890000002</v>
      </c>
      <c r="P410" s="12">
        <v>-11312.892588999999</v>
      </c>
    </row>
    <row r="411" spans="1:16" ht="14.5" x14ac:dyDescent="0.25">
      <c r="A411" s="10">
        <v>45800</v>
      </c>
      <c r="B411" s="2" t="str">
        <f t="shared" si="12"/>
        <v>May-2025</v>
      </c>
      <c r="C411" s="2" t="str">
        <f t="shared" si="13"/>
        <v>Q1</v>
      </c>
      <c r="D411" s="2" t="s">
        <v>28</v>
      </c>
      <c r="E411" s="11" t="s">
        <v>141</v>
      </c>
      <c r="F411" s="11" t="s">
        <v>65</v>
      </c>
      <c r="G411" s="11" t="s">
        <v>504</v>
      </c>
      <c r="H411" s="11" t="s">
        <v>67</v>
      </c>
      <c r="I411" s="12">
        <v>-1</v>
      </c>
      <c r="J411" s="12">
        <v>-40</v>
      </c>
      <c r="K411" s="12">
        <v>459.72</v>
      </c>
      <c r="L411" s="12">
        <v>-18388.8</v>
      </c>
      <c r="M411" s="12">
        <v>706.12999999999988</v>
      </c>
      <c r="N411" s="12">
        <v>0</v>
      </c>
      <c r="O411" s="12">
        <v>-2298.745844</v>
      </c>
      <c r="P411" s="12">
        <v>-19981.415843999999</v>
      </c>
    </row>
    <row r="412" spans="1:16" ht="14.5" x14ac:dyDescent="0.25">
      <c r="A412" s="10">
        <v>45800</v>
      </c>
      <c r="B412" s="2" t="str">
        <f t="shared" si="12"/>
        <v>May-2025</v>
      </c>
      <c r="C412" s="2" t="str">
        <f t="shared" si="13"/>
        <v>Q1</v>
      </c>
      <c r="D412" s="2" t="s">
        <v>28</v>
      </c>
      <c r="E412" s="11" t="s">
        <v>141</v>
      </c>
      <c r="F412" s="11" t="s">
        <v>65</v>
      </c>
      <c r="G412" s="11" t="s">
        <v>504</v>
      </c>
      <c r="H412" s="11" t="s">
        <v>66</v>
      </c>
      <c r="I412" s="12">
        <v>-1</v>
      </c>
      <c r="J412" s="12">
        <v>-100</v>
      </c>
      <c r="K412" s="12">
        <v>108.17</v>
      </c>
      <c r="L412" s="12">
        <v>-10817</v>
      </c>
      <c r="M412" s="12">
        <v>415.37</v>
      </c>
      <c r="N412" s="12">
        <v>0</v>
      </c>
      <c r="O412" s="12">
        <v>-1352.2111610000002</v>
      </c>
      <c r="P412" s="12">
        <v>-11753.841161</v>
      </c>
    </row>
    <row r="413" spans="1:16" ht="14.5" x14ac:dyDescent="0.25">
      <c r="A413" s="10">
        <v>45800</v>
      </c>
      <c r="B413" s="2" t="str">
        <f t="shared" si="12"/>
        <v>May-2025</v>
      </c>
      <c r="C413" s="2" t="str">
        <f t="shared" si="13"/>
        <v>Q1</v>
      </c>
      <c r="D413" s="2" t="s">
        <v>28</v>
      </c>
      <c r="E413" s="11" t="s">
        <v>141</v>
      </c>
      <c r="F413" s="11" t="s">
        <v>65</v>
      </c>
      <c r="G413" s="11" t="s">
        <v>504</v>
      </c>
      <c r="H413" s="11" t="s">
        <v>69</v>
      </c>
      <c r="I413" s="12">
        <v>-1</v>
      </c>
      <c r="J413" s="12">
        <v>-100</v>
      </c>
      <c r="K413" s="12">
        <v>189.3</v>
      </c>
      <c r="L413" s="12">
        <v>-18930</v>
      </c>
      <c r="M413" s="12">
        <v>726.91000000000008</v>
      </c>
      <c r="N413" s="12">
        <v>0</v>
      </c>
      <c r="O413" s="12">
        <v>-2366.4004070000001</v>
      </c>
      <c r="P413" s="12">
        <v>-20569.490407000001</v>
      </c>
    </row>
    <row r="414" spans="1:16" ht="14.5" x14ac:dyDescent="0.25">
      <c r="A414" s="10">
        <v>45800</v>
      </c>
      <c r="B414" s="2" t="str">
        <f t="shared" si="12"/>
        <v>May-2025</v>
      </c>
      <c r="C414" s="2" t="str">
        <f t="shared" si="13"/>
        <v>Q1</v>
      </c>
      <c r="D414" s="2" t="s">
        <v>28</v>
      </c>
      <c r="E414" s="11" t="s">
        <v>142</v>
      </c>
      <c r="F414" s="11" t="s">
        <v>75</v>
      </c>
      <c r="G414" s="11" t="s">
        <v>505</v>
      </c>
      <c r="H414" s="11" t="s">
        <v>56</v>
      </c>
      <c r="I414" s="12">
        <v>-0.08</v>
      </c>
      <c r="J414" s="12">
        <v>-10</v>
      </c>
      <c r="K414" s="12">
        <v>57.46</v>
      </c>
      <c r="L414" s="12">
        <v>-574.6</v>
      </c>
      <c r="M414" s="12">
        <v>22.06</v>
      </c>
      <c r="N414" s="12">
        <v>0</v>
      </c>
      <c r="O414" s="12">
        <v>-71.83</v>
      </c>
      <c r="P414" s="12">
        <v>-624.37</v>
      </c>
    </row>
    <row r="415" spans="1:16" ht="14.5" x14ac:dyDescent="0.25">
      <c r="A415" s="10">
        <v>45802</v>
      </c>
      <c r="B415" s="2" t="str">
        <f t="shared" si="12"/>
        <v>May-2025</v>
      </c>
      <c r="C415" s="2" t="str">
        <f t="shared" si="13"/>
        <v>Q1</v>
      </c>
      <c r="D415" s="2" t="s">
        <v>28</v>
      </c>
      <c r="E415" s="11" t="s">
        <v>143</v>
      </c>
      <c r="F415" s="11" t="s">
        <v>104</v>
      </c>
      <c r="G415" s="11" t="s">
        <v>503</v>
      </c>
      <c r="H415" s="11" t="s">
        <v>57</v>
      </c>
      <c r="I415" s="12">
        <v>0.06</v>
      </c>
      <c r="J415" s="12">
        <v>10</v>
      </c>
      <c r="K415" s="12">
        <v>127.43</v>
      </c>
      <c r="L415" s="12">
        <v>1274.3000000000002</v>
      </c>
      <c r="M415" s="12">
        <v>0</v>
      </c>
      <c r="N415" s="12">
        <v>0</v>
      </c>
      <c r="O415" s="12">
        <v>165.65952099999998</v>
      </c>
      <c r="P415" s="12">
        <v>1439.959521</v>
      </c>
    </row>
    <row r="416" spans="1:16" ht="14.5" x14ac:dyDescent="0.25">
      <c r="A416" s="10">
        <v>45802</v>
      </c>
      <c r="B416" s="2" t="str">
        <f t="shared" si="12"/>
        <v>May-2025</v>
      </c>
      <c r="C416" s="2" t="str">
        <f t="shared" si="13"/>
        <v>Q1</v>
      </c>
      <c r="D416" s="2" t="s">
        <v>28</v>
      </c>
      <c r="E416" s="11" t="s">
        <v>143</v>
      </c>
      <c r="F416" s="11" t="s">
        <v>104</v>
      </c>
      <c r="G416" s="11" t="s">
        <v>505</v>
      </c>
      <c r="H416" s="11" t="s">
        <v>40</v>
      </c>
      <c r="I416" s="12">
        <v>0.03</v>
      </c>
      <c r="J416" s="12">
        <v>6</v>
      </c>
      <c r="K416" s="12">
        <v>99.12</v>
      </c>
      <c r="L416" s="12">
        <v>594.72</v>
      </c>
      <c r="M416" s="12">
        <v>0</v>
      </c>
      <c r="N416" s="12">
        <v>0</v>
      </c>
      <c r="O416" s="12">
        <v>77.313843000000006</v>
      </c>
      <c r="P416" s="12">
        <v>672.03384300000005</v>
      </c>
    </row>
    <row r="417" spans="1:16" ht="14.5" x14ac:dyDescent="0.25">
      <c r="A417" s="10">
        <v>45802</v>
      </c>
      <c r="B417" s="2" t="str">
        <f t="shared" si="12"/>
        <v>May-2025</v>
      </c>
      <c r="C417" s="2" t="str">
        <f t="shared" si="13"/>
        <v>Q1</v>
      </c>
      <c r="D417" s="2" t="s">
        <v>28</v>
      </c>
      <c r="E417" s="11" t="s">
        <v>143</v>
      </c>
      <c r="F417" s="11" t="s">
        <v>104</v>
      </c>
      <c r="G417" s="11" t="s">
        <v>504</v>
      </c>
      <c r="H417" s="11" t="s">
        <v>66</v>
      </c>
      <c r="I417" s="12">
        <v>0.1</v>
      </c>
      <c r="J417" s="12">
        <v>10</v>
      </c>
      <c r="K417" s="12">
        <v>113.27</v>
      </c>
      <c r="L417" s="12">
        <v>1132.7</v>
      </c>
      <c r="M417" s="12">
        <v>0</v>
      </c>
      <c r="N417" s="12">
        <v>0</v>
      </c>
      <c r="O417" s="12">
        <v>147.251463</v>
      </c>
      <c r="P417" s="12">
        <v>1279.9514630000001</v>
      </c>
    </row>
    <row r="418" spans="1:16" ht="14.5" x14ac:dyDescent="0.25">
      <c r="A418" s="10">
        <v>45802</v>
      </c>
      <c r="B418" s="2" t="str">
        <f t="shared" si="12"/>
        <v>May-2025</v>
      </c>
      <c r="C418" s="2" t="str">
        <f t="shared" si="13"/>
        <v>Q1</v>
      </c>
      <c r="D418" s="2" t="s">
        <v>28</v>
      </c>
      <c r="E418" s="11" t="s">
        <v>143</v>
      </c>
      <c r="F418" s="11" t="s">
        <v>104</v>
      </c>
      <c r="G418" s="11" t="s">
        <v>503</v>
      </c>
      <c r="H418" s="11" t="s">
        <v>45</v>
      </c>
      <c r="I418" s="12">
        <v>0.06</v>
      </c>
      <c r="J418" s="12">
        <v>10</v>
      </c>
      <c r="K418" s="12">
        <v>67.260000000000005</v>
      </c>
      <c r="L418" s="12">
        <v>672.6</v>
      </c>
      <c r="M418" s="12">
        <v>0</v>
      </c>
      <c r="N418" s="12">
        <v>0</v>
      </c>
      <c r="O418" s="12">
        <v>87.438275000000004</v>
      </c>
      <c r="P418" s="12">
        <v>760.038275</v>
      </c>
    </row>
    <row r="419" spans="1:16" ht="14.5" x14ac:dyDescent="0.25">
      <c r="A419" s="10">
        <v>45802</v>
      </c>
      <c r="B419" s="2" t="str">
        <f t="shared" si="12"/>
        <v>May-2025</v>
      </c>
      <c r="C419" s="2" t="str">
        <f t="shared" si="13"/>
        <v>Q1</v>
      </c>
      <c r="D419" s="2" t="s">
        <v>28</v>
      </c>
      <c r="E419" s="11" t="s">
        <v>143</v>
      </c>
      <c r="F419" s="11" t="s">
        <v>104</v>
      </c>
      <c r="G419" s="11" t="s">
        <v>503</v>
      </c>
      <c r="H419" s="11" t="s">
        <v>47</v>
      </c>
      <c r="I419" s="12">
        <v>0.19</v>
      </c>
      <c r="J419" s="12">
        <v>23</v>
      </c>
      <c r="K419" s="12">
        <v>127.43</v>
      </c>
      <c r="L419" s="12">
        <v>2930.89</v>
      </c>
      <c r="M419" s="12">
        <v>0</v>
      </c>
      <c r="N419" s="12">
        <v>0</v>
      </c>
      <c r="O419" s="12">
        <v>381.01689799999997</v>
      </c>
      <c r="P419" s="12">
        <v>3311.9068980000002</v>
      </c>
    </row>
    <row r="420" spans="1:16" ht="14.5" x14ac:dyDescent="0.25">
      <c r="A420" s="10">
        <v>45802</v>
      </c>
      <c r="B420" s="2" t="str">
        <f t="shared" si="12"/>
        <v>May-2025</v>
      </c>
      <c r="C420" s="2" t="str">
        <f t="shared" si="13"/>
        <v>Q1</v>
      </c>
      <c r="D420" s="2" t="s">
        <v>28</v>
      </c>
      <c r="E420" s="11" t="s">
        <v>144</v>
      </c>
      <c r="F420" s="11" t="s">
        <v>38</v>
      </c>
      <c r="G420" s="11" t="s">
        <v>504</v>
      </c>
      <c r="H420" s="11" t="s">
        <v>67</v>
      </c>
      <c r="I420" s="12">
        <v>0.06</v>
      </c>
      <c r="J420" s="12">
        <v>2</v>
      </c>
      <c r="K420" s="12">
        <v>459.72</v>
      </c>
      <c r="L420" s="12">
        <v>919.44</v>
      </c>
      <c r="M420" s="12">
        <v>-83.58</v>
      </c>
      <c r="N420" s="12">
        <v>0</v>
      </c>
      <c r="O420" s="12">
        <v>108.659459</v>
      </c>
      <c r="P420" s="12">
        <v>944.51945899999998</v>
      </c>
    </row>
    <row r="421" spans="1:16" ht="14.5" x14ac:dyDescent="0.25">
      <c r="A421" s="10">
        <v>45802</v>
      </c>
      <c r="B421" s="2" t="str">
        <f t="shared" si="12"/>
        <v>May-2025</v>
      </c>
      <c r="C421" s="2" t="str">
        <f t="shared" si="13"/>
        <v>Q1</v>
      </c>
      <c r="D421" s="2" t="s">
        <v>28</v>
      </c>
      <c r="E421" s="11" t="s">
        <v>144</v>
      </c>
      <c r="F421" s="11" t="s">
        <v>38</v>
      </c>
      <c r="G421" s="11" t="s">
        <v>507</v>
      </c>
      <c r="H421" s="11" t="s">
        <v>60</v>
      </c>
      <c r="I421" s="12">
        <v>0.03</v>
      </c>
      <c r="J421" s="12">
        <v>2</v>
      </c>
      <c r="K421" s="12">
        <v>109.71</v>
      </c>
      <c r="L421" s="12">
        <v>219.42</v>
      </c>
      <c r="M421" s="12">
        <v>-19.95</v>
      </c>
      <c r="N421" s="12">
        <v>0</v>
      </c>
      <c r="O421" s="12">
        <v>25.930541000000002</v>
      </c>
      <c r="P421" s="12">
        <v>225.400541</v>
      </c>
    </row>
    <row r="422" spans="1:16" ht="14.5" x14ac:dyDescent="0.25">
      <c r="A422" s="10">
        <v>45802</v>
      </c>
      <c r="B422" s="2" t="str">
        <f t="shared" ref="B422:B485" si="14">+TEXT(A422,"MMM-yyy")</f>
        <v>May-2025</v>
      </c>
      <c r="C422" s="2" t="str">
        <f t="shared" ref="C422:C485" si="15">"Q" &amp; CHOOSE(MONTH(A422),4,4,4,1,1,1,2,2,2,3,3,3)</f>
        <v>Q1</v>
      </c>
      <c r="D422" s="2" t="s">
        <v>28</v>
      </c>
      <c r="E422" s="11" t="s">
        <v>145</v>
      </c>
      <c r="F422" s="11" t="s">
        <v>38</v>
      </c>
      <c r="G422" s="11" t="s">
        <v>504</v>
      </c>
      <c r="H422" s="11" t="s">
        <v>61</v>
      </c>
      <c r="I422" s="12">
        <v>0.06</v>
      </c>
      <c r="J422" s="12">
        <v>2</v>
      </c>
      <c r="K422" s="12">
        <v>309.39999999999998</v>
      </c>
      <c r="L422" s="12">
        <v>618.79999999999995</v>
      </c>
      <c r="M422" s="12">
        <v>-56.25</v>
      </c>
      <c r="N422" s="12">
        <v>0</v>
      </c>
      <c r="O422" s="12">
        <v>0</v>
      </c>
      <c r="P422" s="12">
        <v>562.54999999999995</v>
      </c>
    </row>
    <row r="423" spans="1:16" ht="14.5" x14ac:dyDescent="0.25">
      <c r="A423" s="10">
        <v>45811</v>
      </c>
      <c r="B423" s="2" t="str">
        <f t="shared" si="14"/>
        <v>Jun-2025</v>
      </c>
      <c r="C423" s="2" t="str">
        <f t="shared" si="15"/>
        <v>Q1</v>
      </c>
      <c r="D423" s="2" t="s">
        <v>28</v>
      </c>
      <c r="E423" s="11" t="s">
        <v>146</v>
      </c>
      <c r="F423" s="11" t="s">
        <v>104</v>
      </c>
      <c r="G423" s="11" t="s">
        <v>503</v>
      </c>
      <c r="H423" s="11" t="s">
        <v>57</v>
      </c>
      <c r="I423" s="12">
        <v>0.06</v>
      </c>
      <c r="J423" s="12">
        <v>10</v>
      </c>
      <c r="K423" s="12">
        <v>127.43</v>
      </c>
      <c r="L423" s="12">
        <v>1274.3000000000002</v>
      </c>
      <c r="M423" s="12">
        <v>0</v>
      </c>
      <c r="N423" s="12">
        <v>0</v>
      </c>
      <c r="O423" s="12">
        <v>165.66</v>
      </c>
      <c r="P423" s="12">
        <v>1439.96</v>
      </c>
    </row>
    <row r="424" spans="1:16" ht="14.5" x14ac:dyDescent="0.25">
      <c r="A424" s="10">
        <v>45811</v>
      </c>
      <c r="B424" s="2" t="str">
        <f t="shared" si="14"/>
        <v>Jun-2025</v>
      </c>
      <c r="C424" s="2" t="str">
        <f t="shared" si="15"/>
        <v>Q1</v>
      </c>
      <c r="D424" s="2" t="s">
        <v>28</v>
      </c>
      <c r="E424" s="11" t="s">
        <v>147</v>
      </c>
      <c r="F424" s="11" t="s">
        <v>104</v>
      </c>
      <c r="G424" s="11" t="s">
        <v>504</v>
      </c>
      <c r="H424" s="11" t="s">
        <v>53</v>
      </c>
      <c r="I424" s="12">
        <v>0.1</v>
      </c>
      <c r="J424" s="12">
        <v>10</v>
      </c>
      <c r="K424" s="12">
        <v>136</v>
      </c>
      <c r="L424" s="12">
        <v>1360</v>
      </c>
      <c r="M424" s="12" t="s">
        <v>113</v>
      </c>
      <c r="N424" s="12" t="s">
        <v>113</v>
      </c>
      <c r="O424" s="12" t="s">
        <v>113</v>
      </c>
      <c r="P424" s="12">
        <v>1360</v>
      </c>
    </row>
    <row r="425" spans="1:16" ht="14.5" x14ac:dyDescent="0.25">
      <c r="A425" s="10">
        <v>45811</v>
      </c>
      <c r="B425" s="2" t="str">
        <f t="shared" si="14"/>
        <v>Jun-2025</v>
      </c>
      <c r="C425" s="2" t="str">
        <f t="shared" si="15"/>
        <v>Q1</v>
      </c>
      <c r="D425" s="2" t="s">
        <v>28</v>
      </c>
      <c r="E425" s="11" t="s">
        <v>148</v>
      </c>
      <c r="F425" s="11" t="s">
        <v>15</v>
      </c>
      <c r="G425" s="11" t="s">
        <v>505</v>
      </c>
      <c r="H425" s="11" t="s">
        <v>40</v>
      </c>
      <c r="I425" s="12">
        <v>1</v>
      </c>
      <c r="J425" s="12">
        <v>180</v>
      </c>
      <c r="K425" s="12">
        <v>94.65</v>
      </c>
      <c r="L425" s="12">
        <v>17037</v>
      </c>
      <c r="M425" s="12">
        <v>-1548.6599999999999</v>
      </c>
      <c r="N425" s="12">
        <v>0</v>
      </c>
      <c r="O425" s="12">
        <v>2013.483491</v>
      </c>
      <c r="P425" s="12">
        <v>17501.823490999999</v>
      </c>
    </row>
    <row r="426" spans="1:16" ht="14.5" x14ac:dyDescent="0.25">
      <c r="A426" s="10">
        <v>45811</v>
      </c>
      <c r="B426" s="2" t="str">
        <f t="shared" si="14"/>
        <v>Jun-2025</v>
      </c>
      <c r="C426" s="2" t="str">
        <f t="shared" si="15"/>
        <v>Q1</v>
      </c>
      <c r="D426" s="2" t="s">
        <v>28</v>
      </c>
      <c r="E426" s="11" t="s">
        <v>148</v>
      </c>
      <c r="F426" s="11" t="s">
        <v>15</v>
      </c>
      <c r="G426" s="11" t="s">
        <v>503</v>
      </c>
      <c r="H426" s="11" t="s">
        <v>89</v>
      </c>
      <c r="I426" s="12">
        <v>1</v>
      </c>
      <c r="J426" s="12">
        <v>120</v>
      </c>
      <c r="K426" s="12">
        <v>118.31</v>
      </c>
      <c r="L426" s="12">
        <v>14197.199999999999</v>
      </c>
      <c r="M426" s="12">
        <v>-1290.53</v>
      </c>
      <c r="N426" s="12">
        <v>0</v>
      </c>
      <c r="O426" s="12">
        <v>1677.866509</v>
      </c>
      <c r="P426" s="12">
        <v>14584.536509</v>
      </c>
    </row>
    <row r="427" spans="1:16" ht="14.5" x14ac:dyDescent="0.25">
      <c r="A427" s="10">
        <v>45811</v>
      </c>
      <c r="B427" s="2" t="str">
        <f t="shared" si="14"/>
        <v>Jun-2025</v>
      </c>
      <c r="C427" s="2" t="str">
        <f t="shared" si="15"/>
        <v>Q1</v>
      </c>
      <c r="D427" s="2" t="s">
        <v>28</v>
      </c>
      <c r="E427" s="11" t="s">
        <v>149</v>
      </c>
      <c r="F427" s="11" t="s">
        <v>15</v>
      </c>
      <c r="G427" s="11" t="s">
        <v>504</v>
      </c>
      <c r="H427" s="11" t="s">
        <v>61</v>
      </c>
      <c r="I427" s="12">
        <v>0.9</v>
      </c>
      <c r="J427" s="12">
        <v>36</v>
      </c>
      <c r="K427" s="12">
        <v>309.39999999999998</v>
      </c>
      <c r="L427" s="12">
        <v>11138.400000000001</v>
      </c>
      <c r="M427" s="12">
        <v>-1012.48</v>
      </c>
      <c r="N427" s="12">
        <v>0</v>
      </c>
      <c r="O427" s="12">
        <v>0</v>
      </c>
      <c r="P427" s="12">
        <v>10125.92</v>
      </c>
    </row>
    <row r="428" spans="1:16" ht="14.5" x14ac:dyDescent="0.25">
      <c r="A428" s="10">
        <v>45816</v>
      </c>
      <c r="B428" s="2" t="str">
        <f t="shared" si="14"/>
        <v>Jun-2025</v>
      </c>
      <c r="C428" s="2" t="str">
        <f t="shared" si="15"/>
        <v>Q1</v>
      </c>
      <c r="D428" s="2" t="s">
        <v>28</v>
      </c>
      <c r="E428" s="11" t="s">
        <v>150</v>
      </c>
      <c r="F428" s="11" t="s">
        <v>151</v>
      </c>
      <c r="G428" s="11" t="s">
        <v>504</v>
      </c>
      <c r="H428" s="11" t="s">
        <v>53</v>
      </c>
      <c r="I428" s="12">
        <v>1</v>
      </c>
      <c r="J428" s="12">
        <v>100</v>
      </c>
      <c r="K428" s="12">
        <v>119</v>
      </c>
      <c r="L428" s="12">
        <v>11900.000000000002</v>
      </c>
      <c r="M428" s="12" t="s">
        <v>113</v>
      </c>
      <c r="N428" s="12" t="s">
        <v>113</v>
      </c>
      <c r="O428" s="12" t="s">
        <v>113</v>
      </c>
      <c r="P428" s="12">
        <v>11900</v>
      </c>
    </row>
    <row r="429" spans="1:16" ht="14.5" x14ac:dyDescent="0.25">
      <c r="A429" s="10">
        <v>45816</v>
      </c>
      <c r="B429" s="2" t="str">
        <f t="shared" si="14"/>
        <v>Jun-2025</v>
      </c>
      <c r="C429" s="2" t="str">
        <f t="shared" si="15"/>
        <v>Q1</v>
      </c>
      <c r="D429" s="2" t="s">
        <v>28</v>
      </c>
      <c r="E429" s="11" t="s">
        <v>150</v>
      </c>
      <c r="F429" s="11" t="s">
        <v>151</v>
      </c>
      <c r="G429" s="11" t="s">
        <v>504</v>
      </c>
      <c r="H429" s="11" t="s">
        <v>61</v>
      </c>
      <c r="I429" s="12">
        <v>1</v>
      </c>
      <c r="J429" s="12">
        <v>40</v>
      </c>
      <c r="K429" s="12">
        <v>283.5</v>
      </c>
      <c r="L429" s="12">
        <v>11340.000000000002</v>
      </c>
      <c r="M429" s="12" t="s">
        <v>113</v>
      </c>
      <c r="N429" s="12" t="s">
        <v>113</v>
      </c>
      <c r="O429" s="12" t="s">
        <v>113</v>
      </c>
      <c r="P429" s="12">
        <v>11340</v>
      </c>
    </row>
    <row r="430" spans="1:16" ht="14.5" x14ac:dyDescent="0.25">
      <c r="A430" s="10">
        <v>45816</v>
      </c>
      <c r="B430" s="2" t="str">
        <f t="shared" si="14"/>
        <v>Jun-2025</v>
      </c>
      <c r="C430" s="2" t="str">
        <f t="shared" si="15"/>
        <v>Q1</v>
      </c>
      <c r="D430" s="2" t="s">
        <v>28</v>
      </c>
      <c r="E430" s="11" t="s">
        <v>150</v>
      </c>
      <c r="F430" s="11" t="s">
        <v>151</v>
      </c>
      <c r="G430" s="11" t="s">
        <v>504</v>
      </c>
      <c r="H430" s="11" t="s">
        <v>53</v>
      </c>
      <c r="I430" s="12">
        <v>1</v>
      </c>
      <c r="J430" s="12">
        <v>100</v>
      </c>
      <c r="K430" s="12">
        <v>119</v>
      </c>
      <c r="L430" s="12">
        <v>11900.000000000002</v>
      </c>
      <c r="M430" s="12" t="s">
        <v>113</v>
      </c>
      <c r="N430" s="12" t="s">
        <v>113</v>
      </c>
      <c r="O430" s="12" t="s">
        <v>113</v>
      </c>
      <c r="P430" s="12">
        <v>11900</v>
      </c>
    </row>
    <row r="431" spans="1:16" ht="14.5" x14ac:dyDescent="0.25">
      <c r="A431" s="10">
        <v>45816</v>
      </c>
      <c r="B431" s="2" t="str">
        <f t="shared" si="14"/>
        <v>Jun-2025</v>
      </c>
      <c r="C431" s="2" t="str">
        <f t="shared" si="15"/>
        <v>Q1</v>
      </c>
      <c r="D431" s="2" t="s">
        <v>28</v>
      </c>
      <c r="E431" s="11" t="s">
        <v>150</v>
      </c>
      <c r="F431" s="11" t="s">
        <v>151</v>
      </c>
      <c r="G431" s="11" t="s">
        <v>504</v>
      </c>
      <c r="H431" s="11" t="s">
        <v>61</v>
      </c>
      <c r="I431" s="12">
        <v>1</v>
      </c>
      <c r="J431" s="12">
        <v>40</v>
      </c>
      <c r="K431" s="12">
        <v>283.5</v>
      </c>
      <c r="L431" s="12">
        <v>11340.000000000002</v>
      </c>
      <c r="M431" s="12" t="s">
        <v>113</v>
      </c>
      <c r="N431" s="12" t="s">
        <v>113</v>
      </c>
      <c r="O431" s="12" t="s">
        <v>113</v>
      </c>
      <c r="P431" s="12">
        <v>11340</v>
      </c>
    </row>
    <row r="432" spans="1:16" ht="14.5" x14ac:dyDescent="0.25">
      <c r="A432" s="10">
        <v>45816</v>
      </c>
      <c r="B432" s="2" t="str">
        <f t="shared" si="14"/>
        <v>Jun-2025</v>
      </c>
      <c r="C432" s="2" t="str">
        <f t="shared" si="15"/>
        <v>Q1</v>
      </c>
      <c r="D432" s="2" t="s">
        <v>28</v>
      </c>
      <c r="E432" s="11" t="s">
        <v>152</v>
      </c>
      <c r="F432" s="11" t="s">
        <v>151</v>
      </c>
      <c r="G432" s="11" t="s">
        <v>503</v>
      </c>
      <c r="H432" s="11" t="s">
        <v>46</v>
      </c>
      <c r="I432" s="12">
        <v>5.5</v>
      </c>
      <c r="J432" s="12">
        <v>660</v>
      </c>
      <c r="K432" s="12">
        <v>111.5</v>
      </c>
      <c r="L432" s="12">
        <v>73590</v>
      </c>
      <c r="M432" s="12">
        <v>0</v>
      </c>
      <c r="N432" s="12">
        <v>0</v>
      </c>
      <c r="O432" s="12">
        <v>9566.7000789999984</v>
      </c>
      <c r="P432" s="12">
        <v>83156.700079000002</v>
      </c>
    </row>
    <row r="433" spans="1:16" ht="14.5" x14ac:dyDescent="0.25">
      <c r="A433" s="10">
        <v>45816</v>
      </c>
      <c r="B433" s="2" t="str">
        <f t="shared" si="14"/>
        <v>Jun-2025</v>
      </c>
      <c r="C433" s="2" t="str">
        <f t="shared" si="15"/>
        <v>Q1</v>
      </c>
      <c r="D433" s="2" t="s">
        <v>28</v>
      </c>
      <c r="E433" s="11" t="s">
        <v>152</v>
      </c>
      <c r="F433" s="11" t="s">
        <v>151</v>
      </c>
      <c r="G433" s="11" t="s">
        <v>503</v>
      </c>
      <c r="H433" s="11" t="s">
        <v>89</v>
      </c>
      <c r="I433" s="12">
        <v>10.5</v>
      </c>
      <c r="J433" s="12">
        <v>1260</v>
      </c>
      <c r="K433" s="12">
        <v>108.41</v>
      </c>
      <c r="L433" s="12">
        <v>136596.6</v>
      </c>
      <c r="M433" s="12">
        <v>0</v>
      </c>
      <c r="N433" s="12">
        <v>0</v>
      </c>
      <c r="O433" s="12">
        <v>17757.558147</v>
      </c>
      <c r="P433" s="12">
        <v>154354.15814700001</v>
      </c>
    </row>
    <row r="434" spans="1:16" ht="14.5" x14ac:dyDescent="0.25">
      <c r="A434" s="10">
        <v>45816</v>
      </c>
      <c r="B434" s="2" t="str">
        <f t="shared" si="14"/>
        <v>Jun-2025</v>
      </c>
      <c r="C434" s="2" t="str">
        <f t="shared" si="15"/>
        <v>Q1</v>
      </c>
      <c r="D434" s="2" t="s">
        <v>28</v>
      </c>
      <c r="E434" s="11" t="s">
        <v>152</v>
      </c>
      <c r="F434" s="11" t="s">
        <v>151</v>
      </c>
      <c r="G434" s="11" t="s">
        <v>503</v>
      </c>
      <c r="H434" s="11" t="s">
        <v>45</v>
      </c>
      <c r="I434" s="12">
        <v>9.5</v>
      </c>
      <c r="J434" s="12">
        <v>1710</v>
      </c>
      <c r="K434" s="12">
        <v>58.85</v>
      </c>
      <c r="L434" s="12">
        <v>100633.49999999999</v>
      </c>
      <c r="M434" s="12">
        <v>0</v>
      </c>
      <c r="N434" s="12">
        <v>0</v>
      </c>
      <c r="O434" s="12">
        <v>13082.355109</v>
      </c>
      <c r="P434" s="12">
        <v>113715.855109</v>
      </c>
    </row>
    <row r="435" spans="1:16" ht="14.5" x14ac:dyDescent="0.25">
      <c r="A435" s="10">
        <v>45816</v>
      </c>
      <c r="B435" s="2" t="str">
        <f t="shared" si="14"/>
        <v>Jun-2025</v>
      </c>
      <c r="C435" s="2" t="str">
        <f t="shared" si="15"/>
        <v>Q1</v>
      </c>
      <c r="D435" s="2" t="s">
        <v>28</v>
      </c>
      <c r="E435" s="11" t="s">
        <v>152</v>
      </c>
      <c r="F435" s="11" t="s">
        <v>151</v>
      </c>
      <c r="G435" s="11" t="s">
        <v>503</v>
      </c>
      <c r="H435" s="11" t="s">
        <v>87</v>
      </c>
      <c r="I435" s="12">
        <v>6</v>
      </c>
      <c r="J435" s="12">
        <v>1080</v>
      </c>
      <c r="K435" s="12">
        <v>105.31</v>
      </c>
      <c r="L435" s="12">
        <v>113734.8</v>
      </c>
      <c r="M435" s="12">
        <v>0</v>
      </c>
      <c r="N435" s="12">
        <v>0</v>
      </c>
      <c r="O435" s="12">
        <v>14785.524122999999</v>
      </c>
      <c r="P435" s="12">
        <v>128520.324123</v>
      </c>
    </row>
    <row r="436" spans="1:16" ht="14.5" x14ac:dyDescent="0.25">
      <c r="A436" s="10">
        <v>45816</v>
      </c>
      <c r="B436" s="2" t="str">
        <f t="shared" si="14"/>
        <v>Jun-2025</v>
      </c>
      <c r="C436" s="2" t="str">
        <f t="shared" si="15"/>
        <v>Q1</v>
      </c>
      <c r="D436" s="2" t="s">
        <v>28</v>
      </c>
      <c r="E436" s="11" t="s">
        <v>152</v>
      </c>
      <c r="F436" s="11" t="s">
        <v>151</v>
      </c>
      <c r="G436" s="11" t="s">
        <v>503</v>
      </c>
      <c r="H436" s="11" t="s">
        <v>47</v>
      </c>
      <c r="I436" s="12">
        <v>9.5</v>
      </c>
      <c r="J436" s="12">
        <v>1140</v>
      </c>
      <c r="K436" s="12">
        <v>111.5</v>
      </c>
      <c r="L436" s="12">
        <v>127110</v>
      </c>
      <c r="M436" s="12">
        <v>0</v>
      </c>
      <c r="N436" s="12">
        <v>0</v>
      </c>
      <c r="O436" s="12">
        <v>16524.300136999998</v>
      </c>
      <c r="P436" s="12">
        <v>143634.30013700001</v>
      </c>
    </row>
    <row r="437" spans="1:16" ht="14.5" x14ac:dyDescent="0.25">
      <c r="A437" s="10">
        <v>45816</v>
      </c>
      <c r="B437" s="2" t="str">
        <f t="shared" si="14"/>
        <v>Jun-2025</v>
      </c>
      <c r="C437" s="2" t="str">
        <f t="shared" si="15"/>
        <v>Q1</v>
      </c>
      <c r="D437" s="2" t="s">
        <v>28</v>
      </c>
      <c r="E437" s="11" t="s">
        <v>152</v>
      </c>
      <c r="F437" s="11" t="s">
        <v>151</v>
      </c>
      <c r="G437" s="11" t="s">
        <v>503</v>
      </c>
      <c r="H437" s="11" t="s">
        <v>57</v>
      </c>
      <c r="I437" s="12">
        <v>9.5</v>
      </c>
      <c r="J437" s="12">
        <v>1710</v>
      </c>
      <c r="K437" s="12">
        <v>111.5</v>
      </c>
      <c r="L437" s="12">
        <v>190665</v>
      </c>
      <c r="M437" s="12">
        <v>0</v>
      </c>
      <c r="N437" s="12">
        <v>0</v>
      </c>
      <c r="O437" s="12">
        <v>24786.450205999998</v>
      </c>
      <c r="P437" s="12">
        <v>215451.45020600001</v>
      </c>
    </row>
    <row r="438" spans="1:16" ht="14.5" x14ac:dyDescent="0.25">
      <c r="A438" s="10">
        <v>45816</v>
      </c>
      <c r="B438" s="2" t="str">
        <f t="shared" si="14"/>
        <v>Jun-2025</v>
      </c>
      <c r="C438" s="2" t="str">
        <f t="shared" si="15"/>
        <v>Q1</v>
      </c>
      <c r="D438" s="2" t="s">
        <v>28</v>
      </c>
      <c r="E438" s="11" t="s">
        <v>152</v>
      </c>
      <c r="F438" s="11" t="s">
        <v>151</v>
      </c>
      <c r="G438" s="11" t="s">
        <v>503</v>
      </c>
      <c r="H438" s="11" t="s">
        <v>52</v>
      </c>
      <c r="I438" s="12">
        <v>9.5</v>
      </c>
      <c r="J438" s="12">
        <v>1710</v>
      </c>
      <c r="K438" s="12">
        <v>65.040000000000006</v>
      </c>
      <c r="L438" s="12">
        <v>111218.40000000001</v>
      </c>
      <c r="M438" s="12">
        <v>0</v>
      </c>
      <c r="N438" s="12">
        <v>0</v>
      </c>
      <c r="O438" s="12">
        <v>14458.39212</v>
      </c>
      <c r="P438" s="12">
        <v>125676.79212</v>
      </c>
    </row>
    <row r="439" spans="1:16" ht="14.5" x14ac:dyDescent="0.25">
      <c r="A439" s="10">
        <v>45816</v>
      </c>
      <c r="B439" s="2" t="str">
        <f t="shared" si="14"/>
        <v>Jun-2025</v>
      </c>
      <c r="C439" s="2" t="str">
        <f t="shared" si="15"/>
        <v>Q1</v>
      </c>
      <c r="D439" s="2" t="s">
        <v>28</v>
      </c>
      <c r="E439" s="11" t="s">
        <v>152</v>
      </c>
      <c r="F439" s="11" t="s">
        <v>151</v>
      </c>
      <c r="G439" s="11" t="s">
        <v>505</v>
      </c>
      <c r="H439" s="11" t="s">
        <v>40</v>
      </c>
      <c r="I439" s="12">
        <v>9.5</v>
      </c>
      <c r="J439" s="12">
        <v>1710</v>
      </c>
      <c r="K439" s="12">
        <v>86.73</v>
      </c>
      <c r="L439" s="12">
        <v>148308.29999999999</v>
      </c>
      <c r="M439" s="12">
        <v>0</v>
      </c>
      <c r="N439" s="12">
        <v>0</v>
      </c>
      <c r="O439" s="12">
        <v>19280.079160000001</v>
      </c>
      <c r="P439" s="12">
        <v>167588.37916000001</v>
      </c>
    </row>
    <row r="440" spans="1:16" ht="14.5" x14ac:dyDescent="0.25">
      <c r="A440" s="10">
        <v>45816</v>
      </c>
      <c r="B440" s="2" t="str">
        <f t="shared" si="14"/>
        <v>Jun-2025</v>
      </c>
      <c r="C440" s="2" t="str">
        <f t="shared" si="15"/>
        <v>Q1</v>
      </c>
      <c r="D440" s="2" t="s">
        <v>28</v>
      </c>
      <c r="E440" s="11" t="s">
        <v>152</v>
      </c>
      <c r="F440" s="11" t="s">
        <v>151</v>
      </c>
      <c r="G440" s="11" t="s">
        <v>503</v>
      </c>
      <c r="H440" s="11" t="s">
        <v>48</v>
      </c>
      <c r="I440" s="12">
        <v>9.5</v>
      </c>
      <c r="J440" s="12">
        <v>1710</v>
      </c>
      <c r="K440" s="12">
        <v>123.89</v>
      </c>
      <c r="L440" s="12">
        <v>211851.90000000002</v>
      </c>
      <c r="M440" s="12">
        <v>0</v>
      </c>
      <c r="N440" s="12">
        <v>0</v>
      </c>
      <c r="O440" s="12">
        <v>27540.747229000001</v>
      </c>
      <c r="P440" s="12">
        <v>239392.64722899999</v>
      </c>
    </row>
    <row r="441" spans="1:16" ht="14.5" x14ac:dyDescent="0.25">
      <c r="A441" s="10">
        <v>45816</v>
      </c>
      <c r="B441" s="2" t="str">
        <f t="shared" si="14"/>
        <v>Jun-2025</v>
      </c>
      <c r="C441" s="2" t="str">
        <f t="shared" si="15"/>
        <v>Q1</v>
      </c>
      <c r="D441" s="2" t="s">
        <v>28</v>
      </c>
      <c r="E441" s="11" t="s">
        <v>152</v>
      </c>
      <c r="F441" s="11" t="s">
        <v>151</v>
      </c>
      <c r="G441" s="11" t="s">
        <v>505</v>
      </c>
      <c r="H441" s="11" t="s">
        <v>49</v>
      </c>
      <c r="I441" s="12">
        <v>2.5</v>
      </c>
      <c r="J441" s="12">
        <v>450</v>
      </c>
      <c r="K441" s="12">
        <v>167.26</v>
      </c>
      <c r="L441" s="12">
        <v>75267</v>
      </c>
      <c r="M441" s="12">
        <v>0</v>
      </c>
      <c r="N441" s="12">
        <v>0</v>
      </c>
      <c r="O441" s="12">
        <v>9784.7100809999993</v>
      </c>
      <c r="P441" s="12">
        <v>85051.710080999997</v>
      </c>
    </row>
    <row r="442" spans="1:16" ht="14.5" x14ac:dyDescent="0.25">
      <c r="A442" s="10">
        <v>45816</v>
      </c>
      <c r="B442" s="2" t="str">
        <f t="shared" si="14"/>
        <v>Jun-2025</v>
      </c>
      <c r="C442" s="2" t="str">
        <f t="shared" si="15"/>
        <v>Q1</v>
      </c>
      <c r="D442" s="2" t="s">
        <v>28</v>
      </c>
      <c r="E442" s="11" t="s">
        <v>152</v>
      </c>
      <c r="F442" s="11" t="s">
        <v>151</v>
      </c>
      <c r="G442" s="11" t="s">
        <v>503</v>
      </c>
      <c r="H442" s="11" t="s">
        <v>44</v>
      </c>
      <c r="I442" s="12">
        <v>4.83</v>
      </c>
      <c r="J442" s="12">
        <v>870</v>
      </c>
      <c r="K442" s="12">
        <v>142.47999999999999</v>
      </c>
      <c r="L442" s="12">
        <v>123957.6</v>
      </c>
      <c r="M442" s="12">
        <v>0</v>
      </c>
      <c r="N442" s="12">
        <v>0</v>
      </c>
      <c r="O442" s="12">
        <v>16114.488134000001</v>
      </c>
      <c r="P442" s="12">
        <v>140072.08813399999</v>
      </c>
    </row>
    <row r="443" spans="1:16" ht="14.5" x14ac:dyDescent="0.25">
      <c r="A443" s="10">
        <v>45816</v>
      </c>
      <c r="B443" s="2" t="str">
        <f t="shared" si="14"/>
        <v>Jun-2025</v>
      </c>
      <c r="C443" s="2" t="str">
        <f t="shared" si="15"/>
        <v>Q1</v>
      </c>
      <c r="D443" s="2" t="s">
        <v>28</v>
      </c>
      <c r="E443" s="11" t="s">
        <v>152</v>
      </c>
      <c r="F443" s="11" t="s">
        <v>151</v>
      </c>
      <c r="G443" s="11" t="s">
        <v>505</v>
      </c>
      <c r="H443" s="11" t="s">
        <v>55</v>
      </c>
      <c r="I443" s="12">
        <v>3.79</v>
      </c>
      <c r="J443" s="12">
        <v>455</v>
      </c>
      <c r="K443" s="12">
        <v>139.38</v>
      </c>
      <c r="L443" s="12">
        <v>63417.9</v>
      </c>
      <c r="M443" s="12">
        <v>0</v>
      </c>
      <c r="N443" s="12">
        <v>0</v>
      </c>
      <c r="O443" s="12">
        <v>8244.3270680000005</v>
      </c>
      <c r="P443" s="12">
        <v>71662.227067999993</v>
      </c>
    </row>
    <row r="444" spans="1:16" ht="14.5" x14ac:dyDescent="0.25">
      <c r="A444" s="10">
        <v>45816</v>
      </c>
      <c r="B444" s="2" t="str">
        <f t="shared" si="14"/>
        <v>Jun-2025</v>
      </c>
      <c r="C444" s="2" t="str">
        <f t="shared" si="15"/>
        <v>Q1</v>
      </c>
      <c r="D444" s="2" t="s">
        <v>28</v>
      </c>
      <c r="E444" s="11" t="s">
        <v>152</v>
      </c>
      <c r="F444" s="11" t="s">
        <v>151</v>
      </c>
      <c r="G444" s="11" t="s">
        <v>505</v>
      </c>
      <c r="H444" s="11" t="s">
        <v>55</v>
      </c>
      <c r="I444" s="12">
        <v>1.88</v>
      </c>
      <c r="J444" s="12">
        <v>225</v>
      </c>
      <c r="K444" s="12">
        <v>139.38</v>
      </c>
      <c r="L444" s="12">
        <v>31360.5</v>
      </c>
      <c r="M444" s="12">
        <v>0</v>
      </c>
      <c r="N444" s="12">
        <v>0</v>
      </c>
      <c r="O444" s="12">
        <v>4076.8650339999999</v>
      </c>
      <c r="P444" s="12">
        <v>35437.365034000002</v>
      </c>
    </row>
    <row r="445" spans="1:16" ht="14.5" x14ac:dyDescent="0.25">
      <c r="A445" s="10">
        <v>45816</v>
      </c>
      <c r="B445" s="2" t="str">
        <f t="shared" si="14"/>
        <v>Jun-2025</v>
      </c>
      <c r="C445" s="2" t="str">
        <f t="shared" si="15"/>
        <v>Q1</v>
      </c>
      <c r="D445" s="2" t="s">
        <v>28</v>
      </c>
      <c r="E445" s="11" t="s">
        <v>152</v>
      </c>
      <c r="F445" s="11" t="s">
        <v>151</v>
      </c>
      <c r="G445" s="11" t="s">
        <v>503</v>
      </c>
      <c r="H445" s="11" t="s">
        <v>41</v>
      </c>
      <c r="I445" s="12">
        <v>9.5</v>
      </c>
      <c r="J445" s="12">
        <v>1710</v>
      </c>
      <c r="K445" s="12">
        <v>55.75</v>
      </c>
      <c r="L445" s="12">
        <v>95332.5</v>
      </c>
      <c r="M445" s="12">
        <v>0</v>
      </c>
      <c r="N445" s="12">
        <v>0</v>
      </c>
      <c r="O445" s="12">
        <v>12393.225102999999</v>
      </c>
      <c r="P445" s="12">
        <v>107725.725103</v>
      </c>
    </row>
    <row r="446" spans="1:16" ht="14.5" x14ac:dyDescent="0.25">
      <c r="A446" s="10">
        <v>45816</v>
      </c>
      <c r="B446" s="2" t="str">
        <f t="shared" si="14"/>
        <v>Jun-2025</v>
      </c>
      <c r="C446" s="2" t="str">
        <f t="shared" si="15"/>
        <v>Q1</v>
      </c>
      <c r="D446" s="2" t="s">
        <v>28</v>
      </c>
      <c r="E446" s="11" t="s">
        <v>152</v>
      </c>
      <c r="F446" s="11" t="s">
        <v>151</v>
      </c>
      <c r="G446" s="11" t="s">
        <v>505</v>
      </c>
      <c r="H446" s="11" t="s">
        <v>43</v>
      </c>
      <c r="I446" s="12">
        <v>2</v>
      </c>
      <c r="J446" s="12">
        <v>80</v>
      </c>
      <c r="K446" s="12">
        <v>272.57</v>
      </c>
      <c r="L446" s="12">
        <v>21805.599999999999</v>
      </c>
      <c r="M446" s="12">
        <v>0</v>
      </c>
      <c r="N446" s="12">
        <v>0</v>
      </c>
      <c r="O446" s="12">
        <v>2834.728024</v>
      </c>
      <c r="P446" s="12">
        <v>24640.328023999999</v>
      </c>
    </row>
    <row r="447" spans="1:16" ht="14.5" x14ac:dyDescent="0.25">
      <c r="A447" s="10">
        <v>45816</v>
      </c>
      <c r="B447" s="2" t="str">
        <f t="shared" si="14"/>
        <v>Jun-2025</v>
      </c>
      <c r="C447" s="2" t="str">
        <f t="shared" si="15"/>
        <v>Q1</v>
      </c>
      <c r="D447" s="2" t="s">
        <v>28</v>
      </c>
      <c r="E447" s="11" t="s">
        <v>152</v>
      </c>
      <c r="F447" s="11" t="s">
        <v>151</v>
      </c>
      <c r="G447" s="11" t="s">
        <v>503</v>
      </c>
      <c r="H447" s="11" t="s">
        <v>63</v>
      </c>
      <c r="I447" s="12">
        <v>2</v>
      </c>
      <c r="J447" s="12">
        <v>160</v>
      </c>
      <c r="K447" s="12">
        <v>173.45</v>
      </c>
      <c r="L447" s="12">
        <v>27751.999999999996</v>
      </c>
      <c r="M447" s="12">
        <v>0</v>
      </c>
      <c r="N447" s="12">
        <v>0</v>
      </c>
      <c r="O447" s="12">
        <v>3607.7600299999999</v>
      </c>
      <c r="P447" s="12">
        <v>31359.760030000001</v>
      </c>
    </row>
    <row r="448" spans="1:16" ht="14.5" x14ac:dyDescent="0.25">
      <c r="A448" s="10">
        <v>45816</v>
      </c>
      <c r="B448" s="2" t="str">
        <f t="shared" si="14"/>
        <v>Jun-2025</v>
      </c>
      <c r="C448" s="2" t="str">
        <f t="shared" si="15"/>
        <v>Q1</v>
      </c>
      <c r="D448" s="2" t="s">
        <v>28</v>
      </c>
      <c r="E448" s="11" t="s">
        <v>152</v>
      </c>
      <c r="F448" s="11" t="s">
        <v>151</v>
      </c>
      <c r="G448" s="11" t="s">
        <v>503</v>
      </c>
      <c r="H448" s="11" t="s">
        <v>51</v>
      </c>
      <c r="I448" s="12">
        <v>9.5</v>
      </c>
      <c r="J448" s="12">
        <v>1710</v>
      </c>
      <c r="K448" s="12">
        <v>58.85</v>
      </c>
      <c r="L448" s="12">
        <v>100633.49999999999</v>
      </c>
      <c r="M448" s="12">
        <v>0</v>
      </c>
      <c r="N448" s="12">
        <v>0</v>
      </c>
      <c r="O448" s="12">
        <v>13082.355109</v>
      </c>
      <c r="P448" s="12">
        <v>113715.855109</v>
      </c>
    </row>
    <row r="449" spans="1:16" ht="14.5" x14ac:dyDescent="0.25">
      <c r="A449" s="10">
        <v>45816</v>
      </c>
      <c r="B449" s="2" t="str">
        <f t="shared" si="14"/>
        <v>Jun-2025</v>
      </c>
      <c r="C449" s="2" t="str">
        <f t="shared" si="15"/>
        <v>Q1</v>
      </c>
      <c r="D449" s="2" t="s">
        <v>28</v>
      </c>
      <c r="E449" s="11" t="s">
        <v>152</v>
      </c>
      <c r="F449" s="11" t="s">
        <v>151</v>
      </c>
      <c r="G449" s="11" t="s">
        <v>503</v>
      </c>
      <c r="H449" s="11" t="s">
        <v>59</v>
      </c>
      <c r="I449" s="12">
        <v>9.5</v>
      </c>
      <c r="J449" s="12">
        <v>1710</v>
      </c>
      <c r="K449" s="12">
        <v>58.85</v>
      </c>
      <c r="L449" s="12">
        <v>100633.49999999999</v>
      </c>
      <c r="M449" s="12">
        <v>0</v>
      </c>
      <c r="N449" s="12">
        <v>0</v>
      </c>
      <c r="O449" s="12">
        <v>13082.355109</v>
      </c>
      <c r="P449" s="12">
        <v>113715.855109</v>
      </c>
    </row>
    <row r="450" spans="1:16" ht="14.5" x14ac:dyDescent="0.25">
      <c r="A450" s="10">
        <v>45816</v>
      </c>
      <c r="B450" s="2" t="str">
        <f t="shared" si="14"/>
        <v>Jun-2025</v>
      </c>
      <c r="C450" s="2" t="str">
        <f t="shared" si="15"/>
        <v>Q1</v>
      </c>
      <c r="D450" s="2" t="s">
        <v>28</v>
      </c>
      <c r="E450" s="11" t="s">
        <v>153</v>
      </c>
      <c r="F450" s="11" t="s">
        <v>151</v>
      </c>
      <c r="G450" s="11" t="s">
        <v>504</v>
      </c>
      <c r="H450" s="11" t="s">
        <v>66</v>
      </c>
      <c r="I450" s="12">
        <v>1</v>
      </c>
      <c r="J450" s="12">
        <v>100</v>
      </c>
      <c r="K450" s="12">
        <v>99.12</v>
      </c>
      <c r="L450" s="12">
        <v>9912</v>
      </c>
      <c r="M450" s="12">
        <v>0</v>
      </c>
      <c r="N450" s="12">
        <v>0</v>
      </c>
      <c r="O450" s="12">
        <v>1288.560313</v>
      </c>
      <c r="P450" s="12">
        <v>11200.560313</v>
      </c>
    </row>
    <row r="451" spans="1:16" ht="14.5" x14ac:dyDescent="0.25">
      <c r="A451" s="10">
        <v>45816</v>
      </c>
      <c r="B451" s="2" t="str">
        <f t="shared" si="14"/>
        <v>Jun-2025</v>
      </c>
      <c r="C451" s="2" t="str">
        <f t="shared" si="15"/>
        <v>Q1</v>
      </c>
      <c r="D451" s="2" t="s">
        <v>28</v>
      </c>
      <c r="E451" s="11" t="s">
        <v>153</v>
      </c>
      <c r="F451" s="11" t="s">
        <v>151</v>
      </c>
      <c r="G451" s="11" t="s">
        <v>504</v>
      </c>
      <c r="H451" s="11" t="s">
        <v>67</v>
      </c>
      <c r="I451" s="12">
        <v>1</v>
      </c>
      <c r="J451" s="12">
        <v>40</v>
      </c>
      <c r="K451" s="12">
        <v>421.24</v>
      </c>
      <c r="L451" s="12">
        <v>16849.599999999999</v>
      </c>
      <c r="M451" s="12">
        <v>0</v>
      </c>
      <c r="N451" s="12">
        <v>0</v>
      </c>
      <c r="O451" s="12">
        <v>2190.4485319999999</v>
      </c>
      <c r="P451" s="12">
        <v>19040.048532000001</v>
      </c>
    </row>
    <row r="452" spans="1:16" ht="14.5" x14ac:dyDescent="0.25">
      <c r="A452" s="10">
        <v>45816</v>
      </c>
      <c r="B452" s="2" t="str">
        <f t="shared" si="14"/>
        <v>Jun-2025</v>
      </c>
      <c r="C452" s="2" t="str">
        <f t="shared" si="15"/>
        <v>Q1</v>
      </c>
      <c r="D452" s="2" t="s">
        <v>28</v>
      </c>
      <c r="E452" s="11" t="s">
        <v>153</v>
      </c>
      <c r="F452" s="11" t="s">
        <v>151</v>
      </c>
      <c r="G452" s="11" t="s">
        <v>504</v>
      </c>
      <c r="H452" s="11" t="s">
        <v>66</v>
      </c>
      <c r="I452" s="12">
        <v>1</v>
      </c>
      <c r="J452" s="12">
        <v>100</v>
      </c>
      <c r="K452" s="12">
        <v>99.12</v>
      </c>
      <c r="L452" s="12">
        <v>9912</v>
      </c>
      <c r="M452" s="12">
        <v>0</v>
      </c>
      <c r="N452" s="12">
        <v>0</v>
      </c>
      <c r="O452" s="12">
        <v>1288.560313</v>
      </c>
      <c r="P452" s="12">
        <v>11200.560313</v>
      </c>
    </row>
    <row r="453" spans="1:16" ht="14.5" x14ac:dyDescent="0.25">
      <c r="A453" s="10">
        <v>45816</v>
      </c>
      <c r="B453" s="2" t="str">
        <f t="shared" si="14"/>
        <v>Jun-2025</v>
      </c>
      <c r="C453" s="2" t="str">
        <f t="shared" si="15"/>
        <v>Q1</v>
      </c>
      <c r="D453" s="2" t="s">
        <v>28</v>
      </c>
      <c r="E453" s="11" t="s">
        <v>153</v>
      </c>
      <c r="F453" s="11" t="s">
        <v>151</v>
      </c>
      <c r="G453" s="11" t="s">
        <v>504</v>
      </c>
      <c r="H453" s="11" t="s">
        <v>69</v>
      </c>
      <c r="I453" s="12">
        <v>1</v>
      </c>
      <c r="J453" s="12">
        <v>100</v>
      </c>
      <c r="K453" s="12">
        <v>173.45</v>
      </c>
      <c r="L453" s="12">
        <v>17345</v>
      </c>
      <c r="M453" s="12">
        <v>0</v>
      </c>
      <c r="N453" s="12">
        <v>0</v>
      </c>
      <c r="O453" s="12">
        <v>2254.850547</v>
      </c>
      <c r="P453" s="12">
        <v>19599.850546999998</v>
      </c>
    </row>
    <row r="454" spans="1:16" ht="14.5" x14ac:dyDescent="0.25">
      <c r="A454" s="10">
        <v>45816</v>
      </c>
      <c r="B454" s="2" t="str">
        <f t="shared" si="14"/>
        <v>Jun-2025</v>
      </c>
      <c r="C454" s="2" t="str">
        <f t="shared" si="15"/>
        <v>Q1</v>
      </c>
      <c r="D454" s="2" t="s">
        <v>28</v>
      </c>
      <c r="E454" s="11" t="s">
        <v>153</v>
      </c>
      <c r="F454" s="11" t="s">
        <v>151</v>
      </c>
      <c r="G454" s="11" t="s">
        <v>504</v>
      </c>
      <c r="H454" s="11" t="s">
        <v>69</v>
      </c>
      <c r="I454" s="12">
        <v>1</v>
      </c>
      <c r="J454" s="12">
        <v>100</v>
      </c>
      <c r="K454" s="12">
        <v>173.45</v>
      </c>
      <c r="L454" s="12">
        <v>17345</v>
      </c>
      <c r="M454" s="12">
        <v>0</v>
      </c>
      <c r="N454" s="12">
        <v>0</v>
      </c>
      <c r="O454" s="12">
        <v>2254.850547</v>
      </c>
      <c r="P454" s="12">
        <v>19599.850546999998</v>
      </c>
    </row>
    <row r="455" spans="1:16" ht="14.5" x14ac:dyDescent="0.25">
      <c r="A455" s="10">
        <v>45816</v>
      </c>
      <c r="B455" s="2" t="str">
        <f t="shared" si="14"/>
        <v>Jun-2025</v>
      </c>
      <c r="C455" s="2" t="str">
        <f t="shared" si="15"/>
        <v>Q1</v>
      </c>
      <c r="D455" s="2" t="s">
        <v>28</v>
      </c>
      <c r="E455" s="11" t="s">
        <v>153</v>
      </c>
      <c r="F455" s="11" t="s">
        <v>151</v>
      </c>
      <c r="G455" s="11" t="s">
        <v>504</v>
      </c>
      <c r="H455" s="11" t="s">
        <v>67</v>
      </c>
      <c r="I455" s="12">
        <v>1</v>
      </c>
      <c r="J455" s="12">
        <v>40</v>
      </c>
      <c r="K455" s="12">
        <v>421.24</v>
      </c>
      <c r="L455" s="12">
        <v>16849.599999999999</v>
      </c>
      <c r="M455" s="12">
        <v>0</v>
      </c>
      <c r="N455" s="12">
        <v>0</v>
      </c>
      <c r="O455" s="12">
        <v>2190.4485319999999</v>
      </c>
      <c r="P455" s="12">
        <v>19040.048532000001</v>
      </c>
    </row>
    <row r="456" spans="1:16" ht="14.5" x14ac:dyDescent="0.25">
      <c r="A456" s="10">
        <v>45816</v>
      </c>
      <c r="B456" s="2" t="str">
        <f t="shared" si="14"/>
        <v>Jun-2025</v>
      </c>
      <c r="C456" s="2" t="str">
        <f t="shared" si="15"/>
        <v>Q1</v>
      </c>
      <c r="D456" s="2" t="s">
        <v>28</v>
      </c>
      <c r="E456" s="11" t="s">
        <v>153</v>
      </c>
      <c r="F456" s="11" t="s">
        <v>151</v>
      </c>
      <c r="G456" s="11" t="s">
        <v>504</v>
      </c>
      <c r="H456" s="11" t="s">
        <v>66</v>
      </c>
      <c r="I456" s="12">
        <v>1</v>
      </c>
      <c r="J456" s="12">
        <v>100</v>
      </c>
      <c r="K456" s="12">
        <v>99.12</v>
      </c>
      <c r="L456" s="12">
        <v>9912</v>
      </c>
      <c r="M456" s="12">
        <v>0</v>
      </c>
      <c r="N456" s="12">
        <v>0</v>
      </c>
      <c r="O456" s="12">
        <v>1288.560313</v>
      </c>
      <c r="P456" s="12">
        <v>11200.560313</v>
      </c>
    </row>
    <row r="457" spans="1:16" ht="14.5" x14ac:dyDescent="0.25">
      <c r="A457" s="10">
        <v>45816</v>
      </c>
      <c r="B457" s="2" t="str">
        <f t="shared" si="14"/>
        <v>Jun-2025</v>
      </c>
      <c r="C457" s="2" t="str">
        <f t="shared" si="15"/>
        <v>Q1</v>
      </c>
      <c r="D457" s="2" t="s">
        <v>28</v>
      </c>
      <c r="E457" s="11" t="s">
        <v>153</v>
      </c>
      <c r="F457" s="11" t="s">
        <v>151</v>
      </c>
      <c r="G457" s="11" t="s">
        <v>504</v>
      </c>
      <c r="H457" s="11" t="s">
        <v>68</v>
      </c>
      <c r="I457" s="12">
        <v>1</v>
      </c>
      <c r="J457" s="12">
        <v>40</v>
      </c>
      <c r="K457" s="12">
        <v>238.5</v>
      </c>
      <c r="L457" s="12">
        <v>9539.9999999999982</v>
      </c>
      <c r="M457" s="12">
        <v>0</v>
      </c>
      <c r="N457" s="12">
        <v>0</v>
      </c>
      <c r="O457" s="12">
        <v>1240.2003010000001</v>
      </c>
      <c r="P457" s="12">
        <v>10780.200301000001</v>
      </c>
    </row>
    <row r="458" spans="1:16" ht="14.5" x14ac:dyDescent="0.25">
      <c r="A458" s="10">
        <v>45816</v>
      </c>
      <c r="B458" s="2" t="str">
        <f t="shared" si="14"/>
        <v>Jun-2025</v>
      </c>
      <c r="C458" s="2" t="str">
        <f t="shared" si="15"/>
        <v>Q1</v>
      </c>
      <c r="D458" s="2" t="s">
        <v>28</v>
      </c>
      <c r="E458" s="11" t="s">
        <v>153</v>
      </c>
      <c r="F458" s="11" t="s">
        <v>151</v>
      </c>
      <c r="G458" s="11" t="s">
        <v>504</v>
      </c>
      <c r="H458" s="11" t="s">
        <v>68</v>
      </c>
      <c r="I458" s="12">
        <v>1</v>
      </c>
      <c r="J458" s="12">
        <v>40</v>
      </c>
      <c r="K458" s="12">
        <v>238.5</v>
      </c>
      <c r="L458" s="12">
        <v>9539.9999999999982</v>
      </c>
      <c r="M458" s="12">
        <v>0</v>
      </c>
      <c r="N458" s="12">
        <v>0</v>
      </c>
      <c r="O458" s="12">
        <v>1240.2003010000001</v>
      </c>
      <c r="P458" s="12">
        <v>10780.200301000001</v>
      </c>
    </row>
    <row r="459" spans="1:16" ht="14.5" x14ac:dyDescent="0.25">
      <c r="A459" s="10">
        <v>45816</v>
      </c>
      <c r="B459" s="2" t="str">
        <f t="shared" si="14"/>
        <v>Jun-2025</v>
      </c>
      <c r="C459" s="2" t="str">
        <f t="shared" si="15"/>
        <v>Q1</v>
      </c>
      <c r="D459" s="2" t="s">
        <v>28</v>
      </c>
      <c r="E459" s="11" t="s">
        <v>153</v>
      </c>
      <c r="F459" s="11" t="s">
        <v>151</v>
      </c>
      <c r="G459" s="11" t="s">
        <v>504</v>
      </c>
      <c r="H459" s="11" t="s">
        <v>68</v>
      </c>
      <c r="I459" s="12">
        <v>1</v>
      </c>
      <c r="J459" s="12">
        <v>40</v>
      </c>
      <c r="K459" s="12">
        <v>238.5</v>
      </c>
      <c r="L459" s="12">
        <v>9539.9999999999982</v>
      </c>
      <c r="M459" s="12">
        <v>0</v>
      </c>
      <c r="N459" s="12">
        <v>0</v>
      </c>
      <c r="O459" s="12">
        <v>1240.2003010000001</v>
      </c>
      <c r="P459" s="12">
        <v>10780.200301000001</v>
      </c>
    </row>
    <row r="460" spans="1:16" ht="14.5" x14ac:dyDescent="0.25">
      <c r="A460" s="10">
        <v>45818</v>
      </c>
      <c r="B460" s="2" t="str">
        <f t="shared" si="14"/>
        <v>Jun-2025</v>
      </c>
      <c r="C460" s="2" t="str">
        <f t="shared" si="15"/>
        <v>Q1</v>
      </c>
      <c r="D460" s="2" t="s">
        <v>28</v>
      </c>
      <c r="E460" s="11" t="s">
        <v>154</v>
      </c>
      <c r="F460" s="11" t="s">
        <v>104</v>
      </c>
      <c r="G460" s="11" t="s">
        <v>503</v>
      </c>
      <c r="H460" s="11" t="s">
        <v>45</v>
      </c>
      <c r="I460" s="12">
        <v>7.0000000000000007E-2</v>
      </c>
      <c r="J460" s="12">
        <v>12</v>
      </c>
      <c r="K460" s="12">
        <v>67.260000000000005</v>
      </c>
      <c r="L460" s="12">
        <v>807.12</v>
      </c>
      <c r="M460" s="12">
        <v>0</v>
      </c>
      <c r="N460" s="12">
        <v>0</v>
      </c>
      <c r="O460" s="12">
        <v>104.924882</v>
      </c>
      <c r="P460" s="12">
        <v>912.04488200000003</v>
      </c>
    </row>
    <row r="461" spans="1:16" ht="14.5" x14ac:dyDescent="0.25">
      <c r="A461" s="10">
        <v>45818</v>
      </c>
      <c r="B461" s="2" t="str">
        <f t="shared" si="14"/>
        <v>Jun-2025</v>
      </c>
      <c r="C461" s="2" t="str">
        <f t="shared" si="15"/>
        <v>Q1</v>
      </c>
      <c r="D461" s="2" t="s">
        <v>28</v>
      </c>
      <c r="E461" s="11" t="s">
        <v>154</v>
      </c>
      <c r="F461" s="11" t="s">
        <v>104</v>
      </c>
      <c r="G461" s="11" t="s">
        <v>505</v>
      </c>
      <c r="H461" s="11" t="s">
        <v>40</v>
      </c>
      <c r="I461" s="12">
        <v>0.06</v>
      </c>
      <c r="J461" s="12">
        <v>10</v>
      </c>
      <c r="K461" s="12">
        <v>99.12</v>
      </c>
      <c r="L461" s="12">
        <v>991.2</v>
      </c>
      <c r="M461" s="12">
        <v>0</v>
      </c>
      <c r="N461" s="12">
        <v>0</v>
      </c>
      <c r="O461" s="12">
        <v>128.855118</v>
      </c>
      <c r="P461" s="12">
        <v>1120.055118</v>
      </c>
    </row>
    <row r="462" spans="1:16" ht="14.5" x14ac:dyDescent="0.25">
      <c r="A462" s="10">
        <v>45818</v>
      </c>
      <c r="B462" s="2" t="str">
        <f t="shared" si="14"/>
        <v>Jun-2025</v>
      </c>
      <c r="C462" s="2" t="str">
        <f t="shared" si="15"/>
        <v>Q1</v>
      </c>
      <c r="D462" s="2" t="s">
        <v>28</v>
      </c>
      <c r="E462" s="11" t="s">
        <v>155</v>
      </c>
      <c r="F462" s="11" t="s">
        <v>104</v>
      </c>
      <c r="G462" s="11" t="s">
        <v>504</v>
      </c>
      <c r="H462" s="11" t="s">
        <v>53</v>
      </c>
      <c r="I462" s="12">
        <v>0.1</v>
      </c>
      <c r="J462" s="12">
        <v>10</v>
      </c>
      <c r="K462" s="12">
        <v>136</v>
      </c>
      <c r="L462" s="12">
        <v>1360</v>
      </c>
      <c r="M462" s="12" t="s">
        <v>113</v>
      </c>
      <c r="N462" s="12" t="s">
        <v>113</v>
      </c>
      <c r="O462" s="12" t="s">
        <v>113</v>
      </c>
      <c r="P462" s="12">
        <v>1360</v>
      </c>
    </row>
    <row r="463" spans="1:16" ht="14.5" x14ac:dyDescent="0.25">
      <c r="A463" s="10">
        <v>45819</v>
      </c>
      <c r="B463" s="2" t="str">
        <f t="shared" si="14"/>
        <v>Jun-2025</v>
      </c>
      <c r="C463" s="2" t="str">
        <f t="shared" si="15"/>
        <v>Q1</v>
      </c>
      <c r="D463" s="2" t="s">
        <v>28</v>
      </c>
      <c r="E463" s="11" t="s">
        <v>156</v>
      </c>
      <c r="F463" s="11" t="s">
        <v>104</v>
      </c>
      <c r="G463" s="11" t="s">
        <v>503</v>
      </c>
      <c r="H463" s="11" t="s">
        <v>51</v>
      </c>
      <c r="I463" s="12">
        <v>0.06</v>
      </c>
      <c r="J463" s="12">
        <v>10</v>
      </c>
      <c r="K463" s="12">
        <v>67.260000000000005</v>
      </c>
      <c r="L463" s="12">
        <v>672.6</v>
      </c>
      <c r="M463" s="12">
        <v>0</v>
      </c>
      <c r="N463" s="12">
        <v>0</v>
      </c>
      <c r="O463" s="12">
        <v>87.436924000000005</v>
      </c>
      <c r="P463" s="12">
        <v>760.036924</v>
      </c>
    </row>
    <row r="464" spans="1:16" ht="14.5" x14ac:dyDescent="0.25">
      <c r="A464" s="10">
        <v>45819</v>
      </c>
      <c r="B464" s="2" t="str">
        <f t="shared" si="14"/>
        <v>Jun-2025</v>
      </c>
      <c r="C464" s="2" t="str">
        <f t="shared" si="15"/>
        <v>Q1</v>
      </c>
      <c r="D464" s="2" t="s">
        <v>28</v>
      </c>
      <c r="E464" s="11" t="s">
        <v>156</v>
      </c>
      <c r="F464" s="11" t="s">
        <v>104</v>
      </c>
      <c r="G464" s="11" t="s">
        <v>503</v>
      </c>
      <c r="H464" s="11" t="s">
        <v>87</v>
      </c>
      <c r="I464" s="12">
        <v>0.06</v>
      </c>
      <c r="J464" s="12">
        <v>10</v>
      </c>
      <c r="K464" s="12">
        <v>120.35</v>
      </c>
      <c r="L464" s="12">
        <v>1203.5000000000002</v>
      </c>
      <c r="M464" s="12">
        <v>0</v>
      </c>
      <c r="N464" s="12">
        <v>0</v>
      </c>
      <c r="O464" s="12">
        <v>156.45307599999998</v>
      </c>
      <c r="P464" s="12">
        <v>1359.953076</v>
      </c>
    </row>
    <row r="465" spans="1:16" ht="14.5" x14ac:dyDescent="0.25">
      <c r="A465" s="10">
        <v>45826</v>
      </c>
      <c r="B465" s="2" t="str">
        <f t="shared" si="14"/>
        <v>Jun-2025</v>
      </c>
      <c r="C465" s="2" t="str">
        <f t="shared" si="15"/>
        <v>Q1</v>
      </c>
      <c r="D465" s="2" t="s">
        <v>28</v>
      </c>
      <c r="E465" s="11" t="s">
        <v>157</v>
      </c>
      <c r="F465" s="11" t="s">
        <v>104</v>
      </c>
      <c r="G465" s="11" t="s">
        <v>503</v>
      </c>
      <c r="H465" s="11" t="s">
        <v>45</v>
      </c>
      <c r="I465" s="12">
        <v>0.1</v>
      </c>
      <c r="J465" s="12">
        <v>18</v>
      </c>
      <c r="K465" s="12">
        <v>67.260000000000005</v>
      </c>
      <c r="L465" s="12">
        <v>1210.68</v>
      </c>
      <c r="M465" s="12">
        <v>0</v>
      </c>
      <c r="N465" s="12">
        <v>0</v>
      </c>
      <c r="O465" s="12">
        <v>157.38815099999999</v>
      </c>
      <c r="P465" s="12">
        <v>1368.0681509999999</v>
      </c>
    </row>
    <row r="466" spans="1:16" ht="14.5" x14ac:dyDescent="0.25">
      <c r="A466" s="10">
        <v>45826</v>
      </c>
      <c r="B466" s="2" t="str">
        <f t="shared" si="14"/>
        <v>Jun-2025</v>
      </c>
      <c r="C466" s="2" t="str">
        <f t="shared" si="15"/>
        <v>Q1</v>
      </c>
      <c r="D466" s="2" t="s">
        <v>28</v>
      </c>
      <c r="E466" s="11" t="s">
        <v>157</v>
      </c>
      <c r="F466" s="11" t="s">
        <v>104</v>
      </c>
      <c r="G466" s="11" t="s">
        <v>503</v>
      </c>
      <c r="H466" s="11" t="s">
        <v>59</v>
      </c>
      <c r="I466" s="12">
        <v>0.14000000000000001</v>
      </c>
      <c r="J466" s="12">
        <v>26</v>
      </c>
      <c r="K466" s="12">
        <v>67.260000000000005</v>
      </c>
      <c r="L466" s="12">
        <v>1748.76</v>
      </c>
      <c r="M466" s="12">
        <v>0</v>
      </c>
      <c r="N466" s="12">
        <v>0</v>
      </c>
      <c r="O466" s="12">
        <v>227.33844099999999</v>
      </c>
      <c r="P466" s="12">
        <v>1976.0984410000001</v>
      </c>
    </row>
    <row r="467" spans="1:16" ht="14.5" x14ac:dyDescent="0.25">
      <c r="A467" s="10">
        <v>45826</v>
      </c>
      <c r="B467" s="2" t="str">
        <f t="shared" si="14"/>
        <v>Jun-2025</v>
      </c>
      <c r="C467" s="2" t="str">
        <f t="shared" si="15"/>
        <v>Q1</v>
      </c>
      <c r="D467" s="2" t="s">
        <v>28</v>
      </c>
      <c r="E467" s="11" t="s">
        <v>157</v>
      </c>
      <c r="F467" s="11" t="s">
        <v>104</v>
      </c>
      <c r="G467" s="11" t="s">
        <v>503</v>
      </c>
      <c r="H467" s="11" t="s">
        <v>87</v>
      </c>
      <c r="I467" s="12">
        <v>0.03</v>
      </c>
      <c r="J467" s="12">
        <v>5</v>
      </c>
      <c r="K467" s="12">
        <v>120.35</v>
      </c>
      <c r="L467" s="12">
        <v>601.75000000000011</v>
      </c>
      <c r="M467" s="12">
        <v>0</v>
      </c>
      <c r="N467" s="12">
        <v>0</v>
      </c>
      <c r="O467" s="12">
        <v>78.227376000000007</v>
      </c>
      <c r="P467" s="12">
        <v>679.97737600000005</v>
      </c>
    </row>
    <row r="468" spans="1:16" ht="14.5" x14ac:dyDescent="0.25">
      <c r="A468" s="10">
        <v>45826</v>
      </c>
      <c r="B468" s="2" t="str">
        <f t="shared" si="14"/>
        <v>Jun-2025</v>
      </c>
      <c r="C468" s="2" t="str">
        <f t="shared" si="15"/>
        <v>Q1</v>
      </c>
      <c r="D468" s="2" t="s">
        <v>28</v>
      </c>
      <c r="E468" s="11" t="s">
        <v>157</v>
      </c>
      <c r="F468" s="11" t="s">
        <v>104</v>
      </c>
      <c r="G468" s="11" t="s">
        <v>505</v>
      </c>
      <c r="H468" s="11" t="s">
        <v>40</v>
      </c>
      <c r="I468" s="12">
        <v>0.21</v>
      </c>
      <c r="J468" s="12">
        <v>38</v>
      </c>
      <c r="K468" s="12">
        <v>99.12</v>
      </c>
      <c r="L468" s="12">
        <v>3766.56</v>
      </c>
      <c r="M468" s="12">
        <v>0</v>
      </c>
      <c r="N468" s="12">
        <v>0</v>
      </c>
      <c r="O468" s="12">
        <v>489.65202600000003</v>
      </c>
      <c r="P468" s="12">
        <v>4256.2120260000002</v>
      </c>
    </row>
    <row r="469" spans="1:16" ht="14.5" x14ac:dyDescent="0.25">
      <c r="A469" s="10">
        <v>45826</v>
      </c>
      <c r="B469" s="2" t="str">
        <f t="shared" si="14"/>
        <v>Jun-2025</v>
      </c>
      <c r="C469" s="2" t="str">
        <f t="shared" si="15"/>
        <v>Q1</v>
      </c>
      <c r="D469" s="2" t="s">
        <v>28</v>
      </c>
      <c r="E469" s="11" t="s">
        <v>157</v>
      </c>
      <c r="F469" s="11" t="s">
        <v>104</v>
      </c>
      <c r="G469" s="11" t="s">
        <v>507</v>
      </c>
      <c r="H469" s="11" t="s">
        <v>60</v>
      </c>
      <c r="I469" s="12">
        <v>0.13</v>
      </c>
      <c r="J469" s="12">
        <v>8</v>
      </c>
      <c r="K469" s="12">
        <v>102.65</v>
      </c>
      <c r="L469" s="12">
        <v>821.2</v>
      </c>
      <c r="M469" s="12">
        <v>0</v>
      </c>
      <c r="N469" s="12">
        <v>0</v>
      </c>
      <c r="O469" s="12">
        <v>106.755831</v>
      </c>
      <c r="P469" s="12">
        <v>927.95583099999999</v>
      </c>
    </row>
    <row r="470" spans="1:16" ht="14.5" x14ac:dyDescent="0.25">
      <c r="A470" s="10">
        <v>45826</v>
      </c>
      <c r="B470" s="2" t="str">
        <f t="shared" si="14"/>
        <v>Jun-2025</v>
      </c>
      <c r="C470" s="2" t="str">
        <f t="shared" si="15"/>
        <v>Q1</v>
      </c>
      <c r="D470" s="2" t="s">
        <v>28</v>
      </c>
      <c r="E470" s="11" t="s">
        <v>157</v>
      </c>
      <c r="F470" s="11" t="s">
        <v>104</v>
      </c>
      <c r="G470" s="11" t="s">
        <v>504</v>
      </c>
      <c r="H470" s="11" t="s">
        <v>66</v>
      </c>
      <c r="I470" s="12">
        <v>0.14000000000000001</v>
      </c>
      <c r="J470" s="12">
        <v>14</v>
      </c>
      <c r="K470" s="12">
        <v>113.27</v>
      </c>
      <c r="L470" s="12">
        <v>1585.78</v>
      </c>
      <c r="M470" s="12">
        <v>0</v>
      </c>
      <c r="N470" s="12">
        <v>0</v>
      </c>
      <c r="O470" s="12">
        <v>206.15107399999999</v>
      </c>
      <c r="P470" s="12">
        <v>1791.9310740000001</v>
      </c>
    </row>
    <row r="471" spans="1:16" ht="14.5" x14ac:dyDescent="0.25">
      <c r="A471" s="10">
        <v>45826</v>
      </c>
      <c r="B471" s="2" t="str">
        <f t="shared" si="14"/>
        <v>Jun-2025</v>
      </c>
      <c r="C471" s="2" t="str">
        <f t="shared" si="15"/>
        <v>Q1</v>
      </c>
      <c r="D471" s="2" t="s">
        <v>28</v>
      </c>
      <c r="E471" s="11" t="s">
        <v>157</v>
      </c>
      <c r="F471" s="11" t="s">
        <v>104</v>
      </c>
      <c r="G471" s="11" t="s">
        <v>505</v>
      </c>
      <c r="H471" s="11" t="s">
        <v>56</v>
      </c>
      <c r="I471" s="12">
        <v>7.0000000000000007E-2</v>
      </c>
      <c r="J471" s="12">
        <v>8</v>
      </c>
      <c r="K471" s="12">
        <v>60.18</v>
      </c>
      <c r="L471" s="12">
        <v>481.44</v>
      </c>
      <c r="M471" s="12">
        <v>0</v>
      </c>
      <c r="N471" s="12">
        <v>0</v>
      </c>
      <c r="O471" s="12">
        <v>62.587100999999997</v>
      </c>
      <c r="P471" s="12">
        <v>544.02710100000002</v>
      </c>
    </row>
    <row r="472" spans="1:16" ht="14.5" x14ac:dyDescent="0.25">
      <c r="A472" s="10">
        <v>45826</v>
      </c>
      <c r="B472" s="2" t="str">
        <f t="shared" si="14"/>
        <v>Jun-2025</v>
      </c>
      <c r="C472" s="2" t="str">
        <f t="shared" si="15"/>
        <v>Q1</v>
      </c>
      <c r="D472" s="2" t="s">
        <v>28</v>
      </c>
      <c r="E472" s="11" t="s">
        <v>158</v>
      </c>
      <c r="F472" s="11" t="s">
        <v>104</v>
      </c>
      <c r="G472" s="11" t="s">
        <v>504</v>
      </c>
      <c r="H472" s="11" t="s">
        <v>53</v>
      </c>
      <c r="I472" s="12">
        <v>7.0000000000000007E-2</v>
      </c>
      <c r="J472" s="12">
        <v>7</v>
      </c>
      <c r="K472" s="12">
        <v>136</v>
      </c>
      <c r="L472" s="12">
        <v>952</v>
      </c>
      <c r="M472" s="12" t="s">
        <v>113</v>
      </c>
      <c r="N472" s="12" t="s">
        <v>113</v>
      </c>
      <c r="O472" s="12" t="s">
        <v>113</v>
      </c>
      <c r="P472" s="12">
        <v>952</v>
      </c>
    </row>
    <row r="473" spans="1:16" ht="14.5" x14ac:dyDescent="0.25">
      <c r="A473" s="10">
        <v>45830</v>
      </c>
      <c r="B473" s="2" t="str">
        <f t="shared" si="14"/>
        <v>Jun-2025</v>
      </c>
      <c r="C473" s="2" t="str">
        <f t="shared" si="15"/>
        <v>Q1</v>
      </c>
      <c r="D473" s="2" t="s">
        <v>28</v>
      </c>
      <c r="E473" s="11" t="s">
        <v>159</v>
      </c>
      <c r="F473" s="11" t="s">
        <v>15</v>
      </c>
      <c r="G473" s="11" t="s">
        <v>504</v>
      </c>
      <c r="H473" s="11" t="s">
        <v>67</v>
      </c>
      <c r="I473" s="12">
        <v>1</v>
      </c>
      <c r="J473" s="12">
        <v>40</v>
      </c>
      <c r="K473" s="12">
        <v>459.72</v>
      </c>
      <c r="L473" s="12">
        <v>18388.8</v>
      </c>
      <c r="M473" s="12">
        <v>-1671.54</v>
      </c>
      <c r="N473" s="12">
        <v>0</v>
      </c>
      <c r="O473" s="12">
        <v>2173.244146</v>
      </c>
      <c r="P473" s="12">
        <v>18890.504145999999</v>
      </c>
    </row>
    <row r="474" spans="1:16" ht="14.5" x14ac:dyDescent="0.25">
      <c r="A474" s="10">
        <v>45830</v>
      </c>
      <c r="B474" s="2" t="str">
        <f t="shared" si="14"/>
        <v>Jun-2025</v>
      </c>
      <c r="C474" s="2" t="str">
        <f t="shared" si="15"/>
        <v>Q1</v>
      </c>
      <c r="D474" s="2" t="s">
        <v>28</v>
      </c>
      <c r="E474" s="11" t="s">
        <v>159</v>
      </c>
      <c r="F474" s="11" t="s">
        <v>15</v>
      </c>
      <c r="G474" s="11" t="s">
        <v>505</v>
      </c>
      <c r="H474" s="11" t="s">
        <v>40</v>
      </c>
      <c r="I474" s="12">
        <v>2</v>
      </c>
      <c r="J474" s="12">
        <v>360</v>
      </c>
      <c r="K474" s="12">
        <v>94.65</v>
      </c>
      <c r="L474" s="12">
        <v>34074</v>
      </c>
      <c r="M474" s="12">
        <v>-3097.3300000000004</v>
      </c>
      <c r="N474" s="12">
        <v>0</v>
      </c>
      <c r="O474" s="12">
        <v>4026.9677410000004</v>
      </c>
      <c r="P474" s="12">
        <v>35003.637740999999</v>
      </c>
    </row>
    <row r="475" spans="1:16" ht="14.5" x14ac:dyDescent="0.25">
      <c r="A475" s="10">
        <v>45830</v>
      </c>
      <c r="B475" s="2" t="str">
        <f t="shared" si="14"/>
        <v>Jun-2025</v>
      </c>
      <c r="C475" s="2" t="str">
        <f t="shared" si="15"/>
        <v>Q1</v>
      </c>
      <c r="D475" s="2" t="s">
        <v>28</v>
      </c>
      <c r="E475" s="11" t="s">
        <v>159</v>
      </c>
      <c r="F475" s="11" t="s">
        <v>15</v>
      </c>
      <c r="G475" s="11" t="s">
        <v>504</v>
      </c>
      <c r="H475" s="11" t="s">
        <v>68</v>
      </c>
      <c r="I475" s="12">
        <v>1</v>
      </c>
      <c r="J475" s="12">
        <v>40</v>
      </c>
      <c r="K475" s="12">
        <v>260.27999999999997</v>
      </c>
      <c r="L475" s="12">
        <v>10411.200000000001</v>
      </c>
      <c r="M475" s="12">
        <v>-946.38</v>
      </c>
      <c r="N475" s="12">
        <v>0</v>
      </c>
      <c r="O475" s="12">
        <v>1230.4267960000002</v>
      </c>
      <c r="P475" s="12">
        <v>10695.246795999999</v>
      </c>
    </row>
    <row r="476" spans="1:16" ht="14.5" x14ac:dyDescent="0.25">
      <c r="A476" s="10">
        <v>45830</v>
      </c>
      <c r="B476" s="2" t="str">
        <f t="shared" si="14"/>
        <v>Jun-2025</v>
      </c>
      <c r="C476" s="2" t="str">
        <f t="shared" si="15"/>
        <v>Q1</v>
      </c>
      <c r="D476" s="2" t="s">
        <v>28</v>
      </c>
      <c r="E476" s="11" t="s">
        <v>159</v>
      </c>
      <c r="F476" s="11" t="s">
        <v>15</v>
      </c>
      <c r="G476" s="11" t="s">
        <v>503</v>
      </c>
      <c r="H476" s="11" t="s">
        <v>45</v>
      </c>
      <c r="I476" s="12">
        <v>1</v>
      </c>
      <c r="J476" s="12">
        <v>180</v>
      </c>
      <c r="K476" s="12">
        <v>64.23</v>
      </c>
      <c r="L476" s="12">
        <v>11561.4</v>
      </c>
      <c r="M476" s="12">
        <v>-1050.9299999999998</v>
      </c>
      <c r="N476" s="12">
        <v>0</v>
      </c>
      <c r="O476" s="12">
        <v>1366.3613170000001</v>
      </c>
      <c r="P476" s="12">
        <v>11876.831317</v>
      </c>
    </row>
    <row r="477" spans="1:16" ht="14.5" x14ac:dyDescent="0.25">
      <c r="A477" s="10">
        <v>45830</v>
      </c>
      <c r="B477" s="2" t="str">
        <f t="shared" si="14"/>
        <v>Jun-2025</v>
      </c>
      <c r="C477" s="2" t="str">
        <f t="shared" si="15"/>
        <v>Q1</v>
      </c>
      <c r="D477" s="2" t="s">
        <v>28</v>
      </c>
      <c r="E477" s="11" t="s">
        <v>160</v>
      </c>
      <c r="F477" s="11" t="s">
        <v>73</v>
      </c>
      <c r="G477" s="11" t="s">
        <v>504</v>
      </c>
      <c r="H477" s="11" t="s">
        <v>61</v>
      </c>
      <c r="I477" s="12">
        <v>-1</v>
      </c>
      <c r="J477" s="12">
        <v>-40</v>
      </c>
      <c r="K477" s="12">
        <v>297.52</v>
      </c>
      <c r="L477" s="12">
        <v>-11900.8</v>
      </c>
      <c r="M477" s="12">
        <v>0</v>
      </c>
      <c r="N477" s="12">
        <v>456.99194399999999</v>
      </c>
      <c r="O477" s="12">
        <v>0</v>
      </c>
      <c r="P477" s="12">
        <v>-11443.808056</v>
      </c>
    </row>
    <row r="478" spans="1:16" ht="14.5" x14ac:dyDescent="0.25">
      <c r="A478" s="10">
        <v>45830</v>
      </c>
      <c r="B478" s="2" t="str">
        <f t="shared" si="14"/>
        <v>Jun-2025</v>
      </c>
      <c r="C478" s="2" t="str">
        <f t="shared" si="15"/>
        <v>Q1</v>
      </c>
      <c r="D478" s="2" t="s">
        <v>28</v>
      </c>
      <c r="E478" s="11" t="s">
        <v>160</v>
      </c>
      <c r="F478" s="11" t="s">
        <v>73</v>
      </c>
      <c r="G478" s="11" t="s">
        <v>504</v>
      </c>
      <c r="H478" s="11" t="s">
        <v>53</v>
      </c>
      <c r="I478" s="12">
        <v>-0.94</v>
      </c>
      <c r="J478" s="12">
        <v>-94</v>
      </c>
      <c r="K478" s="12">
        <v>124.88</v>
      </c>
      <c r="L478" s="12">
        <v>-11738.720000000001</v>
      </c>
      <c r="M478" s="12">
        <v>0</v>
      </c>
      <c r="N478" s="12">
        <v>450.76805600000006</v>
      </c>
      <c r="O478" s="12">
        <v>0</v>
      </c>
      <c r="P478" s="12">
        <v>-11287.951944</v>
      </c>
    </row>
    <row r="479" spans="1:16" ht="14.5" x14ac:dyDescent="0.25">
      <c r="A479" s="10">
        <v>45830</v>
      </c>
      <c r="B479" s="2" t="str">
        <f t="shared" si="14"/>
        <v>Jun-2025</v>
      </c>
      <c r="C479" s="2" t="str">
        <f t="shared" si="15"/>
        <v>Q1</v>
      </c>
      <c r="D479" s="2" t="s">
        <v>28</v>
      </c>
      <c r="E479" s="11" t="s">
        <v>161</v>
      </c>
      <c r="F479" s="11" t="s">
        <v>73</v>
      </c>
      <c r="G479" s="11" t="s">
        <v>504</v>
      </c>
      <c r="H479" s="11" t="s">
        <v>66</v>
      </c>
      <c r="I479" s="12">
        <v>-0.85</v>
      </c>
      <c r="J479" s="12">
        <v>-85</v>
      </c>
      <c r="K479" s="12">
        <v>108.17</v>
      </c>
      <c r="L479" s="12">
        <v>-9194.4499999999989</v>
      </c>
      <c r="M479" s="12">
        <v>0</v>
      </c>
      <c r="N479" s="12">
        <v>353.06634099999997</v>
      </c>
      <c r="O479" s="12">
        <v>-1149.379547</v>
      </c>
      <c r="P479" s="12">
        <v>-9990.7632059999996</v>
      </c>
    </row>
    <row r="480" spans="1:16" ht="14.5" x14ac:dyDescent="0.25">
      <c r="A480" s="10">
        <v>45830</v>
      </c>
      <c r="B480" s="2" t="str">
        <f t="shared" si="14"/>
        <v>Jun-2025</v>
      </c>
      <c r="C480" s="2" t="str">
        <f t="shared" si="15"/>
        <v>Q1</v>
      </c>
      <c r="D480" s="2" t="s">
        <v>28</v>
      </c>
      <c r="E480" s="11" t="s">
        <v>161</v>
      </c>
      <c r="F480" s="11" t="s">
        <v>73</v>
      </c>
      <c r="G480" s="11" t="s">
        <v>504</v>
      </c>
      <c r="H480" s="11" t="s">
        <v>69</v>
      </c>
      <c r="I480" s="12">
        <v>-0.95</v>
      </c>
      <c r="J480" s="12">
        <v>-95</v>
      </c>
      <c r="K480" s="12">
        <v>189.3</v>
      </c>
      <c r="L480" s="12">
        <v>-17983.5</v>
      </c>
      <c r="M480" s="12">
        <v>0</v>
      </c>
      <c r="N480" s="12">
        <v>690.56534599999998</v>
      </c>
      <c r="O480" s="12">
        <v>-2248.0808619999998</v>
      </c>
      <c r="P480" s="12">
        <v>-19541.015515999999</v>
      </c>
    </row>
    <row r="481" spans="1:16" ht="14.5" x14ac:dyDescent="0.25">
      <c r="A481" s="10">
        <v>45830</v>
      </c>
      <c r="B481" s="2" t="str">
        <f t="shared" si="14"/>
        <v>Jun-2025</v>
      </c>
      <c r="C481" s="2" t="str">
        <f t="shared" si="15"/>
        <v>Q1</v>
      </c>
      <c r="D481" s="2" t="s">
        <v>28</v>
      </c>
      <c r="E481" s="11" t="s">
        <v>161</v>
      </c>
      <c r="F481" s="11" t="s">
        <v>73</v>
      </c>
      <c r="G481" s="11" t="s">
        <v>504</v>
      </c>
      <c r="H481" s="11" t="s">
        <v>67</v>
      </c>
      <c r="I481" s="12">
        <v>-1</v>
      </c>
      <c r="J481" s="12">
        <v>-40</v>
      </c>
      <c r="K481" s="12">
        <v>459.72</v>
      </c>
      <c r="L481" s="12">
        <v>-18388.8</v>
      </c>
      <c r="M481" s="12">
        <v>0</v>
      </c>
      <c r="N481" s="12">
        <v>706.12884300000007</v>
      </c>
      <c r="O481" s="12">
        <v>-2298.7465929999998</v>
      </c>
      <c r="P481" s="12">
        <v>-19981.417750000001</v>
      </c>
    </row>
    <row r="482" spans="1:16" ht="14.5" x14ac:dyDescent="0.25">
      <c r="A482" s="10">
        <v>45830</v>
      </c>
      <c r="B482" s="2" t="str">
        <f t="shared" si="14"/>
        <v>Jun-2025</v>
      </c>
      <c r="C482" s="2" t="str">
        <f t="shared" si="15"/>
        <v>Q1</v>
      </c>
      <c r="D482" s="2" t="s">
        <v>28</v>
      </c>
      <c r="E482" s="11" t="s">
        <v>161</v>
      </c>
      <c r="F482" s="11" t="s">
        <v>73</v>
      </c>
      <c r="G482" s="11" t="s">
        <v>504</v>
      </c>
      <c r="H482" s="11" t="s">
        <v>68</v>
      </c>
      <c r="I482" s="12">
        <v>-1</v>
      </c>
      <c r="J482" s="12">
        <v>-40</v>
      </c>
      <c r="K482" s="12">
        <v>260.27999999999997</v>
      </c>
      <c r="L482" s="12">
        <v>-10411.200000000001</v>
      </c>
      <c r="M482" s="12">
        <v>0</v>
      </c>
      <c r="N482" s="12">
        <v>399.78946999999999</v>
      </c>
      <c r="O482" s="12">
        <v>-1301.4829970000001</v>
      </c>
      <c r="P482" s="12">
        <v>-11312.893527</v>
      </c>
    </row>
    <row r="483" spans="1:16" ht="14.5" x14ac:dyDescent="0.25">
      <c r="A483" s="10">
        <v>45830</v>
      </c>
      <c r="B483" s="2" t="str">
        <f t="shared" si="14"/>
        <v>Jun-2025</v>
      </c>
      <c r="C483" s="2" t="str">
        <f t="shared" si="15"/>
        <v>Q1</v>
      </c>
      <c r="D483" s="2" t="s">
        <v>28</v>
      </c>
      <c r="E483" s="11" t="s">
        <v>162</v>
      </c>
      <c r="F483" s="11" t="s">
        <v>75</v>
      </c>
      <c r="G483" s="11" t="s">
        <v>504</v>
      </c>
      <c r="H483" s="11" t="s">
        <v>67</v>
      </c>
      <c r="I483" s="12">
        <v>-0.88</v>
      </c>
      <c r="J483" s="12">
        <v>-35</v>
      </c>
      <c r="K483" s="12">
        <v>449.72</v>
      </c>
      <c r="L483" s="12">
        <v>-15740.199999999999</v>
      </c>
      <c r="M483" s="12">
        <v>0</v>
      </c>
      <c r="N483" s="12">
        <v>604.424802</v>
      </c>
      <c r="O483" s="12">
        <v>-1967.650776</v>
      </c>
      <c r="P483" s="12">
        <v>-17103.425974000002</v>
      </c>
    </row>
    <row r="484" spans="1:16" ht="14.5" x14ac:dyDescent="0.25">
      <c r="A484" s="10">
        <v>45830</v>
      </c>
      <c r="B484" s="2" t="str">
        <f t="shared" si="14"/>
        <v>Jun-2025</v>
      </c>
      <c r="C484" s="2" t="str">
        <f t="shared" si="15"/>
        <v>Q1</v>
      </c>
      <c r="D484" s="2" t="s">
        <v>28</v>
      </c>
      <c r="E484" s="11" t="s">
        <v>162</v>
      </c>
      <c r="F484" s="11" t="s">
        <v>75</v>
      </c>
      <c r="G484" s="11" t="s">
        <v>504</v>
      </c>
      <c r="H484" s="11" t="s">
        <v>68</v>
      </c>
      <c r="I484" s="12">
        <v>-0.88</v>
      </c>
      <c r="J484" s="12">
        <v>-35</v>
      </c>
      <c r="K484" s="12">
        <v>260.27999999999997</v>
      </c>
      <c r="L484" s="12">
        <v>-9109.7999999999993</v>
      </c>
      <c r="M484" s="12">
        <v>0</v>
      </c>
      <c r="N484" s="12">
        <v>349.81696900000003</v>
      </c>
      <c r="O484" s="12">
        <v>-1138.7977940000001</v>
      </c>
      <c r="P484" s="12">
        <v>-9898.7808249999998</v>
      </c>
    </row>
    <row r="485" spans="1:16" ht="14.5" x14ac:dyDescent="0.25">
      <c r="A485" s="10">
        <v>45830</v>
      </c>
      <c r="B485" s="2" t="str">
        <f t="shared" si="14"/>
        <v>Jun-2025</v>
      </c>
      <c r="C485" s="2" t="str">
        <f t="shared" si="15"/>
        <v>Q1</v>
      </c>
      <c r="D485" s="2" t="s">
        <v>28</v>
      </c>
      <c r="E485" s="11" t="s">
        <v>162</v>
      </c>
      <c r="F485" s="11" t="s">
        <v>75</v>
      </c>
      <c r="G485" s="11" t="s">
        <v>504</v>
      </c>
      <c r="H485" s="11" t="s">
        <v>69</v>
      </c>
      <c r="I485" s="12">
        <v>-0.9</v>
      </c>
      <c r="J485" s="12">
        <v>-90</v>
      </c>
      <c r="K485" s="12">
        <v>189.3</v>
      </c>
      <c r="L485" s="12">
        <v>-17037</v>
      </c>
      <c r="M485" s="12">
        <v>0</v>
      </c>
      <c r="N485" s="12">
        <v>654.22201499999994</v>
      </c>
      <c r="O485" s="12">
        <v>-2129.7611379999998</v>
      </c>
      <c r="P485" s="12">
        <v>-18512.539122999999</v>
      </c>
    </row>
    <row r="486" spans="1:16" ht="14.5" x14ac:dyDescent="0.25">
      <c r="A486" s="10">
        <v>45830</v>
      </c>
      <c r="B486" s="2" t="str">
        <f t="shared" ref="B486:B549" si="16">+TEXT(A486,"MMM-yyy")</f>
        <v>Jun-2025</v>
      </c>
      <c r="C486" s="2" t="str">
        <f t="shared" ref="C486:C549" si="17">"Q" &amp; CHOOSE(MONTH(A486),4,4,4,1,1,1,2,2,2,3,3,3)</f>
        <v>Q1</v>
      </c>
      <c r="D486" s="2" t="s">
        <v>28</v>
      </c>
      <c r="E486" s="11" t="s">
        <v>162</v>
      </c>
      <c r="F486" s="11" t="s">
        <v>75</v>
      </c>
      <c r="G486" s="11" t="s">
        <v>504</v>
      </c>
      <c r="H486" s="11" t="s">
        <v>66</v>
      </c>
      <c r="I486" s="12">
        <v>-0.9</v>
      </c>
      <c r="J486" s="12">
        <v>-90</v>
      </c>
      <c r="K486" s="12">
        <v>108.17</v>
      </c>
      <c r="L486" s="12">
        <v>-9735.3000000000011</v>
      </c>
      <c r="M486" s="12">
        <v>0</v>
      </c>
      <c r="N486" s="12">
        <v>373.83621399999998</v>
      </c>
      <c r="O486" s="12">
        <v>-1216.990292</v>
      </c>
      <c r="P486" s="12">
        <v>-10578.454078000001</v>
      </c>
    </row>
    <row r="487" spans="1:16" ht="14.5" x14ac:dyDescent="0.25">
      <c r="A487" s="10">
        <v>45830</v>
      </c>
      <c r="B487" s="2" t="str">
        <f t="shared" si="16"/>
        <v>Jun-2025</v>
      </c>
      <c r="C487" s="2" t="str">
        <f t="shared" si="17"/>
        <v>Q1</v>
      </c>
      <c r="D487" s="2" t="s">
        <v>28</v>
      </c>
      <c r="E487" s="11" t="s">
        <v>163</v>
      </c>
      <c r="F487" s="11" t="s">
        <v>75</v>
      </c>
      <c r="G487" s="11" t="s">
        <v>504</v>
      </c>
      <c r="H487" s="11" t="s">
        <v>61</v>
      </c>
      <c r="I487" s="12">
        <v>-0.85</v>
      </c>
      <c r="J487" s="12">
        <v>-34</v>
      </c>
      <c r="K487" s="12">
        <v>297.52</v>
      </c>
      <c r="L487" s="12">
        <v>-10115.68</v>
      </c>
      <c r="M487" s="12">
        <v>0</v>
      </c>
      <c r="N487" s="12">
        <v>388.44334699999996</v>
      </c>
      <c r="O487" s="12">
        <v>0</v>
      </c>
      <c r="P487" s="12">
        <v>-9727.2366529999999</v>
      </c>
    </row>
    <row r="488" spans="1:16" ht="14.5" x14ac:dyDescent="0.25">
      <c r="A488" s="10">
        <v>45830</v>
      </c>
      <c r="B488" s="2" t="str">
        <f t="shared" si="16"/>
        <v>Jun-2025</v>
      </c>
      <c r="C488" s="2" t="str">
        <f t="shared" si="17"/>
        <v>Q1</v>
      </c>
      <c r="D488" s="2" t="s">
        <v>28</v>
      </c>
      <c r="E488" s="11" t="s">
        <v>163</v>
      </c>
      <c r="F488" s="11" t="s">
        <v>75</v>
      </c>
      <c r="G488" s="11" t="s">
        <v>504</v>
      </c>
      <c r="H488" s="11" t="s">
        <v>53</v>
      </c>
      <c r="I488" s="12">
        <v>-0.9</v>
      </c>
      <c r="J488" s="12">
        <v>-90</v>
      </c>
      <c r="K488" s="12">
        <v>124.88</v>
      </c>
      <c r="L488" s="12">
        <v>-11239.199999999999</v>
      </c>
      <c r="M488" s="12">
        <v>0</v>
      </c>
      <c r="N488" s="12">
        <v>431.58665300000001</v>
      </c>
      <c r="O488" s="12">
        <v>0</v>
      </c>
      <c r="P488" s="12">
        <v>-10807.613347</v>
      </c>
    </row>
    <row r="489" spans="1:16" ht="14.5" x14ac:dyDescent="0.25">
      <c r="A489" s="10">
        <v>45834</v>
      </c>
      <c r="B489" s="2" t="str">
        <f t="shared" si="16"/>
        <v>Jun-2025</v>
      </c>
      <c r="C489" s="2" t="str">
        <f t="shared" si="17"/>
        <v>Q1</v>
      </c>
      <c r="D489" s="2" t="s">
        <v>28</v>
      </c>
      <c r="E489" s="11" t="s">
        <v>164</v>
      </c>
      <c r="F489" s="11" t="s">
        <v>104</v>
      </c>
      <c r="G489" s="11" t="s">
        <v>505</v>
      </c>
      <c r="H489" s="11" t="s">
        <v>56</v>
      </c>
      <c r="I489" s="12">
        <v>-7.0000000000000007E-2</v>
      </c>
      <c r="J489" s="12">
        <v>-8</v>
      </c>
      <c r="K489" s="12">
        <v>60.18</v>
      </c>
      <c r="L489" s="12">
        <v>-481.44</v>
      </c>
      <c r="M489" s="12">
        <v>0</v>
      </c>
      <c r="N489" s="12">
        <v>0</v>
      </c>
      <c r="O489" s="12">
        <v>-62.59</v>
      </c>
      <c r="P489" s="12">
        <v>-544.03</v>
      </c>
    </row>
    <row r="490" spans="1:16" ht="14.5" x14ac:dyDescent="0.25">
      <c r="A490" s="10">
        <v>45838</v>
      </c>
      <c r="B490" s="2" t="str">
        <f t="shared" si="16"/>
        <v>Jun-2025</v>
      </c>
      <c r="C490" s="2" t="str">
        <f t="shared" si="17"/>
        <v>Q1</v>
      </c>
      <c r="D490" s="2" t="s">
        <v>28</v>
      </c>
      <c r="E490" s="11" t="s">
        <v>165</v>
      </c>
      <c r="F490" s="11" t="s">
        <v>15</v>
      </c>
      <c r="G490" s="11" t="s">
        <v>506</v>
      </c>
      <c r="H490" s="11" t="s">
        <v>39</v>
      </c>
      <c r="I490" s="12">
        <v>1</v>
      </c>
      <c r="J490" s="12">
        <v>72</v>
      </c>
      <c r="K490" s="12">
        <v>131.83000000000001</v>
      </c>
      <c r="L490" s="12">
        <v>9491.76</v>
      </c>
      <c r="M490" s="12">
        <v>-862.8</v>
      </c>
      <c r="N490" s="12">
        <v>0</v>
      </c>
      <c r="O490" s="12">
        <v>1121.764811</v>
      </c>
      <c r="P490" s="12">
        <v>9750.724811</v>
      </c>
    </row>
    <row r="491" spans="1:16" ht="14.5" x14ac:dyDescent="0.25">
      <c r="A491" s="10">
        <v>45838</v>
      </c>
      <c r="B491" s="2" t="str">
        <f t="shared" si="16"/>
        <v>Jun-2025</v>
      </c>
      <c r="C491" s="2" t="str">
        <f t="shared" si="17"/>
        <v>Q1</v>
      </c>
      <c r="D491" s="2" t="s">
        <v>28</v>
      </c>
      <c r="E491" s="11" t="s">
        <v>165</v>
      </c>
      <c r="F491" s="11" t="s">
        <v>15</v>
      </c>
      <c r="G491" s="11" t="s">
        <v>503</v>
      </c>
      <c r="H491" s="11" t="s">
        <v>166</v>
      </c>
      <c r="I491" s="12">
        <v>1</v>
      </c>
      <c r="J491" s="12">
        <v>120</v>
      </c>
      <c r="K491" s="12">
        <v>64.23</v>
      </c>
      <c r="L491" s="12">
        <v>7707.5999999999995</v>
      </c>
      <c r="M491" s="12">
        <v>-700.62</v>
      </c>
      <c r="N491" s="12">
        <v>0</v>
      </c>
      <c r="O491" s="12">
        <v>910.90740900000003</v>
      </c>
      <c r="P491" s="12">
        <v>7917.8874089999999</v>
      </c>
    </row>
    <row r="492" spans="1:16" ht="14.5" x14ac:dyDescent="0.25">
      <c r="A492" s="10">
        <v>45838</v>
      </c>
      <c r="B492" s="2" t="str">
        <f t="shared" si="16"/>
        <v>Jun-2025</v>
      </c>
      <c r="C492" s="2" t="str">
        <f t="shared" si="17"/>
        <v>Q1</v>
      </c>
      <c r="D492" s="2" t="s">
        <v>28</v>
      </c>
      <c r="E492" s="11" t="s">
        <v>165</v>
      </c>
      <c r="F492" s="11" t="s">
        <v>15</v>
      </c>
      <c r="G492" s="11" t="s">
        <v>507</v>
      </c>
      <c r="H492" s="11" t="s">
        <v>90</v>
      </c>
      <c r="I492" s="12">
        <v>1</v>
      </c>
      <c r="J492" s="12">
        <v>120</v>
      </c>
      <c r="K492" s="12">
        <v>57.46</v>
      </c>
      <c r="L492" s="12">
        <v>6895.2</v>
      </c>
      <c r="M492" s="12">
        <v>-626.77</v>
      </c>
      <c r="N492" s="12">
        <v>0</v>
      </c>
      <c r="O492" s="12">
        <v>814.89590799999996</v>
      </c>
      <c r="P492" s="12">
        <v>7083.3259079999998</v>
      </c>
    </row>
    <row r="493" spans="1:16" ht="14.5" x14ac:dyDescent="0.25">
      <c r="A493" s="10">
        <v>45838</v>
      </c>
      <c r="B493" s="2" t="str">
        <f t="shared" si="16"/>
        <v>Jun-2025</v>
      </c>
      <c r="C493" s="2" t="str">
        <f t="shared" si="17"/>
        <v>Q1</v>
      </c>
      <c r="D493" s="2" t="s">
        <v>28</v>
      </c>
      <c r="E493" s="11" t="s">
        <v>165</v>
      </c>
      <c r="F493" s="11" t="s">
        <v>15</v>
      </c>
      <c r="G493" s="11" t="s">
        <v>505</v>
      </c>
      <c r="H493" s="11" t="s">
        <v>167</v>
      </c>
      <c r="I493" s="12">
        <v>1</v>
      </c>
      <c r="J493" s="12">
        <v>180</v>
      </c>
      <c r="K493" s="12">
        <v>91.27</v>
      </c>
      <c r="L493" s="12">
        <v>16428.599999999999</v>
      </c>
      <c r="M493" s="12">
        <v>-1493.36</v>
      </c>
      <c r="N493" s="12">
        <v>0</v>
      </c>
      <c r="O493" s="12">
        <v>1941.5812189999999</v>
      </c>
      <c r="P493" s="12">
        <v>16876.821219000001</v>
      </c>
    </row>
    <row r="494" spans="1:16" ht="14.5" x14ac:dyDescent="0.25">
      <c r="A494" s="10">
        <v>45838</v>
      </c>
      <c r="B494" s="2" t="str">
        <f t="shared" si="16"/>
        <v>Jun-2025</v>
      </c>
      <c r="C494" s="2" t="str">
        <f t="shared" si="17"/>
        <v>Q1</v>
      </c>
      <c r="D494" s="2" t="s">
        <v>28</v>
      </c>
      <c r="E494" s="11" t="s">
        <v>165</v>
      </c>
      <c r="F494" s="11" t="s">
        <v>15</v>
      </c>
      <c r="G494" s="11" t="s">
        <v>505</v>
      </c>
      <c r="H494" s="11" t="s">
        <v>49</v>
      </c>
      <c r="I494" s="12">
        <v>1</v>
      </c>
      <c r="J494" s="12">
        <v>180</v>
      </c>
      <c r="K494" s="12">
        <v>182.53</v>
      </c>
      <c r="L494" s="12">
        <v>32855.4</v>
      </c>
      <c r="M494" s="12">
        <v>-2986.56</v>
      </c>
      <c r="N494" s="12">
        <v>0</v>
      </c>
      <c r="O494" s="12">
        <v>3882.949239</v>
      </c>
      <c r="P494" s="12">
        <v>33751.789238999998</v>
      </c>
    </row>
    <row r="495" spans="1:16" ht="14.5" x14ac:dyDescent="0.25">
      <c r="A495" s="10">
        <v>45838</v>
      </c>
      <c r="B495" s="2" t="str">
        <f t="shared" si="16"/>
        <v>Jun-2025</v>
      </c>
      <c r="C495" s="2" t="str">
        <f t="shared" si="17"/>
        <v>Q1</v>
      </c>
      <c r="D495" s="2" t="s">
        <v>28</v>
      </c>
      <c r="E495" s="11" t="s">
        <v>165</v>
      </c>
      <c r="F495" s="11" t="s">
        <v>15</v>
      </c>
      <c r="G495" s="11" t="s">
        <v>506</v>
      </c>
      <c r="H495" s="11" t="s">
        <v>54</v>
      </c>
      <c r="I495" s="12">
        <v>2</v>
      </c>
      <c r="J495" s="12">
        <v>96</v>
      </c>
      <c r="K495" s="12">
        <v>310.99</v>
      </c>
      <c r="L495" s="12">
        <v>29855.039999999997</v>
      </c>
      <c r="M495" s="12">
        <v>-2713.82</v>
      </c>
      <c r="N495" s="12">
        <v>0</v>
      </c>
      <c r="O495" s="12">
        <v>3528.358635</v>
      </c>
      <c r="P495" s="12">
        <v>30669.578635000002</v>
      </c>
    </row>
    <row r="496" spans="1:16" ht="14.5" x14ac:dyDescent="0.25">
      <c r="A496" s="10">
        <v>45838</v>
      </c>
      <c r="B496" s="2" t="str">
        <f t="shared" si="16"/>
        <v>Jun-2025</v>
      </c>
      <c r="C496" s="2" t="str">
        <f t="shared" si="17"/>
        <v>Q1</v>
      </c>
      <c r="D496" s="2" t="s">
        <v>28</v>
      </c>
      <c r="E496" s="11" t="s">
        <v>165</v>
      </c>
      <c r="F496" s="11" t="s">
        <v>15</v>
      </c>
      <c r="G496" s="11" t="s">
        <v>505</v>
      </c>
      <c r="H496" s="11" t="s">
        <v>55</v>
      </c>
      <c r="I496" s="12">
        <v>1</v>
      </c>
      <c r="J496" s="12">
        <v>120</v>
      </c>
      <c r="K496" s="12">
        <v>152.11000000000001</v>
      </c>
      <c r="L496" s="12">
        <v>18253.2</v>
      </c>
      <c r="M496" s="12">
        <v>-1659.2199999999998</v>
      </c>
      <c r="N496" s="12">
        <v>0</v>
      </c>
      <c r="O496" s="12">
        <v>2157.2174209999998</v>
      </c>
      <c r="P496" s="12">
        <v>18751.197421000001</v>
      </c>
    </row>
    <row r="497" spans="1:16" ht="14.5" x14ac:dyDescent="0.25">
      <c r="A497" s="10">
        <v>45838</v>
      </c>
      <c r="B497" s="2" t="str">
        <f t="shared" si="16"/>
        <v>Jun-2025</v>
      </c>
      <c r="C497" s="2" t="str">
        <f t="shared" si="17"/>
        <v>Q1</v>
      </c>
      <c r="D497" s="2" t="s">
        <v>28</v>
      </c>
      <c r="E497" s="11" t="s">
        <v>165</v>
      </c>
      <c r="F497" s="11" t="s">
        <v>15</v>
      </c>
      <c r="G497" s="11" t="s">
        <v>507</v>
      </c>
      <c r="H497" s="11" t="s">
        <v>60</v>
      </c>
      <c r="I497" s="12">
        <v>5</v>
      </c>
      <c r="J497" s="12">
        <v>300</v>
      </c>
      <c r="K497" s="12">
        <v>101.41</v>
      </c>
      <c r="L497" s="12">
        <v>30423</v>
      </c>
      <c r="M497" s="12">
        <v>-2765.45</v>
      </c>
      <c r="N497" s="12">
        <v>0</v>
      </c>
      <c r="O497" s="12">
        <v>3595.4815360000002</v>
      </c>
      <c r="P497" s="12">
        <v>31253.031535999999</v>
      </c>
    </row>
    <row r="498" spans="1:16" ht="14.5" x14ac:dyDescent="0.25">
      <c r="A498" s="10">
        <v>45838</v>
      </c>
      <c r="B498" s="2" t="str">
        <f t="shared" si="16"/>
        <v>Jun-2025</v>
      </c>
      <c r="C498" s="2" t="str">
        <f t="shared" si="17"/>
        <v>Q1</v>
      </c>
      <c r="D498" s="2" t="s">
        <v>28</v>
      </c>
      <c r="E498" s="11" t="s">
        <v>165</v>
      </c>
      <c r="F498" s="11" t="s">
        <v>15</v>
      </c>
      <c r="G498" s="11" t="s">
        <v>505</v>
      </c>
      <c r="H498" s="11" t="s">
        <v>168</v>
      </c>
      <c r="I498" s="12">
        <v>1</v>
      </c>
      <c r="J498" s="12">
        <v>80</v>
      </c>
      <c r="K498" s="12">
        <v>229.86</v>
      </c>
      <c r="L498" s="12">
        <v>18388.8</v>
      </c>
      <c r="M498" s="12">
        <v>-1671.54</v>
      </c>
      <c r="N498" s="12">
        <v>0</v>
      </c>
      <c r="O498" s="12">
        <v>2173.2438219999999</v>
      </c>
      <c r="P498" s="12">
        <v>18890.503821999999</v>
      </c>
    </row>
    <row r="499" spans="1:16" ht="14.5" x14ac:dyDescent="0.25">
      <c r="A499" s="10">
        <v>45838</v>
      </c>
      <c r="B499" s="2" t="str">
        <f t="shared" si="16"/>
        <v>Jun-2025</v>
      </c>
      <c r="C499" s="2" t="str">
        <f t="shared" si="17"/>
        <v>Q1</v>
      </c>
      <c r="D499" s="2" t="s">
        <v>28</v>
      </c>
      <c r="E499" s="11" t="s">
        <v>169</v>
      </c>
      <c r="F499" s="11" t="s">
        <v>14</v>
      </c>
      <c r="G499" s="11" t="s">
        <v>505</v>
      </c>
      <c r="H499" s="11" t="s">
        <v>49</v>
      </c>
      <c r="I499" s="12">
        <v>1</v>
      </c>
      <c r="J499" s="12">
        <v>180</v>
      </c>
      <c r="K499" s="12">
        <v>182.53</v>
      </c>
      <c r="L499" s="12">
        <v>32855.4</v>
      </c>
      <c r="M499" s="12">
        <v>-2986.56</v>
      </c>
      <c r="N499" s="12">
        <v>0</v>
      </c>
      <c r="O499" s="12">
        <v>3882.9496210000002</v>
      </c>
      <c r="P499" s="12">
        <v>33751.789621000004</v>
      </c>
    </row>
    <row r="500" spans="1:16" ht="14.5" x14ac:dyDescent="0.25">
      <c r="A500" s="10">
        <v>45838</v>
      </c>
      <c r="B500" s="2" t="str">
        <f t="shared" si="16"/>
        <v>Jun-2025</v>
      </c>
      <c r="C500" s="2" t="str">
        <f t="shared" si="17"/>
        <v>Q1</v>
      </c>
      <c r="D500" s="2" t="s">
        <v>28</v>
      </c>
      <c r="E500" s="11" t="s">
        <v>169</v>
      </c>
      <c r="F500" s="11" t="s">
        <v>14</v>
      </c>
      <c r="G500" s="11" t="s">
        <v>503</v>
      </c>
      <c r="H500" s="11" t="s">
        <v>44</v>
      </c>
      <c r="I500" s="12">
        <v>1</v>
      </c>
      <c r="J500" s="12">
        <v>180</v>
      </c>
      <c r="K500" s="12">
        <v>155.49</v>
      </c>
      <c r="L500" s="12">
        <v>27988.2</v>
      </c>
      <c r="M500" s="12">
        <v>-2544.13</v>
      </c>
      <c r="N500" s="12">
        <v>0</v>
      </c>
      <c r="O500" s="12">
        <v>3307.7294589999997</v>
      </c>
      <c r="P500" s="12">
        <v>28751.799459000002</v>
      </c>
    </row>
    <row r="501" spans="1:16" ht="14.5" x14ac:dyDescent="0.25">
      <c r="A501" s="10">
        <v>45838</v>
      </c>
      <c r="B501" s="2" t="str">
        <f t="shared" si="16"/>
        <v>Jun-2025</v>
      </c>
      <c r="C501" s="2" t="str">
        <f t="shared" si="17"/>
        <v>Q1</v>
      </c>
      <c r="D501" s="2" t="s">
        <v>28</v>
      </c>
      <c r="E501" s="11" t="s">
        <v>169</v>
      </c>
      <c r="F501" s="11" t="s">
        <v>14</v>
      </c>
      <c r="G501" s="11" t="s">
        <v>503</v>
      </c>
      <c r="H501" s="11" t="s">
        <v>170</v>
      </c>
      <c r="I501" s="12">
        <v>1</v>
      </c>
      <c r="J501" s="12">
        <v>80</v>
      </c>
      <c r="K501" s="12">
        <v>169.01</v>
      </c>
      <c r="L501" s="12">
        <v>13520.8</v>
      </c>
      <c r="M501" s="12">
        <v>-1229.04</v>
      </c>
      <c r="N501" s="12">
        <v>0</v>
      </c>
      <c r="O501" s="12">
        <v>1597.9289729999998</v>
      </c>
      <c r="P501" s="12">
        <v>13889.688973</v>
      </c>
    </row>
    <row r="502" spans="1:16" ht="14.5" x14ac:dyDescent="0.25">
      <c r="A502" s="10">
        <v>45838</v>
      </c>
      <c r="B502" s="2" t="str">
        <f t="shared" si="16"/>
        <v>Jun-2025</v>
      </c>
      <c r="C502" s="2" t="str">
        <f t="shared" si="17"/>
        <v>Q1</v>
      </c>
      <c r="D502" s="2" t="s">
        <v>28</v>
      </c>
      <c r="E502" s="11" t="s">
        <v>169</v>
      </c>
      <c r="F502" s="11" t="s">
        <v>14</v>
      </c>
      <c r="G502" s="11" t="s">
        <v>503</v>
      </c>
      <c r="H502" s="11" t="s">
        <v>171</v>
      </c>
      <c r="I502" s="12">
        <v>1</v>
      </c>
      <c r="J502" s="12">
        <v>80</v>
      </c>
      <c r="K502" s="12">
        <v>162.25</v>
      </c>
      <c r="L502" s="12">
        <v>12979.999999999998</v>
      </c>
      <c r="M502" s="12">
        <v>-1179.8800000000001</v>
      </c>
      <c r="N502" s="12">
        <v>0</v>
      </c>
      <c r="O502" s="12">
        <v>1534.015766</v>
      </c>
      <c r="P502" s="12">
        <v>13334.135765999999</v>
      </c>
    </row>
    <row r="503" spans="1:16" ht="14.5" x14ac:dyDescent="0.25">
      <c r="A503" s="10">
        <v>45838</v>
      </c>
      <c r="B503" s="2" t="str">
        <f t="shared" si="16"/>
        <v>Jun-2025</v>
      </c>
      <c r="C503" s="2" t="str">
        <f t="shared" si="17"/>
        <v>Q1</v>
      </c>
      <c r="D503" s="2" t="s">
        <v>28</v>
      </c>
      <c r="E503" s="11" t="s">
        <v>169</v>
      </c>
      <c r="F503" s="11" t="s">
        <v>14</v>
      </c>
      <c r="G503" s="11" t="s">
        <v>503</v>
      </c>
      <c r="H503" s="11" t="s">
        <v>172</v>
      </c>
      <c r="I503" s="12">
        <v>1</v>
      </c>
      <c r="J503" s="12">
        <v>180</v>
      </c>
      <c r="K503" s="12">
        <v>101.41</v>
      </c>
      <c r="L503" s="12">
        <v>18253.8</v>
      </c>
      <c r="M503" s="12">
        <v>-1659.27</v>
      </c>
      <c r="N503" s="12">
        <v>0</v>
      </c>
      <c r="O503" s="12">
        <v>2157.2891340000001</v>
      </c>
      <c r="P503" s="12">
        <v>18751.819134000001</v>
      </c>
    </row>
    <row r="504" spans="1:16" ht="14.5" x14ac:dyDescent="0.25">
      <c r="A504" s="10">
        <v>45838</v>
      </c>
      <c r="B504" s="2" t="str">
        <f t="shared" si="16"/>
        <v>Jun-2025</v>
      </c>
      <c r="C504" s="2" t="str">
        <f t="shared" si="17"/>
        <v>Q1</v>
      </c>
      <c r="D504" s="2" t="s">
        <v>28</v>
      </c>
      <c r="E504" s="11" t="s">
        <v>169</v>
      </c>
      <c r="F504" s="11" t="s">
        <v>14</v>
      </c>
      <c r="G504" s="11" t="s">
        <v>503</v>
      </c>
      <c r="H504" s="11" t="s">
        <v>173</v>
      </c>
      <c r="I504" s="12">
        <v>1</v>
      </c>
      <c r="J504" s="12">
        <v>120</v>
      </c>
      <c r="K504" s="12">
        <v>84.51</v>
      </c>
      <c r="L504" s="12">
        <v>10141.199999999999</v>
      </c>
      <c r="M504" s="12">
        <v>-921.84</v>
      </c>
      <c r="N504" s="12">
        <v>0</v>
      </c>
      <c r="O504" s="12">
        <v>1198.5169300000002</v>
      </c>
      <c r="P504" s="12">
        <v>10417.87693</v>
      </c>
    </row>
    <row r="505" spans="1:16" ht="14.5" x14ac:dyDescent="0.25">
      <c r="A505" s="10">
        <v>45838</v>
      </c>
      <c r="B505" s="2" t="str">
        <f t="shared" si="16"/>
        <v>Jun-2025</v>
      </c>
      <c r="C505" s="2" t="str">
        <f t="shared" si="17"/>
        <v>Q1</v>
      </c>
      <c r="D505" s="2" t="s">
        <v>28</v>
      </c>
      <c r="E505" s="11" t="s">
        <v>169</v>
      </c>
      <c r="F505" s="11" t="s">
        <v>14</v>
      </c>
      <c r="G505" s="11" t="s">
        <v>503</v>
      </c>
      <c r="H505" s="11" t="s">
        <v>174</v>
      </c>
      <c r="I505" s="12">
        <v>1</v>
      </c>
      <c r="J505" s="12">
        <v>180</v>
      </c>
      <c r="K505" s="12">
        <v>87.89</v>
      </c>
      <c r="L505" s="12">
        <v>15820.199999999999</v>
      </c>
      <c r="M505" s="12">
        <v>-1438.0600000000002</v>
      </c>
      <c r="N505" s="12">
        <v>0</v>
      </c>
      <c r="O505" s="12">
        <v>1869.6784030000001</v>
      </c>
      <c r="P505" s="12">
        <v>16251.818402999999</v>
      </c>
    </row>
    <row r="506" spans="1:16" ht="14.5" x14ac:dyDescent="0.25">
      <c r="A506" s="10">
        <v>45838</v>
      </c>
      <c r="B506" s="2" t="str">
        <f t="shared" si="16"/>
        <v>Jun-2025</v>
      </c>
      <c r="C506" s="2" t="str">
        <f t="shared" si="17"/>
        <v>Q1</v>
      </c>
      <c r="D506" s="2" t="s">
        <v>28</v>
      </c>
      <c r="E506" s="11" t="s">
        <v>169</v>
      </c>
      <c r="F506" s="11" t="s">
        <v>14</v>
      </c>
      <c r="G506" s="11" t="s">
        <v>507</v>
      </c>
      <c r="H506" s="11" t="s">
        <v>60</v>
      </c>
      <c r="I506" s="12">
        <v>2</v>
      </c>
      <c r="J506" s="12">
        <v>120</v>
      </c>
      <c r="K506" s="12">
        <v>101.41</v>
      </c>
      <c r="L506" s="12">
        <v>12169.2</v>
      </c>
      <c r="M506" s="12">
        <v>-1106.18</v>
      </c>
      <c r="N506" s="12">
        <v>0</v>
      </c>
      <c r="O506" s="12">
        <v>1438.1927560000001</v>
      </c>
      <c r="P506" s="12">
        <v>12501.212756000001</v>
      </c>
    </row>
    <row r="507" spans="1:16" ht="14.5" x14ac:dyDescent="0.25">
      <c r="A507" s="10">
        <v>45838</v>
      </c>
      <c r="B507" s="2" t="str">
        <f t="shared" si="16"/>
        <v>Jun-2025</v>
      </c>
      <c r="C507" s="2" t="str">
        <f t="shared" si="17"/>
        <v>Q1</v>
      </c>
      <c r="D507" s="2" t="s">
        <v>28</v>
      </c>
      <c r="E507" s="11" t="s">
        <v>169</v>
      </c>
      <c r="F507" s="11" t="s">
        <v>14</v>
      </c>
      <c r="G507" s="11" t="s">
        <v>507</v>
      </c>
      <c r="H507" s="11" t="s">
        <v>90</v>
      </c>
      <c r="I507" s="12">
        <v>1</v>
      </c>
      <c r="J507" s="12">
        <v>120</v>
      </c>
      <c r="K507" s="12">
        <v>57.46</v>
      </c>
      <c r="L507" s="12">
        <v>6895.2</v>
      </c>
      <c r="M507" s="12">
        <v>-626.77</v>
      </c>
      <c r="N507" s="12">
        <v>0</v>
      </c>
      <c r="O507" s="12">
        <v>814.8959880000001</v>
      </c>
      <c r="P507" s="12">
        <v>7083.3259879999996</v>
      </c>
    </row>
    <row r="508" spans="1:16" ht="14.5" x14ac:dyDescent="0.25">
      <c r="A508" s="10">
        <v>45838</v>
      </c>
      <c r="B508" s="2" t="str">
        <f t="shared" si="16"/>
        <v>Jun-2025</v>
      </c>
      <c r="C508" s="2" t="str">
        <f t="shared" si="17"/>
        <v>Q1</v>
      </c>
      <c r="D508" s="2" t="s">
        <v>28</v>
      </c>
      <c r="E508" s="11" t="s">
        <v>169</v>
      </c>
      <c r="F508" s="11" t="s">
        <v>14</v>
      </c>
      <c r="G508" s="11" t="s">
        <v>505</v>
      </c>
      <c r="H508" s="11" t="s">
        <v>167</v>
      </c>
      <c r="I508" s="12">
        <v>1</v>
      </c>
      <c r="J508" s="12">
        <v>180</v>
      </c>
      <c r="K508" s="12">
        <v>91.27</v>
      </c>
      <c r="L508" s="12">
        <v>16428.599999999999</v>
      </c>
      <c r="M508" s="12">
        <v>-1493.36</v>
      </c>
      <c r="N508" s="12">
        <v>0</v>
      </c>
      <c r="O508" s="12">
        <v>1941.5814109999999</v>
      </c>
      <c r="P508" s="12">
        <v>16876.821411000001</v>
      </c>
    </row>
    <row r="509" spans="1:16" ht="14.5" x14ac:dyDescent="0.25">
      <c r="A509" s="10">
        <v>45838</v>
      </c>
      <c r="B509" s="2" t="str">
        <f t="shared" si="16"/>
        <v>Jun-2025</v>
      </c>
      <c r="C509" s="2" t="str">
        <f t="shared" si="17"/>
        <v>Q1</v>
      </c>
      <c r="D509" s="2" t="s">
        <v>28</v>
      </c>
      <c r="E509" s="11" t="s">
        <v>169</v>
      </c>
      <c r="F509" s="11" t="s">
        <v>14</v>
      </c>
      <c r="G509" s="11" t="s">
        <v>503</v>
      </c>
      <c r="H509" s="11" t="s">
        <v>89</v>
      </c>
      <c r="I509" s="12">
        <v>1</v>
      </c>
      <c r="J509" s="12">
        <v>120</v>
      </c>
      <c r="K509" s="12">
        <v>118.31</v>
      </c>
      <c r="L509" s="12">
        <v>14197.199999999999</v>
      </c>
      <c r="M509" s="12">
        <v>-1290.53</v>
      </c>
      <c r="N509" s="12">
        <v>0</v>
      </c>
      <c r="O509" s="12">
        <v>1677.8672820000002</v>
      </c>
      <c r="P509" s="12">
        <v>14584.537281999999</v>
      </c>
    </row>
    <row r="510" spans="1:16" ht="14.5" x14ac:dyDescent="0.25">
      <c r="A510" s="10">
        <v>45838</v>
      </c>
      <c r="B510" s="2" t="str">
        <f t="shared" si="16"/>
        <v>Jun-2025</v>
      </c>
      <c r="C510" s="2" t="str">
        <f t="shared" si="17"/>
        <v>Q1</v>
      </c>
      <c r="D510" s="2" t="s">
        <v>28</v>
      </c>
      <c r="E510" s="11" t="s">
        <v>169</v>
      </c>
      <c r="F510" s="11" t="s">
        <v>14</v>
      </c>
      <c r="G510" s="11" t="s">
        <v>506</v>
      </c>
      <c r="H510" s="11" t="s">
        <v>58</v>
      </c>
      <c r="I510" s="12">
        <v>2</v>
      </c>
      <c r="J510" s="12">
        <v>144</v>
      </c>
      <c r="K510" s="12">
        <v>148.72999999999999</v>
      </c>
      <c r="L510" s="12">
        <v>21417.119999999999</v>
      </c>
      <c r="M510" s="12">
        <v>-1946.82</v>
      </c>
      <c r="N510" s="12">
        <v>0</v>
      </c>
      <c r="O510" s="12">
        <v>2531.1392740000001</v>
      </c>
      <c r="P510" s="12">
        <v>22001.439274</v>
      </c>
    </row>
    <row r="511" spans="1:16" ht="14.5" x14ac:dyDescent="0.25">
      <c r="A511" s="10">
        <v>45838</v>
      </c>
      <c r="B511" s="2" t="str">
        <f t="shared" si="16"/>
        <v>Jun-2025</v>
      </c>
      <c r="C511" s="2" t="str">
        <f t="shared" si="17"/>
        <v>Q1</v>
      </c>
      <c r="D511" s="2" t="s">
        <v>28</v>
      </c>
      <c r="E511" s="11" t="s">
        <v>169</v>
      </c>
      <c r="F511" s="11" t="s">
        <v>14</v>
      </c>
      <c r="G511" s="11" t="s">
        <v>503</v>
      </c>
      <c r="H511" s="11" t="s">
        <v>42</v>
      </c>
      <c r="I511" s="12">
        <v>1</v>
      </c>
      <c r="J511" s="12">
        <v>120</v>
      </c>
      <c r="K511" s="12">
        <v>141.97</v>
      </c>
      <c r="L511" s="12">
        <v>17036.400000000001</v>
      </c>
      <c r="M511" s="12">
        <v>-1548.61</v>
      </c>
      <c r="N511" s="12">
        <v>0</v>
      </c>
      <c r="O511" s="12">
        <v>2013.412918</v>
      </c>
      <c r="P511" s="12">
        <v>17501.202917999999</v>
      </c>
    </row>
    <row r="512" spans="1:16" ht="14.5" x14ac:dyDescent="0.25">
      <c r="A512" s="10">
        <v>45838</v>
      </c>
      <c r="B512" s="2" t="str">
        <f t="shared" si="16"/>
        <v>Jun-2025</v>
      </c>
      <c r="C512" s="2" t="str">
        <f t="shared" si="17"/>
        <v>Q1</v>
      </c>
      <c r="D512" s="2" t="s">
        <v>28</v>
      </c>
      <c r="E512" s="11" t="s">
        <v>169</v>
      </c>
      <c r="F512" s="11" t="s">
        <v>14</v>
      </c>
      <c r="G512" s="11" t="s">
        <v>506</v>
      </c>
      <c r="H512" s="11" t="s">
        <v>39</v>
      </c>
      <c r="I512" s="12">
        <v>2</v>
      </c>
      <c r="J512" s="12">
        <v>144</v>
      </c>
      <c r="K512" s="12">
        <v>131.83000000000001</v>
      </c>
      <c r="L512" s="12">
        <v>18983.52</v>
      </c>
      <c r="M512" s="12">
        <v>-1725.6</v>
      </c>
      <c r="N512" s="12">
        <v>0</v>
      </c>
      <c r="O512" s="12">
        <v>2243.5298430000003</v>
      </c>
      <c r="P512" s="12">
        <v>19501.449842999999</v>
      </c>
    </row>
    <row r="513" spans="1:16" ht="14.5" x14ac:dyDescent="0.25">
      <c r="A513" s="10">
        <v>45838</v>
      </c>
      <c r="B513" s="2" t="str">
        <f t="shared" si="16"/>
        <v>Jun-2025</v>
      </c>
      <c r="C513" s="2" t="str">
        <f t="shared" si="17"/>
        <v>Q1</v>
      </c>
      <c r="D513" s="2" t="s">
        <v>28</v>
      </c>
      <c r="E513" s="11" t="s">
        <v>169</v>
      </c>
      <c r="F513" s="11" t="s">
        <v>14</v>
      </c>
      <c r="G513" s="11" t="s">
        <v>503</v>
      </c>
      <c r="H513" s="11" t="s">
        <v>175</v>
      </c>
      <c r="I513" s="12">
        <v>1</v>
      </c>
      <c r="J513" s="12">
        <v>120</v>
      </c>
      <c r="K513" s="12">
        <v>77.75</v>
      </c>
      <c r="L513" s="12">
        <v>9330</v>
      </c>
      <c r="M513" s="12">
        <v>-848.1</v>
      </c>
      <c r="N513" s="12">
        <v>0</v>
      </c>
      <c r="O513" s="12">
        <v>1102.6471199999999</v>
      </c>
      <c r="P513" s="12">
        <v>9584.5471199999993</v>
      </c>
    </row>
    <row r="514" spans="1:16" ht="14.5" x14ac:dyDescent="0.25">
      <c r="A514" s="10">
        <v>45838</v>
      </c>
      <c r="B514" s="2" t="str">
        <f t="shared" si="16"/>
        <v>Jun-2025</v>
      </c>
      <c r="C514" s="2" t="str">
        <f t="shared" si="17"/>
        <v>Q1</v>
      </c>
      <c r="D514" s="2" t="s">
        <v>28</v>
      </c>
      <c r="E514" s="11" t="s">
        <v>169</v>
      </c>
      <c r="F514" s="11" t="s">
        <v>14</v>
      </c>
      <c r="G514" s="11" t="s">
        <v>503</v>
      </c>
      <c r="H514" s="11" t="s">
        <v>176</v>
      </c>
      <c r="I514" s="12">
        <v>1</v>
      </c>
      <c r="J514" s="12">
        <v>120</v>
      </c>
      <c r="K514" s="12">
        <v>162.25</v>
      </c>
      <c r="L514" s="12">
        <v>19470</v>
      </c>
      <c r="M514" s="12">
        <v>-1769.8200000000002</v>
      </c>
      <c r="N514" s="12">
        <v>0</v>
      </c>
      <c r="O514" s="12">
        <v>2301.0236500000001</v>
      </c>
      <c r="P514" s="12">
        <v>20001.203649999999</v>
      </c>
    </row>
    <row r="515" spans="1:16" ht="14.5" x14ac:dyDescent="0.25">
      <c r="A515" s="10">
        <v>45838</v>
      </c>
      <c r="B515" s="2" t="str">
        <f t="shared" si="16"/>
        <v>Jun-2025</v>
      </c>
      <c r="C515" s="2" t="str">
        <f t="shared" si="17"/>
        <v>Q1</v>
      </c>
      <c r="D515" s="2" t="s">
        <v>28</v>
      </c>
      <c r="E515" s="11" t="s">
        <v>169</v>
      </c>
      <c r="F515" s="11" t="s">
        <v>14</v>
      </c>
      <c r="G515" s="11" t="s">
        <v>503</v>
      </c>
      <c r="H515" s="11" t="s">
        <v>177</v>
      </c>
      <c r="I515" s="12">
        <v>1</v>
      </c>
      <c r="J515" s="12">
        <v>120</v>
      </c>
      <c r="K515" s="12">
        <v>94.65</v>
      </c>
      <c r="L515" s="12">
        <v>11358</v>
      </c>
      <c r="M515" s="12">
        <v>-1032.44</v>
      </c>
      <c r="N515" s="12">
        <v>0</v>
      </c>
      <c r="O515" s="12">
        <v>1342.3229460000002</v>
      </c>
      <c r="P515" s="12">
        <v>11667.882946</v>
      </c>
    </row>
    <row r="516" spans="1:16" ht="14.5" x14ac:dyDescent="0.25">
      <c r="A516" s="10">
        <v>45838</v>
      </c>
      <c r="B516" s="2" t="str">
        <f t="shared" si="16"/>
        <v>Jun-2025</v>
      </c>
      <c r="C516" s="2" t="str">
        <f t="shared" si="17"/>
        <v>Q1</v>
      </c>
      <c r="D516" s="2" t="s">
        <v>28</v>
      </c>
      <c r="E516" s="11" t="s">
        <v>169</v>
      </c>
      <c r="F516" s="11" t="s">
        <v>14</v>
      </c>
      <c r="G516" s="11" t="s">
        <v>508</v>
      </c>
      <c r="H516" s="11" t="s">
        <v>178</v>
      </c>
      <c r="I516" s="12">
        <v>1</v>
      </c>
      <c r="J516" s="12">
        <v>60</v>
      </c>
      <c r="K516" s="12">
        <v>148.72999999999999</v>
      </c>
      <c r="L516" s="12">
        <v>8923.8000000000011</v>
      </c>
      <c r="M516" s="12">
        <v>-811.17</v>
      </c>
      <c r="N516" s="12">
        <v>0</v>
      </c>
      <c r="O516" s="12">
        <v>1054.642014</v>
      </c>
      <c r="P516" s="12">
        <v>9167.2720140000001</v>
      </c>
    </row>
    <row r="517" spans="1:16" ht="14.5" x14ac:dyDescent="0.25">
      <c r="A517" s="10">
        <v>45838</v>
      </c>
      <c r="B517" s="2" t="str">
        <f t="shared" si="16"/>
        <v>Jun-2025</v>
      </c>
      <c r="C517" s="2" t="str">
        <f t="shared" si="17"/>
        <v>Q1</v>
      </c>
      <c r="D517" s="2" t="s">
        <v>28</v>
      </c>
      <c r="E517" s="11" t="s">
        <v>169</v>
      </c>
      <c r="F517" s="11" t="s">
        <v>14</v>
      </c>
      <c r="G517" s="11" t="s">
        <v>506</v>
      </c>
      <c r="H517" s="11" t="s">
        <v>54</v>
      </c>
      <c r="I517" s="12">
        <v>2</v>
      </c>
      <c r="J517" s="12">
        <v>96</v>
      </c>
      <c r="K517" s="12">
        <v>310.99</v>
      </c>
      <c r="L517" s="12">
        <v>29855.039999999997</v>
      </c>
      <c r="M517" s="12">
        <v>-2713.82</v>
      </c>
      <c r="N517" s="12">
        <v>0</v>
      </c>
      <c r="O517" s="12">
        <v>3528.3589830000001</v>
      </c>
      <c r="P517" s="12">
        <v>30669.578982999999</v>
      </c>
    </row>
    <row r="518" spans="1:16" ht="14.5" x14ac:dyDescent="0.25">
      <c r="A518" s="10">
        <v>45838</v>
      </c>
      <c r="B518" s="2" t="str">
        <f t="shared" si="16"/>
        <v>Jun-2025</v>
      </c>
      <c r="C518" s="2" t="str">
        <f t="shared" si="17"/>
        <v>Q1</v>
      </c>
      <c r="D518" s="2" t="s">
        <v>28</v>
      </c>
      <c r="E518" s="11" t="s">
        <v>169</v>
      </c>
      <c r="F518" s="11" t="s">
        <v>14</v>
      </c>
      <c r="G518" s="11" t="s">
        <v>503</v>
      </c>
      <c r="H518" s="11" t="s">
        <v>179</v>
      </c>
      <c r="I518" s="12">
        <v>1</v>
      </c>
      <c r="J518" s="12">
        <v>180</v>
      </c>
      <c r="K518" s="12">
        <v>128.44999999999999</v>
      </c>
      <c r="L518" s="12">
        <v>23121.000000000004</v>
      </c>
      <c r="M518" s="12">
        <v>-2101.6999999999998</v>
      </c>
      <c r="N518" s="12">
        <v>0</v>
      </c>
      <c r="O518" s="12">
        <v>2732.5092960000002</v>
      </c>
      <c r="P518" s="12">
        <v>23751.809295999999</v>
      </c>
    </row>
    <row r="519" spans="1:16" ht="14.5" x14ac:dyDescent="0.25">
      <c r="A519" s="10">
        <v>45838</v>
      </c>
      <c r="B519" s="2" t="str">
        <f t="shared" si="16"/>
        <v>Jun-2025</v>
      </c>
      <c r="C519" s="2" t="str">
        <f t="shared" si="17"/>
        <v>Q1</v>
      </c>
      <c r="D519" s="2" t="s">
        <v>28</v>
      </c>
      <c r="E519" s="11" t="s">
        <v>169</v>
      </c>
      <c r="F519" s="11" t="s">
        <v>14</v>
      </c>
      <c r="G519" s="11" t="s">
        <v>503</v>
      </c>
      <c r="H519" s="11" t="s">
        <v>180</v>
      </c>
      <c r="I519" s="12">
        <v>1</v>
      </c>
      <c r="J519" s="12">
        <v>80</v>
      </c>
      <c r="K519" s="12">
        <v>141.97</v>
      </c>
      <c r="L519" s="12">
        <v>11357.599999999999</v>
      </c>
      <c r="M519" s="12">
        <v>-1032.4099999999999</v>
      </c>
      <c r="N519" s="12">
        <v>0</v>
      </c>
      <c r="O519" s="12">
        <v>1342.274846</v>
      </c>
      <c r="P519" s="12">
        <v>11667.464846000001</v>
      </c>
    </row>
    <row r="520" spans="1:16" ht="14.5" x14ac:dyDescent="0.25">
      <c r="A520" s="10">
        <v>45838</v>
      </c>
      <c r="B520" s="2" t="str">
        <f t="shared" si="16"/>
        <v>Jun-2025</v>
      </c>
      <c r="C520" s="2" t="str">
        <f t="shared" si="17"/>
        <v>Q1</v>
      </c>
      <c r="D520" s="2" t="s">
        <v>28</v>
      </c>
      <c r="E520" s="11" t="s">
        <v>169</v>
      </c>
      <c r="F520" s="11" t="s">
        <v>14</v>
      </c>
      <c r="G520" s="11" t="s">
        <v>505</v>
      </c>
      <c r="H520" s="11" t="s">
        <v>50</v>
      </c>
      <c r="I520" s="12">
        <v>1</v>
      </c>
      <c r="J520" s="12">
        <v>80</v>
      </c>
      <c r="K520" s="12">
        <v>169.01</v>
      </c>
      <c r="L520" s="12">
        <v>13520.8</v>
      </c>
      <c r="M520" s="12">
        <v>-1229.04</v>
      </c>
      <c r="N520" s="12">
        <v>0</v>
      </c>
      <c r="O520" s="12">
        <v>1597.9289729999998</v>
      </c>
      <c r="P520" s="12">
        <v>13889.688973</v>
      </c>
    </row>
    <row r="521" spans="1:16" ht="14.5" x14ac:dyDescent="0.25">
      <c r="A521" s="10">
        <v>45838</v>
      </c>
      <c r="B521" s="2" t="str">
        <f t="shared" si="16"/>
        <v>Jun-2025</v>
      </c>
      <c r="C521" s="2" t="str">
        <f t="shared" si="17"/>
        <v>Q1</v>
      </c>
      <c r="D521" s="2" t="s">
        <v>28</v>
      </c>
      <c r="E521" s="11" t="s">
        <v>169</v>
      </c>
      <c r="F521" s="11" t="s">
        <v>14</v>
      </c>
      <c r="G521" s="11" t="s">
        <v>505</v>
      </c>
      <c r="H521" s="11" t="s">
        <v>56</v>
      </c>
      <c r="I521" s="12">
        <v>1</v>
      </c>
      <c r="J521" s="12">
        <v>120</v>
      </c>
      <c r="K521" s="12">
        <v>57.46</v>
      </c>
      <c r="L521" s="12">
        <v>6895.2</v>
      </c>
      <c r="M521" s="12">
        <v>-626.77</v>
      </c>
      <c r="N521" s="12">
        <v>0</v>
      </c>
      <c r="O521" s="12">
        <v>814.8959880000001</v>
      </c>
      <c r="P521" s="12">
        <v>7083.3259879999996</v>
      </c>
    </row>
    <row r="522" spans="1:16" ht="14.5" x14ac:dyDescent="0.25">
      <c r="A522" s="10">
        <v>45838</v>
      </c>
      <c r="B522" s="2" t="str">
        <f t="shared" si="16"/>
        <v>Jun-2025</v>
      </c>
      <c r="C522" s="2" t="str">
        <f t="shared" si="17"/>
        <v>Q1</v>
      </c>
      <c r="D522" s="2" t="s">
        <v>28</v>
      </c>
      <c r="E522" s="11" t="s">
        <v>169</v>
      </c>
      <c r="F522" s="11" t="s">
        <v>14</v>
      </c>
      <c r="G522" s="11" t="s">
        <v>506</v>
      </c>
      <c r="H522" s="11" t="s">
        <v>181</v>
      </c>
      <c r="I522" s="12">
        <v>1</v>
      </c>
      <c r="J522" s="12">
        <v>100</v>
      </c>
      <c r="K522" s="12">
        <v>98.03</v>
      </c>
      <c r="L522" s="12">
        <v>9803</v>
      </c>
      <c r="M522" s="12">
        <v>-891.08999999999992</v>
      </c>
      <c r="N522" s="12">
        <v>0</v>
      </c>
      <c r="O522" s="12">
        <v>1158.5484260000001</v>
      </c>
      <c r="P522" s="12">
        <v>10070.458425999999</v>
      </c>
    </row>
    <row r="523" spans="1:16" ht="14.5" x14ac:dyDescent="0.25">
      <c r="A523" s="10">
        <v>45839</v>
      </c>
      <c r="B523" s="2" t="str">
        <f t="shared" si="16"/>
        <v>Jul-2025</v>
      </c>
      <c r="C523" s="2" t="str">
        <f t="shared" si="17"/>
        <v>Q2</v>
      </c>
      <c r="D523" s="2" t="s">
        <v>28</v>
      </c>
      <c r="E523" s="11" t="s">
        <v>182</v>
      </c>
      <c r="F523" s="11" t="s">
        <v>104</v>
      </c>
      <c r="G523" s="11" t="s">
        <v>504</v>
      </c>
      <c r="H523" s="11" t="s">
        <v>53</v>
      </c>
      <c r="I523" s="12">
        <v>0.11</v>
      </c>
      <c r="J523" s="12">
        <v>11</v>
      </c>
      <c r="K523" s="12">
        <v>120.35</v>
      </c>
      <c r="L523" s="12">
        <v>1323.85</v>
      </c>
      <c r="M523" s="12" t="s">
        <v>113</v>
      </c>
      <c r="N523" s="12" t="s">
        <v>113</v>
      </c>
      <c r="O523" s="12" t="s">
        <v>113</v>
      </c>
      <c r="P523" s="12">
        <v>1323.85</v>
      </c>
    </row>
    <row r="524" spans="1:16" ht="14.5" x14ac:dyDescent="0.25">
      <c r="A524" s="10">
        <v>45839</v>
      </c>
      <c r="B524" s="2" t="str">
        <f t="shared" si="16"/>
        <v>Jul-2025</v>
      </c>
      <c r="C524" s="2" t="str">
        <f t="shared" si="17"/>
        <v>Q2</v>
      </c>
      <c r="D524" s="2" t="s">
        <v>28</v>
      </c>
      <c r="E524" s="11" t="s">
        <v>183</v>
      </c>
      <c r="F524" s="11" t="s">
        <v>104</v>
      </c>
      <c r="G524" s="11" t="s">
        <v>503</v>
      </c>
      <c r="H524" s="11" t="s">
        <v>87</v>
      </c>
      <c r="I524" s="12">
        <v>0.04</v>
      </c>
      <c r="J524" s="12">
        <v>7</v>
      </c>
      <c r="K524" s="12">
        <v>120.35</v>
      </c>
      <c r="L524" s="12">
        <v>842.44999999999993</v>
      </c>
      <c r="M524" s="12">
        <v>0</v>
      </c>
      <c r="N524" s="12">
        <v>0</v>
      </c>
      <c r="O524" s="12">
        <v>109.51855</v>
      </c>
      <c r="P524" s="12">
        <v>951.96855000000005</v>
      </c>
    </row>
    <row r="525" spans="1:16" ht="14.5" x14ac:dyDescent="0.25">
      <c r="A525" s="10">
        <v>45839</v>
      </c>
      <c r="B525" s="2" t="str">
        <f t="shared" si="16"/>
        <v>Jul-2025</v>
      </c>
      <c r="C525" s="2" t="str">
        <f t="shared" si="17"/>
        <v>Q2</v>
      </c>
      <c r="D525" s="2" t="s">
        <v>28</v>
      </c>
      <c r="E525" s="11" t="s">
        <v>183</v>
      </c>
      <c r="F525" s="11" t="s">
        <v>104</v>
      </c>
      <c r="G525" s="11" t="s">
        <v>506</v>
      </c>
      <c r="H525" s="11" t="s">
        <v>58</v>
      </c>
      <c r="I525" s="12">
        <v>0.19</v>
      </c>
      <c r="J525" s="12">
        <v>14</v>
      </c>
      <c r="K525" s="12">
        <v>155.75</v>
      </c>
      <c r="L525" s="12">
        <v>2180.5</v>
      </c>
      <c r="M525" s="12">
        <v>0</v>
      </c>
      <c r="N525" s="12">
        <v>0</v>
      </c>
      <c r="O525" s="12">
        <v>283.46512899999999</v>
      </c>
      <c r="P525" s="12">
        <v>2463.9651290000002</v>
      </c>
    </row>
    <row r="526" spans="1:16" ht="14.5" x14ac:dyDescent="0.25">
      <c r="A526" s="10">
        <v>45839</v>
      </c>
      <c r="B526" s="2" t="str">
        <f t="shared" si="16"/>
        <v>Jul-2025</v>
      </c>
      <c r="C526" s="2" t="str">
        <f t="shared" si="17"/>
        <v>Q2</v>
      </c>
      <c r="D526" s="2" t="s">
        <v>28</v>
      </c>
      <c r="E526" s="11" t="s">
        <v>183</v>
      </c>
      <c r="F526" s="11" t="s">
        <v>104</v>
      </c>
      <c r="G526" s="11" t="s">
        <v>503</v>
      </c>
      <c r="H526" s="11" t="s">
        <v>41</v>
      </c>
      <c r="I526" s="12">
        <v>0.12</v>
      </c>
      <c r="J526" s="12">
        <v>22</v>
      </c>
      <c r="K526" s="12">
        <v>63.72</v>
      </c>
      <c r="L526" s="12">
        <v>1401.84</v>
      </c>
      <c r="M526" s="12">
        <v>0</v>
      </c>
      <c r="N526" s="12">
        <v>0</v>
      </c>
      <c r="O526" s="12">
        <v>182.239283</v>
      </c>
      <c r="P526" s="12">
        <v>1584.079283</v>
      </c>
    </row>
    <row r="527" spans="1:16" ht="14.5" x14ac:dyDescent="0.25">
      <c r="A527" s="10">
        <v>45839</v>
      </c>
      <c r="B527" s="2" t="str">
        <f t="shared" si="16"/>
        <v>Jul-2025</v>
      </c>
      <c r="C527" s="2" t="str">
        <f t="shared" si="17"/>
        <v>Q2</v>
      </c>
      <c r="D527" s="2" t="s">
        <v>28</v>
      </c>
      <c r="E527" s="11" t="s">
        <v>183</v>
      </c>
      <c r="F527" s="11" t="s">
        <v>104</v>
      </c>
      <c r="G527" s="11" t="s">
        <v>506</v>
      </c>
      <c r="H527" s="11" t="s">
        <v>39</v>
      </c>
      <c r="I527" s="12">
        <v>0.06</v>
      </c>
      <c r="J527" s="12">
        <v>4</v>
      </c>
      <c r="K527" s="12">
        <v>138.05000000000001</v>
      </c>
      <c r="L527" s="12">
        <v>552.20000000000005</v>
      </c>
      <c r="M527" s="12">
        <v>0</v>
      </c>
      <c r="N527" s="12">
        <v>0</v>
      </c>
      <c r="O527" s="12">
        <v>71.786032999999989</v>
      </c>
      <c r="P527" s="12">
        <v>623.98603300000002</v>
      </c>
    </row>
    <row r="528" spans="1:16" ht="14.5" x14ac:dyDescent="0.25">
      <c r="A528" s="10">
        <v>45839</v>
      </c>
      <c r="B528" s="2" t="str">
        <f t="shared" si="16"/>
        <v>Jul-2025</v>
      </c>
      <c r="C528" s="2" t="str">
        <f t="shared" si="17"/>
        <v>Q2</v>
      </c>
      <c r="D528" s="2" t="s">
        <v>28</v>
      </c>
      <c r="E528" s="11" t="s">
        <v>183</v>
      </c>
      <c r="F528" s="11" t="s">
        <v>104</v>
      </c>
      <c r="G528" s="11" t="s">
        <v>505</v>
      </c>
      <c r="H528" s="11" t="s">
        <v>40</v>
      </c>
      <c r="I528" s="12">
        <v>0.42</v>
      </c>
      <c r="J528" s="12">
        <v>76</v>
      </c>
      <c r="K528" s="12">
        <v>99.12</v>
      </c>
      <c r="L528" s="12">
        <v>7533.12</v>
      </c>
      <c r="M528" s="12">
        <v>0</v>
      </c>
      <c r="N528" s="12">
        <v>0</v>
      </c>
      <c r="O528" s="12">
        <v>979.30604400000004</v>
      </c>
      <c r="P528" s="12">
        <v>8512.4260439999998</v>
      </c>
    </row>
    <row r="529" spans="1:16" ht="14.5" x14ac:dyDescent="0.25">
      <c r="A529" s="10">
        <v>45839</v>
      </c>
      <c r="B529" s="2" t="str">
        <f t="shared" si="16"/>
        <v>Jul-2025</v>
      </c>
      <c r="C529" s="2" t="str">
        <f t="shared" si="17"/>
        <v>Q2</v>
      </c>
      <c r="D529" s="2" t="s">
        <v>28</v>
      </c>
      <c r="E529" s="11" t="s">
        <v>183</v>
      </c>
      <c r="F529" s="11" t="s">
        <v>104</v>
      </c>
      <c r="G529" s="11" t="s">
        <v>503</v>
      </c>
      <c r="H529" s="11" t="s">
        <v>45</v>
      </c>
      <c r="I529" s="12">
        <v>0.21</v>
      </c>
      <c r="J529" s="12">
        <v>38</v>
      </c>
      <c r="K529" s="12">
        <v>67.260000000000005</v>
      </c>
      <c r="L529" s="12">
        <v>2555.8799999999997</v>
      </c>
      <c r="M529" s="12">
        <v>0</v>
      </c>
      <c r="N529" s="12">
        <v>0</v>
      </c>
      <c r="O529" s="12">
        <v>332.26455099999998</v>
      </c>
      <c r="P529" s="12">
        <v>2888.1445509999999</v>
      </c>
    </row>
    <row r="530" spans="1:16" ht="14.5" x14ac:dyDescent="0.25">
      <c r="A530" s="10">
        <v>45839</v>
      </c>
      <c r="B530" s="2" t="str">
        <f t="shared" si="16"/>
        <v>Jul-2025</v>
      </c>
      <c r="C530" s="2" t="str">
        <f t="shared" si="17"/>
        <v>Q2</v>
      </c>
      <c r="D530" s="2" t="s">
        <v>28</v>
      </c>
      <c r="E530" s="11" t="s">
        <v>183</v>
      </c>
      <c r="F530" s="11" t="s">
        <v>104</v>
      </c>
      <c r="G530" s="11" t="s">
        <v>507</v>
      </c>
      <c r="H530" s="11" t="s">
        <v>90</v>
      </c>
      <c r="I530" s="12">
        <v>0.66</v>
      </c>
      <c r="J530" s="12">
        <v>79</v>
      </c>
      <c r="K530" s="12">
        <v>60.18</v>
      </c>
      <c r="L530" s="12">
        <v>4754.22</v>
      </c>
      <c r="M530" s="12">
        <v>0</v>
      </c>
      <c r="N530" s="12">
        <v>0</v>
      </c>
      <c r="O530" s="12">
        <v>618.04888000000005</v>
      </c>
      <c r="P530" s="12">
        <v>5372.2688799999996</v>
      </c>
    </row>
    <row r="531" spans="1:16" ht="14.5" x14ac:dyDescent="0.25">
      <c r="A531" s="10">
        <v>45839</v>
      </c>
      <c r="B531" s="2" t="str">
        <f t="shared" si="16"/>
        <v>Jul-2025</v>
      </c>
      <c r="C531" s="2" t="str">
        <f t="shared" si="17"/>
        <v>Q2</v>
      </c>
      <c r="D531" s="2" t="s">
        <v>28</v>
      </c>
      <c r="E531" s="11" t="s">
        <v>183</v>
      </c>
      <c r="F531" s="11" t="s">
        <v>104</v>
      </c>
      <c r="G531" s="11" t="s">
        <v>503</v>
      </c>
      <c r="H531" s="11" t="s">
        <v>89</v>
      </c>
      <c r="I531" s="12">
        <v>0.06</v>
      </c>
      <c r="J531" s="12">
        <v>7</v>
      </c>
      <c r="K531" s="12">
        <v>123.89</v>
      </c>
      <c r="L531" s="12">
        <v>867.23</v>
      </c>
      <c r="M531" s="12">
        <v>0</v>
      </c>
      <c r="N531" s="12">
        <v>0</v>
      </c>
      <c r="O531" s="12">
        <v>112.739951</v>
      </c>
      <c r="P531" s="12">
        <v>979.96995100000004</v>
      </c>
    </row>
    <row r="532" spans="1:16" ht="14.5" x14ac:dyDescent="0.25">
      <c r="A532" s="10">
        <v>45839</v>
      </c>
      <c r="B532" s="2" t="str">
        <f t="shared" si="16"/>
        <v>Jul-2025</v>
      </c>
      <c r="C532" s="2" t="str">
        <f t="shared" si="17"/>
        <v>Q2</v>
      </c>
      <c r="D532" s="2" t="s">
        <v>28</v>
      </c>
      <c r="E532" s="11" t="s">
        <v>183</v>
      </c>
      <c r="F532" s="11" t="s">
        <v>104</v>
      </c>
      <c r="G532" s="11" t="s">
        <v>505</v>
      </c>
      <c r="H532" s="11" t="s">
        <v>56</v>
      </c>
      <c r="I532" s="12">
        <v>0.28999999999999998</v>
      </c>
      <c r="J532" s="12">
        <v>35</v>
      </c>
      <c r="K532" s="12">
        <v>60.18</v>
      </c>
      <c r="L532" s="12">
        <v>2106.3000000000002</v>
      </c>
      <c r="M532" s="12">
        <v>0</v>
      </c>
      <c r="N532" s="12">
        <v>0</v>
      </c>
      <c r="O532" s="12">
        <v>273.81912399999999</v>
      </c>
      <c r="P532" s="12">
        <v>2380.1191239999998</v>
      </c>
    </row>
    <row r="533" spans="1:16" ht="14.5" x14ac:dyDescent="0.25">
      <c r="A533" s="10">
        <v>45839</v>
      </c>
      <c r="B533" s="2" t="str">
        <f t="shared" si="16"/>
        <v>Jul-2025</v>
      </c>
      <c r="C533" s="2" t="str">
        <f t="shared" si="17"/>
        <v>Q2</v>
      </c>
      <c r="D533" s="2" t="s">
        <v>28</v>
      </c>
      <c r="E533" s="11" t="s">
        <v>183</v>
      </c>
      <c r="F533" s="11" t="s">
        <v>104</v>
      </c>
      <c r="G533" s="11" t="s">
        <v>503</v>
      </c>
      <c r="H533" s="11" t="s">
        <v>51</v>
      </c>
      <c r="I533" s="12">
        <v>7.0000000000000007E-2</v>
      </c>
      <c r="J533" s="12">
        <v>13</v>
      </c>
      <c r="K533" s="12">
        <v>67.260000000000005</v>
      </c>
      <c r="L533" s="12">
        <v>874.38</v>
      </c>
      <c r="M533" s="12">
        <v>0</v>
      </c>
      <c r="N533" s="12">
        <v>0</v>
      </c>
      <c r="O533" s="12">
        <v>113.66945200000001</v>
      </c>
      <c r="P533" s="12">
        <v>988.04945199999997</v>
      </c>
    </row>
    <row r="534" spans="1:16" ht="14.5" x14ac:dyDescent="0.25">
      <c r="A534" s="10">
        <v>45839</v>
      </c>
      <c r="B534" s="2" t="str">
        <f t="shared" si="16"/>
        <v>Jul-2025</v>
      </c>
      <c r="C534" s="2" t="str">
        <f t="shared" si="17"/>
        <v>Q2</v>
      </c>
      <c r="D534" s="2" t="s">
        <v>28</v>
      </c>
      <c r="E534" s="11" t="s">
        <v>183</v>
      </c>
      <c r="F534" s="11" t="s">
        <v>104</v>
      </c>
      <c r="G534" s="11" t="s">
        <v>507</v>
      </c>
      <c r="H534" s="11" t="s">
        <v>60</v>
      </c>
      <c r="I534" s="12">
        <v>0.23</v>
      </c>
      <c r="J534" s="12">
        <v>14</v>
      </c>
      <c r="K534" s="12">
        <v>106.19</v>
      </c>
      <c r="L534" s="12">
        <v>1486.6599999999999</v>
      </c>
      <c r="M534" s="12">
        <v>0</v>
      </c>
      <c r="N534" s="12">
        <v>0</v>
      </c>
      <c r="O534" s="12">
        <v>193.26588799999999</v>
      </c>
      <c r="P534" s="12">
        <v>1679.925888</v>
      </c>
    </row>
    <row r="535" spans="1:16" ht="14.5" x14ac:dyDescent="0.25">
      <c r="A535" s="10">
        <v>45839</v>
      </c>
      <c r="B535" s="2" t="str">
        <f t="shared" si="16"/>
        <v>Jul-2025</v>
      </c>
      <c r="C535" s="2" t="str">
        <f t="shared" si="17"/>
        <v>Q2</v>
      </c>
      <c r="D535" s="2" t="s">
        <v>28</v>
      </c>
      <c r="E535" s="11" t="s">
        <v>183</v>
      </c>
      <c r="F535" s="11" t="s">
        <v>104</v>
      </c>
      <c r="G535" s="11" t="s">
        <v>503</v>
      </c>
      <c r="H535" s="11" t="s">
        <v>59</v>
      </c>
      <c r="I535" s="12">
        <v>0.26</v>
      </c>
      <c r="J535" s="12">
        <v>46</v>
      </c>
      <c r="K535" s="12">
        <v>67.260000000000005</v>
      </c>
      <c r="L535" s="12">
        <v>3093.9599999999996</v>
      </c>
      <c r="M535" s="12">
        <v>0</v>
      </c>
      <c r="N535" s="12">
        <v>0</v>
      </c>
      <c r="O535" s="12">
        <v>402.21498299999996</v>
      </c>
      <c r="P535" s="12">
        <v>3496.1749829999999</v>
      </c>
    </row>
    <row r="536" spans="1:16" ht="14.5" x14ac:dyDescent="0.25">
      <c r="A536" s="10">
        <v>45839</v>
      </c>
      <c r="B536" s="2" t="str">
        <f t="shared" si="16"/>
        <v>Jul-2025</v>
      </c>
      <c r="C536" s="2" t="str">
        <f t="shared" si="17"/>
        <v>Q2</v>
      </c>
      <c r="D536" s="2" t="s">
        <v>28</v>
      </c>
      <c r="E536" s="11" t="s">
        <v>183</v>
      </c>
      <c r="F536" s="11" t="s">
        <v>104</v>
      </c>
      <c r="G536" s="11" t="s">
        <v>504</v>
      </c>
      <c r="H536" s="11" t="s">
        <v>66</v>
      </c>
      <c r="I536" s="12">
        <v>0.2</v>
      </c>
      <c r="J536" s="12">
        <v>20</v>
      </c>
      <c r="K536" s="12">
        <v>113.27</v>
      </c>
      <c r="L536" s="12">
        <v>2265.4</v>
      </c>
      <c r="M536" s="12">
        <v>0</v>
      </c>
      <c r="N536" s="12">
        <v>0</v>
      </c>
      <c r="O536" s="12">
        <v>294.50213400000001</v>
      </c>
      <c r="P536" s="12">
        <v>2559.9021339999999</v>
      </c>
    </row>
    <row r="537" spans="1:16" ht="14.5" x14ac:dyDescent="0.25">
      <c r="A537" s="10">
        <v>45839</v>
      </c>
      <c r="B537" s="2" t="str">
        <f t="shared" si="16"/>
        <v>Jul-2025</v>
      </c>
      <c r="C537" s="2" t="str">
        <f t="shared" si="17"/>
        <v>Q2</v>
      </c>
      <c r="D537" s="2" t="s">
        <v>28</v>
      </c>
      <c r="E537" s="11" t="s">
        <v>184</v>
      </c>
      <c r="F537" s="11" t="s">
        <v>38</v>
      </c>
      <c r="G537" s="11" t="s">
        <v>507</v>
      </c>
      <c r="H537" s="11" t="s">
        <v>60</v>
      </c>
      <c r="I537" s="12">
        <v>0.05</v>
      </c>
      <c r="J537" s="12">
        <v>3</v>
      </c>
      <c r="K537" s="12">
        <v>98.03</v>
      </c>
      <c r="L537" s="12">
        <v>294.08999999999997</v>
      </c>
      <c r="M537" s="12">
        <v>-26.73</v>
      </c>
      <c r="N537" s="12">
        <v>0</v>
      </c>
      <c r="O537" s="12">
        <v>34.754077000000002</v>
      </c>
      <c r="P537" s="12">
        <v>302.11407700000001</v>
      </c>
    </row>
    <row r="538" spans="1:16" ht="14.5" x14ac:dyDescent="0.25">
      <c r="A538" s="10">
        <v>45839</v>
      </c>
      <c r="B538" s="2" t="str">
        <f t="shared" si="16"/>
        <v>Jul-2025</v>
      </c>
      <c r="C538" s="2" t="str">
        <f t="shared" si="17"/>
        <v>Q2</v>
      </c>
      <c r="D538" s="2" t="s">
        <v>28</v>
      </c>
      <c r="E538" s="11" t="s">
        <v>184</v>
      </c>
      <c r="F538" s="11" t="s">
        <v>38</v>
      </c>
      <c r="G538" s="11" t="s">
        <v>506</v>
      </c>
      <c r="H538" s="11" t="s">
        <v>58</v>
      </c>
      <c r="I538" s="12">
        <v>0.01</v>
      </c>
      <c r="J538" s="12">
        <v>1</v>
      </c>
      <c r="K538" s="12">
        <v>148.72999999999999</v>
      </c>
      <c r="L538" s="12">
        <v>148.72999999999999</v>
      </c>
      <c r="M538" s="12">
        <v>-13.52</v>
      </c>
      <c r="N538" s="12">
        <v>0</v>
      </c>
      <c r="O538" s="12">
        <v>17.575923</v>
      </c>
      <c r="P538" s="12">
        <v>152.785923</v>
      </c>
    </row>
    <row r="539" spans="1:16" ht="14.5" x14ac:dyDescent="0.25">
      <c r="A539" s="10">
        <v>45841</v>
      </c>
      <c r="B539" s="2" t="str">
        <f t="shared" si="16"/>
        <v>Jul-2025</v>
      </c>
      <c r="C539" s="2" t="str">
        <f t="shared" si="17"/>
        <v>Q2</v>
      </c>
      <c r="D539" s="2" t="s">
        <v>28</v>
      </c>
      <c r="E539" s="11" t="s">
        <v>185</v>
      </c>
      <c r="F539" s="11" t="s">
        <v>73</v>
      </c>
      <c r="G539" s="11" t="s">
        <v>503</v>
      </c>
      <c r="H539" s="11" t="s">
        <v>166</v>
      </c>
      <c r="I539" s="12">
        <v>1</v>
      </c>
      <c r="J539" s="12">
        <v>120</v>
      </c>
      <c r="K539" s="12">
        <v>64.23</v>
      </c>
      <c r="L539" s="12">
        <v>7707.5999999999995</v>
      </c>
      <c r="M539" s="12">
        <v>-700.62</v>
      </c>
      <c r="N539" s="12">
        <v>0</v>
      </c>
      <c r="O539" s="12">
        <v>910.90763300000003</v>
      </c>
      <c r="P539" s="12">
        <v>7917.8876330000003</v>
      </c>
    </row>
    <row r="540" spans="1:16" ht="14.5" x14ac:dyDescent="0.25">
      <c r="A540" s="10">
        <v>45841</v>
      </c>
      <c r="B540" s="2" t="str">
        <f t="shared" si="16"/>
        <v>Jul-2025</v>
      </c>
      <c r="C540" s="2" t="str">
        <f t="shared" si="17"/>
        <v>Q2</v>
      </c>
      <c r="D540" s="2" t="s">
        <v>28</v>
      </c>
      <c r="E540" s="11" t="s">
        <v>185</v>
      </c>
      <c r="F540" s="11" t="s">
        <v>73</v>
      </c>
      <c r="G540" s="11" t="s">
        <v>506</v>
      </c>
      <c r="H540" s="11" t="s">
        <v>54</v>
      </c>
      <c r="I540" s="12">
        <v>1</v>
      </c>
      <c r="J540" s="12">
        <v>48</v>
      </c>
      <c r="K540" s="12">
        <v>310.99</v>
      </c>
      <c r="L540" s="12">
        <v>14927.519999999999</v>
      </c>
      <c r="M540" s="12">
        <v>-1356.91</v>
      </c>
      <c r="N540" s="12">
        <v>0</v>
      </c>
      <c r="O540" s="12">
        <v>1764.1797509999999</v>
      </c>
      <c r="P540" s="12">
        <v>15334.789751</v>
      </c>
    </row>
    <row r="541" spans="1:16" ht="14.5" x14ac:dyDescent="0.25">
      <c r="A541" s="10">
        <v>45841</v>
      </c>
      <c r="B541" s="2" t="str">
        <f t="shared" si="16"/>
        <v>Jul-2025</v>
      </c>
      <c r="C541" s="2" t="str">
        <f t="shared" si="17"/>
        <v>Q2</v>
      </c>
      <c r="D541" s="2" t="s">
        <v>28</v>
      </c>
      <c r="E541" s="11" t="s">
        <v>185</v>
      </c>
      <c r="F541" s="11" t="s">
        <v>73</v>
      </c>
      <c r="G541" s="11" t="s">
        <v>506</v>
      </c>
      <c r="H541" s="11" t="s">
        <v>39</v>
      </c>
      <c r="I541" s="12">
        <v>1</v>
      </c>
      <c r="J541" s="12">
        <v>72</v>
      </c>
      <c r="K541" s="12">
        <v>131.83000000000001</v>
      </c>
      <c r="L541" s="12">
        <v>9491.76</v>
      </c>
      <c r="M541" s="12">
        <v>-862.8</v>
      </c>
      <c r="N541" s="12">
        <v>0</v>
      </c>
      <c r="O541" s="12">
        <v>1121.765087</v>
      </c>
      <c r="P541" s="12">
        <v>9750.7250870000007</v>
      </c>
    </row>
    <row r="542" spans="1:16" ht="14.5" x14ac:dyDescent="0.25">
      <c r="A542" s="10">
        <v>45841</v>
      </c>
      <c r="B542" s="2" t="str">
        <f t="shared" si="16"/>
        <v>Jul-2025</v>
      </c>
      <c r="C542" s="2" t="str">
        <f t="shared" si="17"/>
        <v>Q2</v>
      </c>
      <c r="D542" s="2" t="s">
        <v>28</v>
      </c>
      <c r="E542" s="11" t="s">
        <v>185</v>
      </c>
      <c r="F542" s="11" t="s">
        <v>73</v>
      </c>
      <c r="G542" s="11" t="s">
        <v>506</v>
      </c>
      <c r="H542" s="11" t="s">
        <v>58</v>
      </c>
      <c r="I542" s="12">
        <v>1</v>
      </c>
      <c r="J542" s="12">
        <v>72</v>
      </c>
      <c r="K542" s="12">
        <v>148.72999999999999</v>
      </c>
      <c r="L542" s="12">
        <v>10708.56</v>
      </c>
      <c r="M542" s="12">
        <v>-973.41</v>
      </c>
      <c r="N542" s="12">
        <v>0</v>
      </c>
      <c r="O542" s="12">
        <v>1265.5698239999999</v>
      </c>
      <c r="P542" s="12">
        <v>11000.719824</v>
      </c>
    </row>
    <row r="543" spans="1:16" ht="14.5" x14ac:dyDescent="0.25">
      <c r="A543" s="10">
        <v>45841</v>
      </c>
      <c r="B543" s="2" t="str">
        <f t="shared" si="16"/>
        <v>Jul-2025</v>
      </c>
      <c r="C543" s="2" t="str">
        <f t="shared" si="17"/>
        <v>Q2</v>
      </c>
      <c r="D543" s="2" t="s">
        <v>28</v>
      </c>
      <c r="E543" s="11" t="s">
        <v>185</v>
      </c>
      <c r="F543" s="11" t="s">
        <v>73</v>
      </c>
      <c r="G543" s="11" t="s">
        <v>505</v>
      </c>
      <c r="H543" s="11" t="s">
        <v>167</v>
      </c>
      <c r="I543" s="12">
        <v>1</v>
      </c>
      <c r="J543" s="12">
        <v>180</v>
      </c>
      <c r="K543" s="12">
        <v>91.27</v>
      </c>
      <c r="L543" s="12">
        <v>16428.599999999999</v>
      </c>
      <c r="M543" s="12">
        <v>-1493.36</v>
      </c>
      <c r="N543" s="12">
        <v>0</v>
      </c>
      <c r="O543" s="12">
        <v>1941.5816969999998</v>
      </c>
      <c r="P543" s="12">
        <v>16876.821696999999</v>
      </c>
    </row>
    <row r="544" spans="1:16" ht="14.5" x14ac:dyDescent="0.25">
      <c r="A544" s="10">
        <v>45841</v>
      </c>
      <c r="B544" s="2" t="str">
        <f t="shared" si="16"/>
        <v>Jul-2025</v>
      </c>
      <c r="C544" s="2" t="str">
        <f t="shared" si="17"/>
        <v>Q2</v>
      </c>
      <c r="D544" s="2" t="s">
        <v>28</v>
      </c>
      <c r="E544" s="11" t="s">
        <v>185</v>
      </c>
      <c r="F544" s="11" t="s">
        <v>73</v>
      </c>
      <c r="G544" s="11" t="s">
        <v>505</v>
      </c>
      <c r="H544" s="11" t="s">
        <v>55</v>
      </c>
      <c r="I544" s="12">
        <v>1</v>
      </c>
      <c r="J544" s="12">
        <v>120</v>
      </c>
      <c r="K544" s="12">
        <v>152.11000000000001</v>
      </c>
      <c r="L544" s="12">
        <v>18253.2</v>
      </c>
      <c r="M544" s="12">
        <v>-1659.2199999999998</v>
      </c>
      <c r="N544" s="12">
        <v>0</v>
      </c>
      <c r="O544" s="12">
        <v>2157.217952</v>
      </c>
      <c r="P544" s="12">
        <v>18751.197951999999</v>
      </c>
    </row>
    <row r="545" spans="1:16" ht="14.5" x14ac:dyDescent="0.25">
      <c r="A545" s="10">
        <v>45841</v>
      </c>
      <c r="B545" s="2" t="str">
        <f t="shared" si="16"/>
        <v>Jul-2025</v>
      </c>
      <c r="C545" s="2" t="str">
        <f t="shared" si="17"/>
        <v>Q2</v>
      </c>
      <c r="D545" s="2" t="s">
        <v>28</v>
      </c>
      <c r="E545" s="11" t="s">
        <v>185</v>
      </c>
      <c r="F545" s="11" t="s">
        <v>73</v>
      </c>
      <c r="G545" s="11" t="s">
        <v>507</v>
      </c>
      <c r="H545" s="11" t="s">
        <v>60</v>
      </c>
      <c r="I545" s="12">
        <v>2</v>
      </c>
      <c r="J545" s="12">
        <v>120</v>
      </c>
      <c r="K545" s="12">
        <v>98.03</v>
      </c>
      <c r="L545" s="12">
        <v>11763.6</v>
      </c>
      <c r="M545" s="12">
        <v>-1069.3100000000002</v>
      </c>
      <c r="N545" s="12">
        <v>0</v>
      </c>
      <c r="O545" s="12">
        <v>1390.2580559999999</v>
      </c>
      <c r="P545" s="12">
        <v>12084.548056</v>
      </c>
    </row>
    <row r="546" spans="1:16" ht="14.5" x14ac:dyDescent="0.25">
      <c r="A546" s="10">
        <v>45841</v>
      </c>
      <c r="B546" s="2" t="str">
        <f t="shared" si="16"/>
        <v>Jul-2025</v>
      </c>
      <c r="C546" s="2" t="str">
        <f t="shared" si="17"/>
        <v>Q2</v>
      </c>
      <c r="D546" s="2" t="s">
        <v>28</v>
      </c>
      <c r="E546" s="11" t="s">
        <v>186</v>
      </c>
      <c r="F546" s="11" t="s">
        <v>65</v>
      </c>
      <c r="G546" s="11" t="s">
        <v>505</v>
      </c>
      <c r="H546" s="11" t="s">
        <v>50</v>
      </c>
      <c r="I546" s="12">
        <v>1</v>
      </c>
      <c r="J546" s="12">
        <v>80</v>
      </c>
      <c r="K546" s="12">
        <v>169.01</v>
      </c>
      <c r="L546" s="12">
        <v>13520.8</v>
      </c>
      <c r="M546" s="12">
        <v>-1229.04</v>
      </c>
      <c r="N546" s="12">
        <v>0</v>
      </c>
      <c r="O546" s="12">
        <v>1597.929144</v>
      </c>
      <c r="P546" s="12">
        <v>13889.689144</v>
      </c>
    </row>
    <row r="547" spans="1:16" ht="14.5" x14ac:dyDescent="0.25">
      <c r="A547" s="10">
        <v>45841</v>
      </c>
      <c r="B547" s="2" t="str">
        <f t="shared" si="16"/>
        <v>Jul-2025</v>
      </c>
      <c r="C547" s="2" t="str">
        <f t="shared" si="17"/>
        <v>Q2</v>
      </c>
      <c r="D547" s="2" t="s">
        <v>28</v>
      </c>
      <c r="E547" s="11" t="s">
        <v>186</v>
      </c>
      <c r="F547" s="11" t="s">
        <v>65</v>
      </c>
      <c r="G547" s="11" t="s">
        <v>503</v>
      </c>
      <c r="H547" s="11" t="s">
        <v>166</v>
      </c>
      <c r="I547" s="12">
        <v>1</v>
      </c>
      <c r="J547" s="12">
        <v>120</v>
      </c>
      <c r="K547" s="12">
        <v>64.23</v>
      </c>
      <c r="L547" s="12">
        <v>7707.5999999999995</v>
      </c>
      <c r="M547" s="12">
        <v>-700.62</v>
      </c>
      <c r="N547" s="12">
        <v>0</v>
      </c>
      <c r="O547" s="12">
        <v>910.9075959999999</v>
      </c>
      <c r="P547" s="12">
        <v>7917.8875959999996</v>
      </c>
    </row>
    <row r="548" spans="1:16" ht="14.5" x14ac:dyDescent="0.25">
      <c r="A548" s="10">
        <v>45841</v>
      </c>
      <c r="B548" s="2" t="str">
        <f t="shared" si="16"/>
        <v>Jul-2025</v>
      </c>
      <c r="C548" s="2" t="str">
        <f t="shared" si="17"/>
        <v>Q2</v>
      </c>
      <c r="D548" s="2" t="s">
        <v>28</v>
      </c>
      <c r="E548" s="11" t="s">
        <v>186</v>
      </c>
      <c r="F548" s="11" t="s">
        <v>65</v>
      </c>
      <c r="G548" s="11" t="s">
        <v>507</v>
      </c>
      <c r="H548" s="11" t="s">
        <v>90</v>
      </c>
      <c r="I548" s="12">
        <v>1</v>
      </c>
      <c r="J548" s="12">
        <v>120</v>
      </c>
      <c r="K548" s="12">
        <v>57.46</v>
      </c>
      <c r="L548" s="12">
        <v>6895.2</v>
      </c>
      <c r="M548" s="12">
        <v>-626.77</v>
      </c>
      <c r="N548" s="12">
        <v>0</v>
      </c>
      <c r="O548" s="12">
        <v>814.89607599999999</v>
      </c>
      <c r="P548" s="12">
        <v>7083.3260760000003</v>
      </c>
    </row>
    <row r="549" spans="1:16" ht="14.5" x14ac:dyDescent="0.25">
      <c r="A549" s="10">
        <v>45841</v>
      </c>
      <c r="B549" s="2" t="str">
        <f t="shared" si="16"/>
        <v>Jul-2025</v>
      </c>
      <c r="C549" s="2" t="str">
        <f t="shared" si="17"/>
        <v>Q2</v>
      </c>
      <c r="D549" s="2" t="s">
        <v>28</v>
      </c>
      <c r="E549" s="11" t="s">
        <v>186</v>
      </c>
      <c r="F549" s="11" t="s">
        <v>65</v>
      </c>
      <c r="G549" s="11" t="s">
        <v>506</v>
      </c>
      <c r="H549" s="11" t="s">
        <v>58</v>
      </c>
      <c r="I549" s="12">
        <v>1</v>
      </c>
      <c r="J549" s="12">
        <v>72</v>
      </c>
      <c r="K549" s="12">
        <v>148.72999999999999</v>
      </c>
      <c r="L549" s="12">
        <v>10708.56</v>
      </c>
      <c r="M549" s="12">
        <v>-973.41</v>
      </c>
      <c r="N549" s="12">
        <v>0</v>
      </c>
      <c r="O549" s="12">
        <v>1265.5697729999999</v>
      </c>
      <c r="P549" s="12">
        <v>11000.719773000001</v>
      </c>
    </row>
    <row r="550" spans="1:16" ht="14.5" x14ac:dyDescent="0.25">
      <c r="A550" s="10">
        <v>45841</v>
      </c>
      <c r="B550" s="2" t="str">
        <f t="shared" ref="B550:B613" si="18">+TEXT(A550,"MMM-yyy")</f>
        <v>Jul-2025</v>
      </c>
      <c r="C550" s="2" t="str">
        <f t="shared" ref="C550:C613" si="19">"Q" &amp; CHOOSE(MONTH(A550),4,4,4,1,1,1,2,2,2,3,3,3)</f>
        <v>Q2</v>
      </c>
      <c r="D550" s="2" t="s">
        <v>28</v>
      </c>
      <c r="E550" s="11" t="s">
        <v>186</v>
      </c>
      <c r="F550" s="11" t="s">
        <v>65</v>
      </c>
      <c r="G550" s="11" t="s">
        <v>503</v>
      </c>
      <c r="H550" s="11" t="s">
        <v>42</v>
      </c>
      <c r="I550" s="12">
        <v>1</v>
      </c>
      <c r="J550" s="12">
        <v>120</v>
      </c>
      <c r="K550" s="12">
        <v>141.97</v>
      </c>
      <c r="L550" s="12">
        <v>17036.400000000001</v>
      </c>
      <c r="M550" s="12">
        <v>-1548.61</v>
      </c>
      <c r="N550" s="12">
        <v>0</v>
      </c>
      <c r="O550" s="12">
        <v>2013.4131340000001</v>
      </c>
      <c r="P550" s="12">
        <v>17501.203133999999</v>
      </c>
    </row>
    <row r="551" spans="1:16" ht="14.5" x14ac:dyDescent="0.25">
      <c r="A551" s="10">
        <v>45841</v>
      </c>
      <c r="B551" s="2" t="str">
        <f t="shared" si="18"/>
        <v>Jul-2025</v>
      </c>
      <c r="C551" s="2" t="str">
        <f t="shared" si="19"/>
        <v>Q2</v>
      </c>
      <c r="D551" s="2" t="s">
        <v>28</v>
      </c>
      <c r="E551" s="11" t="s">
        <v>186</v>
      </c>
      <c r="F551" s="11" t="s">
        <v>65</v>
      </c>
      <c r="G551" s="11" t="s">
        <v>503</v>
      </c>
      <c r="H551" s="11" t="s">
        <v>44</v>
      </c>
      <c r="I551" s="12">
        <v>1</v>
      </c>
      <c r="J551" s="12">
        <v>180</v>
      </c>
      <c r="K551" s="12">
        <v>155.49</v>
      </c>
      <c r="L551" s="12">
        <v>27988.2</v>
      </c>
      <c r="M551" s="12">
        <v>-2544.13</v>
      </c>
      <c r="N551" s="12">
        <v>0</v>
      </c>
      <c r="O551" s="12">
        <v>3307.729812</v>
      </c>
      <c r="P551" s="12">
        <v>28751.799812000001</v>
      </c>
    </row>
    <row r="552" spans="1:16" ht="14.5" x14ac:dyDescent="0.25">
      <c r="A552" s="10">
        <v>45841</v>
      </c>
      <c r="B552" s="2" t="str">
        <f t="shared" si="18"/>
        <v>Jul-2025</v>
      </c>
      <c r="C552" s="2" t="str">
        <f t="shared" si="19"/>
        <v>Q2</v>
      </c>
      <c r="D552" s="2" t="s">
        <v>28</v>
      </c>
      <c r="E552" s="11" t="s">
        <v>186</v>
      </c>
      <c r="F552" s="11" t="s">
        <v>65</v>
      </c>
      <c r="G552" s="11" t="s">
        <v>506</v>
      </c>
      <c r="H552" s="11" t="s">
        <v>54</v>
      </c>
      <c r="I552" s="12">
        <v>1</v>
      </c>
      <c r="J552" s="12">
        <v>48</v>
      </c>
      <c r="K552" s="12">
        <v>310.99</v>
      </c>
      <c r="L552" s="12">
        <v>14927.519999999999</v>
      </c>
      <c r="M552" s="12">
        <v>-1356.91</v>
      </c>
      <c r="N552" s="12">
        <v>0</v>
      </c>
      <c r="O552" s="12">
        <v>1764.1796800000002</v>
      </c>
      <c r="P552" s="12">
        <v>15334.78968</v>
      </c>
    </row>
    <row r="553" spans="1:16" ht="14.5" x14ac:dyDescent="0.25">
      <c r="A553" s="10">
        <v>45841</v>
      </c>
      <c r="B553" s="2" t="str">
        <f t="shared" si="18"/>
        <v>Jul-2025</v>
      </c>
      <c r="C553" s="2" t="str">
        <f t="shared" si="19"/>
        <v>Q2</v>
      </c>
      <c r="D553" s="2" t="s">
        <v>28</v>
      </c>
      <c r="E553" s="11" t="s">
        <v>186</v>
      </c>
      <c r="F553" s="11" t="s">
        <v>65</v>
      </c>
      <c r="G553" s="11" t="s">
        <v>507</v>
      </c>
      <c r="H553" s="11" t="s">
        <v>60</v>
      </c>
      <c r="I553" s="12">
        <v>1</v>
      </c>
      <c r="J553" s="12">
        <v>60</v>
      </c>
      <c r="K553" s="12">
        <v>98.03</v>
      </c>
      <c r="L553" s="12">
        <v>5881.8</v>
      </c>
      <c r="M553" s="12">
        <v>-534.66</v>
      </c>
      <c r="N553" s="12">
        <v>0</v>
      </c>
      <c r="O553" s="12">
        <v>695.12834999999995</v>
      </c>
      <c r="P553" s="12">
        <v>6042.2683500000003</v>
      </c>
    </row>
    <row r="554" spans="1:16" ht="14.5" x14ac:dyDescent="0.25">
      <c r="A554" s="10">
        <v>45841</v>
      </c>
      <c r="B554" s="2" t="str">
        <f t="shared" si="18"/>
        <v>Jul-2025</v>
      </c>
      <c r="C554" s="2" t="str">
        <f t="shared" si="19"/>
        <v>Q2</v>
      </c>
      <c r="D554" s="2" t="s">
        <v>28</v>
      </c>
      <c r="E554" s="11" t="s">
        <v>186</v>
      </c>
      <c r="F554" s="11" t="s">
        <v>65</v>
      </c>
      <c r="G554" s="11" t="s">
        <v>506</v>
      </c>
      <c r="H554" s="11" t="s">
        <v>39</v>
      </c>
      <c r="I554" s="12">
        <v>1</v>
      </c>
      <c r="J554" s="12">
        <v>72</v>
      </c>
      <c r="K554" s="12">
        <v>131.83000000000001</v>
      </c>
      <c r="L554" s="12">
        <v>9491.76</v>
      </c>
      <c r="M554" s="12">
        <v>-862.8</v>
      </c>
      <c r="N554" s="12">
        <v>0</v>
      </c>
      <c r="O554" s="12">
        <v>1121.765042</v>
      </c>
      <c r="P554" s="12">
        <v>9750.725042</v>
      </c>
    </row>
    <row r="555" spans="1:16" ht="14.5" x14ac:dyDescent="0.25">
      <c r="A555" s="10">
        <v>45841</v>
      </c>
      <c r="B555" s="2" t="str">
        <f t="shared" si="18"/>
        <v>Jul-2025</v>
      </c>
      <c r="C555" s="2" t="str">
        <f t="shared" si="19"/>
        <v>Q2</v>
      </c>
      <c r="D555" s="2" t="s">
        <v>28</v>
      </c>
      <c r="E555" s="11" t="s">
        <v>186</v>
      </c>
      <c r="F555" s="11" t="s">
        <v>65</v>
      </c>
      <c r="G555" s="11" t="s">
        <v>503</v>
      </c>
      <c r="H555" s="11" t="s">
        <v>59</v>
      </c>
      <c r="I555" s="12">
        <v>1</v>
      </c>
      <c r="J555" s="12">
        <v>180</v>
      </c>
      <c r="K555" s="12">
        <v>64.23</v>
      </c>
      <c r="L555" s="12">
        <v>11561.4</v>
      </c>
      <c r="M555" s="12">
        <v>-1050.9299999999998</v>
      </c>
      <c r="N555" s="12">
        <v>0</v>
      </c>
      <c r="O555" s="12">
        <v>1366.361394</v>
      </c>
      <c r="P555" s="12">
        <v>11876.831394000001</v>
      </c>
    </row>
    <row r="556" spans="1:16" ht="14.5" x14ac:dyDescent="0.25">
      <c r="A556" s="10">
        <v>45842</v>
      </c>
      <c r="B556" s="2" t="str">
        <f t="shared" si="18"/>
        <v>Jul-2025</v>
      </c>
      <c r="C556" s="2" t="str">
        <f t="shared" si="19"/>
        <v>Q2</v>
      </c>
      <c r="D556" s="2" t="s">
        <v>28</v>
      </c>
      <c r="E556" s="11" t="s">
        <v>187</v>
      </c>
      <c r="F556" s="11" t="s">
        <v>95</v>
      </c>
      <c r="G556" s="11" t="s">
        <v>503</v>
      </c>
      <c r="H556" s="11" t="s">
        <v>47</v>
      </c>
      <c r="I556" s="12">
        <v>1</v>
      </c>
      <c r="J556" s="12">
        <v>120</v>
      </c>
      <c r="K556" s="12">
        <v>121.69</v>
      </c>
      <c r="L556" s="12">
        <v>14602.800000000001</v>
      </c>
      <c r="M556" s="12">
        <v>-1327.39</v>
      </c>
      <c r="N556" s="12">
        <v>0</v>
      </c>
      <c r="O556" s="12">
        <v>1725.8032250000001</v>
      </c>
      <c r="P556" s="12">
        <v>15001.213225</v>
      </c>
    </row>
    <row r="557" spans="1:16" ht="14.5" x14ac:dyDescent="0.25">
      <c r="A557" s="10">
        <v>45842</v>
      </c>
      <c r="B557" s="2" t="str">
        <f t="shared" si="18"/>
        <v>Jul-2025</v>
      </c>
      <c r="C557" s="2" t="str">
        <f t="shared" si="19"/>
        <v>Q2</v>
      </c>
      <c r="D557" s="2" t="s">
        <v>28</v>
      </c>
      <c r="E557" s="11" t="s">
        <v>187</v>
      </c>
      <c r="F557" s="11" t="s">
        <v>95</v>
      </c>
      <c r="G557" s="11" t="s">
        <v>505</v>
      </c>
      <c r="H557" s="11" t="s">
        <v>56</v>
      </c>
      <c r="I557" s="12">
        <v>1</v>
      </c>
      <c r="J557" s="12">
        <v>120</v>
      </c>
      <c r="K557" s="12">
        <v>57.46</v>
      </c>
      <c r="L557" s="12">
        <v>6895.2</v>
      </c>
      <c r="M557" s="12">
        <v>-626.77</v>
      </c>
      <c r="N557" s="12">
        <v>0</v>
      </c>
      <c r="O557" s="12">
        <v>814.89586499999996</v>
      </c>
      <c r="P557" s="12">
        <v>7083.3258649999998</v>
      </c>
    </row>
    <row r="558" spans="1:16" ht="14.5" x14ac:dyDescent="0.25">
      <c r="A558" s="10">
        <v>45842</v>
      </c>
      <c r="B558" s="2" t="str">
        <f t="shared" si="18"/>
        <v>Jul-2025</v>
      </c>
      <c r="C558" s="2" t="str">
        <f t="shared" si="19"/>
        <v>Q2</v>
      </c>
      <c r="D558" s="2" t="s">
        <v>28</v>
      </c>
      <c r="E558" s="11" t="s">
        <v>187</v>
      </c>
      <c r="F558" s="11" t="s">
        <v>95</v>
      </c>
      <c r="G558" s="11" t="s">
        <v>503</v>
      </c>
      <c r="H558" s="11" t="s">
        <v>89</v>
      </c>
      <c r="I558" s="12">
        <v>1</v>
      </c>
      <c r="J558" s="12">
        <v>120</v>
      </c>
      <c r="K558" s="12">
        <v>118.31</v>
      </c>
      <c r="L558" s="12">
        <v>14197.199999999999</v>
      </c>
      <c r="M558" s="12">
        <v>-1290.53</v>
      </c>
      <c r="N558" s="12">
        <v>0</v>
      </c>
      <c r="O558" s="12">
        <v>1677.867027</v>
      </c>
      <c r="P558" s="12">
        <v>14584.537027</v>
      </c>
    </row>
    <row r="559" spans="1:16" ht="14.5" x14ac:dyDescent="0.25">
      <c r="A559" s="10">
        <v>45842</v>
      </c>
      <c r="B559" s="2" t="str">
        <f t="shared" si="18"/>
        <v>Jul-2025</v>
      </c>
      <c r="C559" s="2" t="str">
        <f t="shared" si="19"/>
        <v>Q2</v>
      </c>
      <c r="D559" s="2" t="s">
        <v>28</v>
      </c>
      <c r="E559" s="11" t="s">
        <v>187</v>
      </c>
      <c r="F559" s="11" t="s">
        <v>95</v>
      </c>
      <c r="G559" s="11" t="s">
        <v>503</v>
      </c>
      <c r="H559" s="11" t="s">
        <v>57</v>
      </c>
      <c r="I559" s="12">
        <v>2</v>
      </c>
      <c r="J559" s="12">
        <v>360</v>
      </c>
      <c r="K559" s="12">
        <v>121.69</v>
      </c>
      <c r="L559" s="12">
        <v>43808.399999999994</v>
      </c>
      <c r="M559" s="12">
        <v>-3982.18</v>
      </c>
      <c r="N559" s="12">
        <v>0</v>
      </c>
      <c r="O559" s="12">
        <v>5177.408375</v>
      </c>
      <c r="P559" s="12">
        <v>45003.628375</v>
      </c>
    </row>
    <row r="560" spans="1:16" ht="14.5" x14ac:dyDescent="0.25">
      <c r="A560" s="10">
        <v>45842</v>
      </c>
      <c r="B560" s="2" t="str">
        <f t="shared" si="18"/>
        <v>Jul-2025</v>
      </c>
      <c r="C560" s="2" t="str">
        <f t="shared" si="19"/>
        <v>Q2</v>
      </c>
      <c r="D560" s="2" t="s">
        <v>28</v>
      </c>
      <c r="E560" s="11" t="s">
        <v>187</v>
      </c>
      <c r="F560" s="11" t="s">
        <v>95</v>
      </c>
      <c r="G560" s="11" t="s">
        <v>505</v>
      </c>
      <c r="H560" s="11" t="s">
        <v>49</v>
      </c>
      <c r="I560" s="12">
        <v>10</v>
      </c>
      <c r="J560" s="12">
        <v>1800</v>
      </c>
      <c r="K560" s="12">
        <v>182.53</v>
      </c>
      <c r="L560" s="12">
        <v>328554</v>
      </c>
      <c r="M560" s="12">
        <v>-29865.56</v>
      </c>
      <c r="N560" s="12">
        <v>0</v>
      </c>
      <c r="O560" s="12">
        <v>38829.495509</v>
      </c>
      <c r="P560" s="12">
        <v>337517.93550899997</v>
      </c>
    </row>
    <row r="561" spans="1:16" ht="14.5" x14ac:dyDescent="0.25">
      <c r="A561" s="10">
        <v>45844</v>
      </c>
      <c r="B561" s="2" t="str">
        <f t="shared" si="18"/>
        <v>Jul-2025</v>
      </c>
      <c r="C561" s="2" t="str">
        <f t="shared" si="19"/>
        <v>Q2</v>
      </c>
      <c r="D561" s="2" t="s">
        <v>28</v>
      </c>
      <c r="E561" s="11" t="s">
        <v>188</v>
      </c>
      <c r="F561" s="11" t="s">
        <v>14</v>
      </c>
      <c r="G561" s="11" t="s">
        <v>503</v>
      </c>
      <c r="H561" s="11" t="s">
        <v>45</v>
      </c>
      <c r="I561" s="12">
        <v>1</v>
      </c>
      <c r="J561" s="12">
        <v>180</v>
      </c>
      <c r="K561" s="12">
        <v>64.23</v>
      </c>
      <c r="L561" s="12">
        <v>11561.4</v>
      </c>
      <c r="M561" s="12">
        <v>-1050.9299999999998</v>
      </c>
      <c r="N561" s="12">
        <v>0</v>
      </c>
      <c r="O561" s="12">
        <v>1366.3613780000001</v>
      </c>
      <c r="P561" s="12">
        <v>11876.831378000001</v>
      </c>
    </row>
    <row r="562" spans="1:16" ht="14.5" x14ac:dyDescent="0.25">
      <c r="A562" s="10">
        <v>45844</v>
      </c>
      <c r="B562" s="2" t="str">
        <f t="shared" si="18"/>
        <v>Jul-2025</v>
      </c>
      <c r="C562" s="2" t="str">
        <f t="shared" si="19"/>
        <v>Q2</v>
      </c>
      <c r="D562" s="2" t="s">
        <v>28</v>
      </c>
      <c r="E562" s="11" t="s">
        <v>188</v>
      </c>
      <c r="F562" s="11" t="s">
        <v>14</v>
      </c>
      <c r="G562" s="11" t="s">
        <v>505</v>
      </c>
      <c r="H562" s="11" t="s">
        <v>168</v>
      </c>
      <c r="I562" s="12">
        <v>1</v>
      </c>
      <c r="J562" s="12">
        <v>80</v>
      </c>
      <c r="K562" s="12">
        <v>229.86</v>
      </c>
      <c r="L562" s="12">
        <v>18388.8</v>
      </c>
      <c r="M562" s="12">
        <v>-1671.54</v>
      </c>
      <c r="N562" s="12">
        <v>0</v>
      </c>
      <c r="O562" s="12">
        <v>2173.2442430000001</v>
      </c>
      <c r="P562" s="12">
        <v>18890.504242999999</v>
      </c>
    </row>
    <row r="563" spans="1:16" ht="14.5" x14ac:dyDescent="0.25">
      <c r="A563" s="10">
        <v>45844</v>
      </c>
      <c r="B563" s="2" t="str">
        <f t="shared" si="18"/>
        <v>Jul-2025</v>
      </c>
      <c r="C563" s="2" t="str">
        <f t="shared" si="19"/>
        <v>Q2</v>
      </c>
      <c r="D563" s="2" t="s">
        <v>28</v>
      </c>
      <c r="E563" s="11" t="s">
        <v>188</v>
      </c>
      <c r="F563" s="11" t="s">
        <v>14</v>
      </c>
      <c r="G563" s="11" t="s">
        <v>506</v>
      </c>
      <c r="H563" s="11" t="s">
        <v>189</v>
      </c>
      <c r="I563" s="12">
        <v>2</v>
      </c>
      <c r="J563" s="12">
        <v>200</v>
      </c>
      <c r="K563" s="12">
        <v>70.989999999999995</v>
      </c>
      <c r="L563" s="12">
        <v>14198</v>
      </c>
      <c r="M563" s="12">
        <v>-1290.5999999999999</v>
      </c>
      <c r="N563" s="12">
        <v>0</v>
      </c>
      <c r="O563" s="12">
        <v>1677.962342</v>
      </c>
      <c r="P563" s="12">
        <v>14585.362342</v>
      </c>
    </row>
    <row r="564" spans="1:16" ht="14.5" x14ac:dyDescent="0.25">
      <c r="A564" s="10">
        <v>45844</v>
      </c>
      <c r="B564" s="2" t="str">
        <f t="shared" si="18"/>
        <v>Jul-2025</v>
      </c>
      <c r="C564" s="2" t="str">
        <f t="shared" si="19"/>
        <v>Q2</v>
      </c>
      <c r="D564" s="2" t="s">
        <v>28</v>
      </c>
      <c r="E564" s="11" t="s">
        <v>188</v>
      </c>
      <c r="F564" s="11" t="s">
        <v>14</v>
      </c>
      <c r="G564" s="11" t="s">
        <v>503</v>
      </c>
      <c r="H564" s="11" t="s">
        <v>190</v>
      </c>
      <c r="I564" s="12">
        <v>1</v>
      </c>
      <c r="J564" s="12">
        <v>180</v>
      </c>
      <c r="K564" s="12">
        <v>84.51</v>
      </c>
      <c r="L564" s="12">
        <v>15211.800000000001</v>
      </c>
      <c r="M564" s="12">
        <v>-1382.75</v>
      </c>
      <c r="N564" s="12">
        <v>0</v>
      </c>
      <c r="O564" s="12">
        <v>1797.7768659999999</v>
      </c>
      <c r="P564" s="12">
        <v>15626.826865999999</v>
      </c>
    </row>
    <row r="565" spans="1:16" ht="14.5" x14ac:dyDescent="0.25">
      <c r="A565" s="10">
        <v>45844</v>
      </c>
      <c r="B565" s="2" t="str">
        <f t="shared" si="18"/>
        <v>Jul-2025</v>
      </c>
      <c r="C565" s="2" t="str">
        <f t="shared" si="19"/>
        <v>Q2</v>
      </c>
      <c r="D565" s="2" t="s">
        <v>28</v>
      </c>
      <c r="E565" s="11" t="s">
        <v>188</v>
      </c>
      <c r="F565" s="11" t="s">
        <v>14</v>
      </c>
      <c r="G565" s="11" t="s">
        <v>503</v>
      </c>
      <c r="H565" s="11" t="s">
        <v>166</v>
      </c>
      <c r="I565" s="12">
        <v>2</v>
      </c>
      <c r="J565" s="12">
        <v>240</v>
      </c>
      <c r="K565" s="12">
        <v>64.23</v>
      </c>
      <c r="L565" s="12">
        <v>15415.199999999999</v>
      </c>
      <c r="M565" s="12">
        <v>-1401.24</v>
      </c>
      <c r="N565" s="12">
        <v>0</v>
      </c>
      <c r="O565" s="12">
        <v>1821.815171</v>
      </c>
      <c r="P565" s="12">
        <v>15835.775170999999</v>
      </c>
    </row>
    <row r="566" spans="1:16" ht="14.5" x14ac:dyDescent="0.25">
      <c r="A566" s="10">
        <v>45845</v>
      </c>
      <c r="B566" s="2" t="str">
        <f t="shared" si="18"/>
        <v>Jul-2025</v>
      </c>
      <c r="C566" s="2" t="str">
        <f t="shared" si="19"/>
        <v>Q2</v>
      </c>
      <c r="D566" s="2" t="s">
        <v>28</v>
      </c>
      <c r="E566" s="11" t="s">
        <v>191</v>
      </c>
      <c r="F566" s="11" t="s">
        <v>38</v>
      </c>
      <c r="G566" s="11" t="s">
        <v>503</v>
      </c>
      <c r="H566" s="11" t="s">
        <v>166</v>
      </c>
      <c r="I566" s="12">
        <v>1.67</v>
      </c>
      <c r="J566" s="12">
        <v>200</v>
      </c>
      <c r="K566" s="12">
        <v>50.51</v>
      </c>
      <c r="L566" s="12">
        <v>10102</v>
      </c>
      <c r="M566" s="12">
        <v>0</v>
      </c>
      <c r="N566" s="12">
        <v>0</v>
      </c>
      <c r="O566" s="12">
        <v>1313.2600000000002</v>
      </c>
      <c r="P566" s="12">
        <v>11415.26</v>
      </c>
    </row>
    <row r="567" spans="1:16" ht="14.5" x14ac:dyDescent="0.25">
      <c r="A567" s="10">
        <v>45845</v>
      </c>
      <c r="B567" s="2" t="str">
        <f t="shared" si="18"/>
        <v>Jul-2025</v>
      </c>
      <c r="C567" s="2" t="str">
        <f t="shared" si="19"/>
        <v>Q2</v>
      </c>
      <c r="D567" s="2" t="s">
        <v>28</v>
      </c>
      <c r="E567" s="11" t="s">
        <v>191</v>
      </c>
      <c r="F567" s="11" t="s">
        <v>38</v>
      </c>
      <c r="G567" s="11" t="s">
        <v>507</v>
      </c>
      <c r="H567" s="11" t="s">
        <v>90</v>
      </c>
      <c r="I567" s="12">
        <v>1.67</v>
      </c>
      <c r="J567" s="12">
        <v>200</v>
      </c>
      <c r="K567" s="12">
        <v>45.2</v>
      </c>
      <c r="L567" s="12">
        <v>9040</v>
      </c>
      <c r="M567" s="12">
        <v>0</v>
      </c>
      <c r="N567" s="12">
        <v>0</v>
      </c>
      <c r="O567" s="12">
        <v>1175.2</v>
      </c>
      <c r="P567" s="12">
        <v>10215.200000000001</v>
      </c>
    </row>
    <row r="568" spans="1:16" ht="14.5" x14ac:dyDescent="0.25">
      <c r="A568" s="10">
        <v>45845</v>
      </c>
      <c r="B568" s="2" t="str">
        <f t="shared" si="18"/>
        <v>Jul-2025</v>
      </c>
      <c r="C568" s="2" t="str">
        <f t="shared" si="19"/>
        <v>Q2</v>
      </c>
      <c r="D568" s="2" t="s">
        <v>28</v>
      </c>
      <c r="E568" s="11" t="s">
        <v>191</v>
      </c>
      <c r="F568" s="11" t="s">
        <v>38</v>
      </c>
      <c r="G568" s="11" t="s">
        <v>506</v>
      </c>
      <c r="H568" s="11" t="s">
        <v>58</v>
      </c>
      <c r="I568" s="12">
        <v>2.78</v>
      </c>
      <c r="J568" s="12">
        <v>200</v>
      </c>
      <c r="K568" s="12">
        <v>116.97</v>
      </c>
      <c r="L568" s="12">
        <v>23394</v>
      </c>
      <c r="M568" s="12">
        <v>0</v>
      </c>
      <c r="N568" s="12">
        <v>0</v>
      </c>
      <c r="O568" s="12">
        <v>3041.22</v>
      </c>
      <c r="P568" s="12">
        <v>26435.22</v>
      </c>
    </row>
    <row r="569" spans="1:16" ht="14.5" x14ac:dyDescent="0.25">
      <c r="A569" s="10">
        <v>45845</v>
      </c>
      <c r="B569" s="2" t="str">
        <f t="shared" si="18"/>
        <v>Jul-2025</v>
      </c>
      <c r="C569" s="2" t="str">
        <f t="shared" si="19"/>
        <v>Q2</v>
      </c>
      <c r="D569" s="2" t="s">
        <v>28</v>
      </c>
      <c r="E569" s="11" t="s">
        <v>191</v>
      </c>
      <c r="F569" s="11" t="s">
        <v>38</v>
      </c>
      <c r="G569" s="11" t="s">
        <v>506</v>
      </c>
      <c r="H569" s="11" t="s">
        <v>39</v>
      </c>
      <c r="I569" s="12">
        <v>2.77</v>
      </c>
      <c r="J569" s="12">
        <v>200</v>
      </c>
      <c r="K569" s="12">
        <v>103.68</v>
      </c>
      <c r="L569" s="12">
        <v>20736</v>
      </c>
      <c r="M569" s="12">
        <v>0</v>
      </c>
      <c r="N569" s="12">
        <v>0</v>
      </c>
      <c r="O569" s="12">
        <v>2695.68</v>
      </c>
      <c r="P569" s="12">
        <v>23431.68</v>
      </c>
    </row>
    <row r="570" spans="1:16" ht="14.5" x14ac:dyDescent="0.25">
      <c r="A570" s="10">
        <v>45845</v>
      </c>
      <c r="B570" s="2" t="str">
        <f t="shared" si="18"/>
        <v>Jul-2025</v>
      </c>
      <c r="C570" s="2" t="str">
        <f t="shared" si="19"/>
        <v>Q2</v>
      </c>
      <c r="D570" s="2" t="s">
        <v>28</v>
      </c>
      <c r="E570" s="11" t="s">
        <v>192</v>
      </c>
      <c r="F570" s="11" t="s">
        <v>38</v>
      </c>
      <c r="G570" s="11" t="s">
        <v>504</v>
      </c>
      <c r="H570" s="11" t="s">
        <v>53</v>
      </c>
      <c r="I570" s="12">
        <v>2</v>
      </c>
      <c r="J570" s="12">
        <v>200</v>
      </c>
      <c r="K570" s="12">
        <v>102.14</v>
      </c>
      <c r="L570" s="12">
        <v>20428</v>
      </c>
      <c r="M570" s="12" t="s">
        <v>113</v>
      </c>
      <c r="N570" s="12" t="s">
        <v>113</v>
      </c>
      <c r="O570" s="12" t="s">
        <v>113</v>
      </c>
      <c r="P570" s="12">
        <v>20428</v>
      </c>
    </row>
    <row r="571" spans="1:16" ht="14.5" x14ac:dyDescent="0.25">
      <c r="A571" s="10">
        <v>45848</v>
      </c>
      <c r="B571" s="2" t="str">
        <f t="shared" si="18"/>
        <v>Jul-2025</v>
      </c>
      <c r="C571" s="2" t="str">
        <f t="shared" si="19"/>
        <v>Q2</v>
      </c>
      <c r="D571" s="2" t="s">
        <v>28</v>
      </c>
      <c r="E571" s="11" t="s">
        <v>193</v>
      </c>
      <c r="F571" s="11" t="s">
        <v>104</v>
      </c>
      <c r="G571" s="11" t="s">
        <v>507</v>
      </c>
      <c r="H571" s="11" t="s">
        <v>60</v>
      </c>
      <c r="I571" s="12">
        <v>0.13</v>
      </c>
      <c r="J571" s="12">
        <v>8</v>
      </c>
      <c r="K571" s="12">
        <v>102.65</v>
      </c>
      <c r="L571" s="12">
        <v>821.2</v>
      </c>
      <c r="M571" s="12">
        <v>0</v>
      </c>
      <c r="N571" s="12">
        <v>-56</v>
      </c>
      <c r="O571" s="12">
        <v>99.48</v>
      </c>
      <c r="P571" s="12">
        <v>864.68</v>
      </c>
    </row>
    <row r="572" spans="1:16" ht="14.5" x14ac:dyDescent="0.25">
      <c r="A572" s="10">
        <v>45852</v>
      </c>
      <c r="B572" s="2" t="str">
        <f t="shared" si="18"/>
        <v>Jul-2025</v>
      </c>
      <c r="C572" s="2" t="str">
        <f t="shared" si="19"/>
        <v>Q2</v>
      </c>
      <c r="D572" s="2" t="s">
        <v>28</v>
      </c>
      <c r="E572" s="11" t="s">
        <v>194</v>
      </c>
      <c r="F572" s="11" t="s">
        <v>38</v>
      </c>
      <c r="G572" s="11" t="s">
        <v>504</v>
      </c>
      <c r="H572" s="11" t="s">
        <v>61</v>
      </c>
      <c r="I572" s="12">
        <v>0.11</v>
      </c>
      <c r="J572" s="12">
        <v>4</v>
      </c>
      <c r="K572" s="12">
        <v>243.34</v>
      </c>
      <c r="L572" s="12">
        <v>973.36</v>
      </c>
      <c r="M572" s="12" t="s">
        <v>113</v>
      </c>
      <c r="N572" s="12" t="s">
        <v>113</v>
      </c>
      <c r="O572" s="12" t="s">
        <v>113</v>
      </c>
      <c r="P572" s="12">
        <v>973.36</v>
      </c>
    </row>
    <row r="573" spans="1:16" ht="14.5" x14ac:dyDescent="0.25">
      <c r="A573" s="10">
        <v>45852</v>
      </c>
      <c r="B573" s="2" t="str">
        <f t="shared" si="18"/>
        <v>Jul-2025</v>
      </c>
      <c r="C573" s="2" t="str">
        <f t="shared" si="19"/>
        <v>Q2</v>
      </c>
      <c r="D573" s="2" t="s">
        <v>28</v>
      </c>
      <c r="E573" s="11" t="s">
        <v>194</v>
      </c>
      <c r="F573" s="11" t="s">
        <v>38</v>
      </c>
      <c r="G573" s="11" t="s">
        <v>504</v>
      </c>
      <c r="H573" s="11" t="s">
        <v>53</v>
      </c>
      <c r="I573" s="12">
        <v>0.54</v>
      </c>
      <c r="J573" s="12">
        <v>54</v>
      </c>
      <c r="K573" s="12">
        <v>102.14</v>
      </c>
      <c r="L573" s="12">
        <v>5515.5599999999995</v>
      </c>
      <c r="M573" s="12" t="s">
        <v>113</v>
      </c>
      <c r="N573" s="12" t="s">
        <v>113</v>
      </c>
      <c r="O573" s="12" t="s">
        <v>113</v>
      </c>
      <c r="P573" s="12">
        <v>5515.56</v>
      </c>
    </row>
    <row r="574" spans="1:16" ht="14.5" x14ac:dyDescent="0.25">
      <c r="A574" s="10">
        <v>45852</v>
      </c>
      <c r="B574" s="2" t="str">
        <f t="shared" si="18"/>
        <v>Jul-2025</v>
      </c>
      <c r="C574" s="2" t="str">
        <f t="shared" si="19"/>
        <v>Q2</v>
      </c>
      <c r="D574" s="2" t="s">
        <v>28</v>
      </c>
      <c r="E574" s="11" t="s">
        <v>195</v>
      </c>
      <c r="F574" s="11" t="s">
        <v>38</v>
      </c>
      <c r="G574" s="11" t="s">
        <v>506</v>
      </c>
      <c r="H574" s="11" t="s">
        <v>189</v>
      </c>
      <c r="I574" s="12">
        <v>0.08</v>
      </c>
      <c r="J574" s="12">
        <v>8</v>
      </c>
      <c r="K574" s="12">
        <v>55.82</v>
      </c>
      <c r="L574" s="12">
        <v>446.56</v>
      </c>
      <c r="M574" s="12">
        <v>0</v>
      </c>
      <c r="N574" s="12">
        <v>0</v>
      </c>
      <c r="O574" s="12">
        <v>58.052688000000003</v>
      </c>
      <c r="P574" s="12">
        <v>504.61268799999999</v>
      </c>
    </row>
    <row r="575" spans="1:16" ht="14.5" x14ac:dyDescent="0.25">
      <c r="A575" s="10">
        <v>45852</v>
      </c>
      <c r="B575" s="2" t="str">
        <f t="shared" si="18"/>
        <v>Jul-2025</v>
      </c>
      <c r="C575" s="2" t="str">
        <f t="shared" si="19"/>
        <v>Q2</v>
      </c>
      <c r="D575" s="2" t="s">
        <v>28</v>
      </c>
      <c r="E575" s="11" t="s">
        <v>195</v>
      </c>
      <c r="F575" s="11" t="s">
        <v>38</v>
      </c>
      <c r="G575" s="11" t="s">
        <v>503</v>
      </c>
      <c r="H575" s="11" t="s">
        <v>177</v>
      </c>
      <c r="I575" s="12">
        <v>0.05</v>
      </c>
      <c r="J575" s="12">
        <v>6</v>
      </c>
      <c r="K575" s="12">
        <v>74.430000000000007</v>
      </c>
      <c r="L575" s="12">
        <v>446.58</v>
      </c>
      <c r="M575" s="12">
        <v>0</v>
      </c>
      <c r="N575" s="12">
        <v>0</v>
      </c>
      <c r="O575" s="12">
        <v>58.055287999999997</v>
      </c>
      <c r="P575" s="12">
        <v>504.635288</v>
      </c>
    </row>
    <row r="576" spans="1:16" ht="14.5" x14ac:dyDescent="0.25">
      <c r="A576" s="10">
        <v>45852</v>
      </c>
      <c r="B576" s="2" t="str">
        <f t="shared" si="18"/>
        <v>Jul-2025</v>
      </c>
      <c r="C576" s="2" t="str">
        <f t="shared" si="19"/>
        <v>Q2</v>
      </c>
      <c r="D576" s="2" t="s">
        <v>28</v>
      </c>
      <c r="E576" s="11" t="s">
        <v>195</v>
      </c>
      <c r="F576" s="11" t="s">
        <v>38</v>
      </c>
      <c r="G576" s="11" t="s">
        <v>503</v>
      </c>
      <c r="H576" s="11" t="s">
        <v>176</v>
      </c>
      <c r="I576" s="12">
        <v>0.03</v>
      </c>
      <c r="J576" s="12">
        <v>4</v>
      </c>
      <c r="K576" s="12">
        <v>127.6</v>
      </c>
      <c r="L576" s="12">
        <v>510.4</v>
      </c>
      <c r="M576" s="12">
        <v>0</v>
      </c>
      <c r="N576" s="12">
        <v>0</v>
      </c>
      <c r="O576" s="12">
        <v>66.351872</v>
      </c>
      <c r="P576" s="12">
        <v>576.75187200000005</v>
      </c>
    </row>
    <row r="577" spans="1:16" ht="14.5" x14ac:dyDescent="0.25">
      <c r="A577" s="10">
        <v>45852</v>
      </c>
      <c r="B577" s="2" t="str">
        <f t="shared" si="18"/>
        <v>Jul-2025</v>
      </c>
      <c r="C577" s="2" t="str">
        <f t="shared" si="19"/>
        <v>Q2</v>
      </c>
      <c r="D577" s="2" t="s">
        <v>28</v>
      </c>
      <c r="E577" s="11" t="s">
        <v>195</v>
      </c>
      <c r="F577" s="11" t="s">
        <v>38</v>
      </c>
      <c r="G577" s="11" t="s">
        <v>504</v>
      </c>
      <c r="H577" s="11" t="s">
        <v>66</v>
      </c>
      <c r="I577" s="12">
        <v>0.04</v>
      </c>
      <c r="J577" s="12">
        <v>4</v>
      </c>
      <c r="K577" s="12">
        <v>85.07</v>
      </c>
      <c r="L577" s="12">
        <v>340.28</v>
      </c>
      <c r="M577" s="12">
        <v>0</v>
      </c>
      <c r="N577" s="12">
        <v>0</v>
      </c>
      <c r="O577" s="12">
        <v>44.236315000000005</v>
      </c>
      <c r="P577" s="12">
        <v>384.51631500000002</v>
      </c>
    </row>
    <row r="578" spans="1:16" ht="14.5" x14ac:dyDescent="0.25">
      <c r="A578" s="10">
        <v>45852</v>
      </c>
      <c r="B578" s="2" t="str">
        <f t="shared" si="18"/>
        <v>Jul-2025</v>
      </c>
      <c r="C578" s="2" t="str">
        <f t="shared" si="19"/>
        <v>Q2</v>
      </c>
      <c r="D578" s="2" t="s">
        <v>28</v>
      </c>
      <c r="E578" s="11" t="s">
        <v>195</v>
      </c>
      <c r="F578" s="11" t="s">
        <v>38</v>
      </c>
      <c r="G578" s="11" t="s">
        <v>506</v>
      </c>
      <c r="H578" s="11" t="s">
        <v>54</v>
      </c>
      <c r="I578" s="12">
        <v>0.17</v>
      </c>
      <c r="J578" s="12">
        <v>8</v>
      </c>
      <c r="K578" s="12">
        <v>244.57</v>
      </c>
      <c r="L578" s="12">
        <v>1956.56</v>
      </c>
      <c r="M578" s="12">
        <v>0</v>
      </c>
      <c r="N578" s="12">
        <v>0</v>
      </c>
      <c r="O578" s="12">
        <v>254.35230900000002</v>
      </c>
      <c r="P578" s="12">
        <v>2210.9123089999998</v>
      </c>
    </row>
    <row r="579" spans="1:16" ht="14.5" x14ac:dyDescent="0.25">
      <c r="A579" s="10">
        <v>45852</v>
      </c>
      <c r="B579" s="2" t="str">
        <f t="shared" si="18"/>
        <v>Jul-2025</v>
      </c>
      <c r="C579" s="2" t="str">
        <f t="shared" si="19"/>
        <v>Q2</v>
      </c>
      <c r="D579" s="2" t="s">
        <v>28</v>
      </c>
      <c r="E579" s="11" t="s">
        <v>195</v>
      </c>
      <c r="F579" s="11" t="s">
        <v>38</v>
      </c>
      <c r="G579" s="11" t="s">
        <v>507</v>
      </c>
      <c r="H579" s="11" t="s">
        <v>60</v>
      </c>
      <c r="I579" s="12">
        <v>7.0000000000000007E-2</v>
      </c>
      <c r="J579" s="12">
        <v>4</v>
      </c>
      <c r="K579" s="12">
        <v>77.09</v>
      </c>
      <c r="L579" s="12">
        <v>308.36</v>
      </c>
      <c r="M579" s="12">
        <v>0</v>
      </c>
      <c r="N579" s="12">
        <v>0</v>
      </c>
      <c r="O579" s="12">
        <v>40.086723000000006</v>
      </c>
      <c r="P579" s="12">
        <v>348.44672300000002</v>
      </c>
    </row>
    <row r="580" spans="1:16" ht="14.5" x14ac:dyDescent="0.25">
      <c r="A580" s="10">
        <v>45852</v>
      </c>
      <c r="B580" s="2" t="str">
        <f t="shared" si="18"/>
        <v>Jul-2025</v>
      </c>
      <c r="C580" s="2" t="str">
        <f t="shared" si="19"/>
        <v>Q2</v>
      </c>
      <c r="D580" s="2" t="s">
        <v>28</v>
      </c>
      <c r="E580" s="11" t="s">
        <v>195</v>
      </c>
      <c r="F580" s="11" t="s">
        <v>38</v>
      </c>
      <c r="G580" s="11" t="s">
        <v>503</v>
      </c>
      <c r="H580" s="11" t="s">
        <v>63</v>
      </c>
      <c r="I580" s="12">
        <v>0.05</v>
      </c>
      <c r="J580" s="12">
        <v>4</v>
      </c>
      <c r="K580" s="12">
        <v>148.88</v>
      </c>
      <c r="L580" s="12">
        <v>595.52</v>
      </c>
      <c r="M580" s="12">
        <v>0</v>
      </c>
      <c r="N580" s="12">
        <v>0</v>
      </c>
      <c r="O580" s="12">
        <v>77.417451</v>
      </c>
      <c r="P580" s="12">
        <v>672.93745100000001</v>
      </c>
    </row>
    <row r="581" spans="1:16" ht="14.5" x14ac:dyDescent="0.25">
      <c r="A581" s="10">
        <v>45852</v>
      </c>
      <c r="B581" s="2" t="str">
        <f t="shared" si="18"/>
        <v>Jul-2025</v>
      </c>
      <c r="C581" s="2" t="str">
        <f t="shared" si="19"/>
        <v>Q2</v>
      </c>
      <c r="D581" s="2" t="s">
        <v>28</v>
      </c>
      <c r="E581" s="11" t="s">
        <v>195</v>
      </c>
      <c r="F581" s="11" t="s">
        <v>38</v>
      </c>
      <c r="G581" s="11" t="s">
        <v>503</v>
      </c>
      <c r="H581" s="11" t="s">
        <v>47</v>
      </c>
      <c r="I581" s="12">
        <v>0.03</v>
      </c>
      <c r="J581" s="12">
        <v>4</v>
      </c>
      <c r="K581" s="12">
        <v>95.71</v>
      </c>
      <c r="L581" s="12">
        <v>382.84</v>
      </c>
      <c r="M581" s="12">
        <v>0</v>
      </c>
      <c r="N581" s="12">
        <v>0</v>
      </c>
      <c r="O581" s="12">
        <v>49.769103999999999</v>
      </c>
      <c r="P581" s="12">
        <v>432.609104</v>
      </c>
    </row>
    <row r="582" spans="1:16" ht="14.5" x14ac:dyDescent="0.25">
      <c r="A582" s="10">
        <v>45852</v>
      </c>
      <c r="B582" s="2" t="str">
        <f t="shared" si="18"/>
        <v>Jul-2025</v>
      </c>
      <c r="C582" s="2" t="str">
        <f t="shared" si="19"/>
        <v>Q2</v>
      </c>
      <c r="D582" s="2" t="s">
        <v>28</v>
      </c>
      <c r="E582" s="11" t="s">
        <v>195</v>
      </c>
      <c r="F582" s="11" t="s">
        <v>38</v>
      </c>
      <c r="G582" s="11" t="s">
        <v>503</v>
      </c>
      <c r="H582" s="11" t="s">
        <v>59</v>
      </c>
      <c r="I582" s="12">
        <v>0.01</v>
      </c>
      <c r="J582" s="12">
        <v>1</v>
      </c>
      <c r="K582" s="12">
        <v>50.51</v>
      </c>
      <c r="L582" s="12">
        <v>50.51</v>
      </c>
      <c r="M582" s="12">
        <v>0</v>
      </c>
      <c r="N582" s="12">
        <v>0</v>
      </c>
      <c r="O582" s="12">
        <v>6.566287</v>
      </c>
      <c r="P582" s="12">
        <v>57.076287000000001</v>
      </c>
    </row>
    <row r="583" spans="1:16" ht="14.5" x14ac:dyDescent="0.25">
      <c r="A583" s="10">
        <v>45852</v>
      </c>
      <c r="B583" s="2" t="str">
        <f t="shared" si="18"/>
        <v>Jul-2025</v>
      </c>
      <c r="C583" s="2" t="str">
        <f t="shared" si="19"/>
        <v>Q2</v>
      </c>
      <c r="D583" s="2" t="s">
        <v>28</v>
      </c>
      <c r="E583" s="11" t="s">
        <v>195</v>
      </c>
      <c r="F583" s="11" t="s">
        <v>38</v>
      </c>
      <c r="G583" s="11" t="s">
        <v>505</v>
      </c>
      <c r="H583" s="11" t="s">
        <v>168</v>
      </c>
      <c r="I583" s="12">
        <v>0.03</v>
      </c>
      <c r="J583" s="12">
        <v>2</v>
      </c>
      <c r="K583" s="12">
        <v>180.77</v>
      </c>
      <c r="L583" s="12">
        <v>361.54</v>
      </c>
      <c r="M583" s="12">
        <v>0</v>
      </c>
      <c r="N583" s="12">
        <v>0</v>
      </c>
      <c r="O583" s="12">
        <v>47.000108999999995</v>
      </c>
      <c r="P583" s="12">
        <v>408.54010899999997</v>
      </c>
    </row>
    <row r="584" spans="1:16" ht="14.5" x14ac:dyDescent="0.25">
      <c r="A584" s="10">
        <v>45852</v>
      </c>
      <c r="B584" s="2" t="str">
        <f t="shared" si="18"/>
        <v>Jul-2025</v>
      </c>
      <c r="C584" s="2" t="str">
        <f t="shared" si="19"/>
        <v>Q2</v>
      </c>
      <c r="D584" s="2" t="s">
        <v>28</v>
      </c>
      <c r="E584" s="11" t="s">
        <v>195</v>
      </c>
      <c r="F584" s="11" t="s">
        <v>38</v>
      </c>
      <c r="G584" s="11" t="s">
        <v>503</v>
      </c>
      <c r="H584" s="11" t="s">
        <v>48</v>
      </c>
      <c r="I584" s="12">
        <v>0.02</v>
      </c>
      <c r="J584" s="12">
        <v>4</v>
      </c>
      <c r="K584" s="12">
        <v>106.9</v>
      </c>
      <c r="L584" s="12">
        <v>427.6</v>
      </c>
      <c r="M584" s="12">
        <v>0</v>
      </c>
      <c r="N584" s="12">
        <v>0</v>
      </c>
      <c r="O584" s="12">
        <v>55.587892999999994</v>
      </c>
      <c r="P584" s="12">
        <v>483.18789299999997</v>
      </c>
    </row>
    <row r="585" spans="1:16" ht="14.5" x14ac:dyDescent="0.25">
      <c r="A585" s="10">
        <v>45852</v>
      </c>
      <c r="B585" s="2" t="str">
        <f t="shared" si="18"/>
        <v>Jul-2025</v>
      </c>
      <c r="C585" s="2" t="str">
        <f t="shared" si="19"/>
        <v>Q2</v>
      </c>
      <c r="D585" s="2" t="s">
        <v>28</v>
      </c>
      <c r="E585" s="11" t="s">
        <v>195</v>
      </c>
      <c r="F585" s="11" t="s">
        <v>38</v>
      </c>
      <c r="G585" s="11" t="s">
        <v>505</v>
      </c>
      <c r="H585" s="11" t="s">
        <v>50</v>
      </c>
      <c r="I585" s="12">
        <v>0.05</v>
      </c>
      <c r="J585" s="12">
        <v>4</v>
      </c>
      <c r="K585" s="12">
        <v>132.91999999999999</v>
      </c>
      <c r="L585" s="12">
        <v>531.67999999999995</v>
      </c>
      <c r="M585" s="12">
        <v>0</v>
      </c>
      <c r="N585" s="12">
        <v>0</v>
      </c>
      <c r="O585" s="12">
        <v>69.118267000000003</v>
      </c>
      <c r="P585" s="12">
        <v>600.79826700000001</v>
      </c>
    </row>
    <row r="586" spans="1:16" ht="14.5" x14ac:dyDescent="0.25">
      <c r="A586" s="10">
        <v>45852</v>
      </c>
      <c r="B586" s="2" t="str">
        <f t="shared" si="18"/>
        <v>Jul-2025</v>
      </c>
      <c r="C586" s="2" t="str">
        <f t="shared" si="19"/>
        <v>Q2</v>
      </c>
      <c r="D586" s="2" t="s">
        <v>28</v>
      </c>
      <c r="E586" s="11" t="s">
        <v>195</v>
      </c>
      <c r="F586" s="11" t="s">
        <v>38</v>
      </c>
      <c r="G586" s="11" t="s">
        <v>507</v>
      </c>
      <c r="H586" s="11" t="s">
        <v>90</v>
      </c>
      <c r="I586" s="12">
        <v>0.45</v>
      </c>
      <c r="J586" s="12">
        <v>54</v>
      </c>
      <c r="K586" s="12">
        <v>45.2</v>
      </c>
      <c r="L586" s="12">
        <v>2440.8000000000002</v>
      </c>
      <c r="M586" s="12">
        <v>0</v>
      </c>
      <c r="N586" s="12">
        <v>0</v>
      </c>
      <c r="O586" s="12">
        <v>317.30338800000004</v>
      </c>
      <c r="P586" s="12">
        <v>2758.103388</v>
      </c>
    </row>
    <row r="587" spans="1:16" ht="14.5" x14ac:dyDescent="0.25">
      <c r="A587" s="10">
        <v>45852</v>
      </c>
      <c r="B587" s="2" t="str">
        <f t="shared" si="18"/>
        <v>Jul-2025</v>
      </c>
      <c r="C587" s="2" t="str">
        <f t="shared" si="19"/>
        <v>Q2</v>
      </c>
      <c r="D587" s="2" t="s">
        <v>28</v>
      </c>
      <c r="E587" s="11" t="s">
        <v>195</v>
      </c>
      <c r="F587" s="11" t="s">
        <v>38</v>
      </c>
      <c r="G587" s="11" t="s">
        <v>506</v>
      </c>
      <c r="H587" s="11" t="s">
        <v>39</v>
      </c>
      <c r="I587" s="12">
        <v>0.81</v>
      </c>
      <c r="J587" s="12">
        <v>58</v>
      </c>
      <c r="K587" s="12">
        <v>103.68</v>
      </c>
      <c r="L587" s="12">
        <v>6013.44</v>
      </c>
      <c r="M587" s="12">
        <v>0</v>
      </c>
      <c r="N587" s="12">
        <v>0</v>
      </c>
      <c r="O587" s="12">
        <v>781.74569199999996</v>
      </c>
      <c r="P587" s="12">
        <v>6795.185692</v>
      </c>
    </row>
    <row r="588" spans="1:16" ht="14.5" x14ac:dyDescent="0.25">
      <c r="A588" s="10">
        <v>45852</v>
      </c>
      <c r="B588" s="2" t="str">
        <f t="shared" si="18"/>
        <v>Jul-2025</v>
      </c>
      <c r="C588" s="2" t="str">
        <f t="shared" si="19"/>
        <v>Q2</v>
      </c>
      <c r="D588" s="2" t="s">
        <v>28</v>
      </c>
      <c r="E588" s="11" t="s">
        <v>195</v>
      </c>
      <c r="F588" s="11" t="s">
        <v>38</v>
      </c>
      <c r="G588" s="11" t="s">
        <v>503</v>
      </c>
      <c r="H588" s="11" t="s">
        <v>46</v>
      </c>
      <c r="I588" s="12">
        <v>0.03</v>
      </c>
      <c r="J588" s="12">
        <v>4</v>
      </c>
      <c r="K588" s="12">
        <v>95.71</v>
      </c>
      <c r="L588" s="12">
        <v>382.84</v>
      </c>
      <c r="M588" s="12">
        <v>0</v>
      </c>
      <c r="N588" s="12">
        <v>0</v>
      </c>
      <c r="O588" s="12">
        <v>49.769103999999999</v>
      </c>
      <c r="P588" s="12">
        <v>432.609104</v>
      </c>
    </row>
    <row r="589" spans="1:16" ht="14.5" x14ac:dyDescent="0.25">
      <c r="A589" s="10">
        <v>45852</v>
      </c>
      <c r="B589" s="2" t="str">
        <f t="shared" si="18"/>
        <v>Jul-2025</v>
      </c>
      <c r="C589" s="2" t="str">
        <f t="shared" si="19"/>
        <v>Q2</v>
      </c>
      <c r="D589" s="2" t="s">
        <v>28</v>
      </c>
      <c r="E589" s="11" t="s">
        <v>195</v>
      </c>
      <c r="F589" s="11" t="s">
        <v>38</v>
      </c>
      <c r="G589" s="11" t="s">
        <v>504</v>
      </c>
      <c r="H589" s="11" t="s">
        <v>68</v>
      </c>
      <c r="I589" s="12">
        <v>0.1</v>
      </c>
      <c r="J589" s="12">
        <v>4</v>
      </c>
      <c r="K589" s="12">
        <v>204.7</v>
      </c>
      <c r="L589" s="12">
        <v>818.8</v>
      </c>
      <c r="M589" s="12">
        <v>0</v>
      </c>
      <c r="N589" s="12">
        <v>0</v>
      </c>
      <c r="O589" s="12">
        <v>106.44379500000001</v>
      </c>
      <c r="P589" s="12">
        <v>925.24379499999998</v>
      </c>
    </row>
    <row r="590" spans="1:16" ht="14.5" x14ac:dyDescent="0.25">
      <c r="A590" s="10">
        <v>45852</v>
      </c>
      <c r="B590" s="2" t="str">
        <f t="shared" si="18"/>
        <v>Jul-2025</v>
      </c>
      <c r="C590" s="2" t="str">
        <f t="shared" si="19"/>
        <v>Q2</v>
      </c>
      <c r="D590" s="2" t="s">
        <v>28</v>
      </c>
      <c r="E590" s="11" t="s">
        <v>195</v>
      </c>
      <c r="F590" s="11" t="s">
        <v>38</v>
      </c>
      <c r="G590" s="11" t="s">
        <v>505</v>
      </c>
      <c r="H590" s="11" t="s">
        <v>43</v>
      </c>
      <c r="I590" s="12">
        <v>0.2</v>
      </c>
      <c r="J590" s="12">
        <v>8</v>
      </c>
      <c r="K590" s="12">
        <v>233.94</v>
      </c>
      <c r="L590" s="12">
        <v>1871.52</v>
      </c>
      <c r="M590" s="12">
        <v>0</v>
      </c>
      <c r="N590" s="12">
        <v>0</v>
      </c>
      <c r="O590" s="12">
        <v>243.29713099999998</v>
      </c>
      <c r="P590" s="12">
        <v>2114.8171309999998</v>
      </c>
    </row>
    <row r="591" spans="1:16" ht="14.5" x14ac:dyDescent="0.25">
      <c r="A591" s="10">
        <v>45852</v>
      </c>
      <c r="B591" s="2" t="str">
        <f t="shared" si="18"/>
        <v>Jul-2025</v>
      </c>
      <c r="C591" s="2" t="str">
        <f t="shared" si="19"/>
        <v>Q2</v>
      </c>
      <c r="D591" s="2" t="s">
        <v>28</v>
      </c>
      <c r="E591" s="11" t="s">
        <v>195</v>
      </c>
      <c r="F591" s="11" t="s">
        <v>38</v>
      </c>
      <c r="G591" s="11" t="s">
        <v>503</v>
      </c>
      <c r="H591" s="11" t="s">
        <v>52</v>
      </c>
      <c r="I591" s="12">
        <v>0.01</v>
      </c>
      <c r="J591" s="12">
        <v>1</v>
      </c>
      <c r="K591" s="12">
        <v>55.82</v>
      </c>
      <c r="L591" s="12">
        <v>55.82</v>
      </c>
      <c r="M591" s="12">
        <v>0</v>
      </c>
      <c r="N591" s="12">
        <v>0</v>
      </c>
      <c r="O591" s="12">
        <v>7.2565860000000004</v>
      </c>
      <c r="P591" s="12">
        <v>63.076585999999999</v>
      </c>
    </row>
    <row r="592" spans="1:16" ht="14.5" x14ac:dyDescent="0.25">
      <c r="A592" s="10">
        <v>45852</v>
      </c>
      <c r="B592" s="2" t="str">
        <f t="shared" si="18"/>
        <v>Jul-2025</v>
      </c>
      <c r="C592" s="2" t="str">
        <f t="shared" si="19"/>
        <v>Q2</v>
      </c>
      <c r="D592" s="2" t="s">
        <v>28</v>
      </c>
      <c r="E592" s="11" t="s">
        <v>196</v>
      </c>
      <c r="F592" s="11" t="s">
        <v>38</v>
      </c>
      <c r="G592" s="11" t="s">
        <v>503</v>
      </c>
      <c r="H592" s="11" t="s">
        <v>44</v>
      </c>
      <c r="I592" s="12">
        <v>0.03</v>
      </c>
      <c r="J592" s="12">
        <v>4</v>
      </c>
      <c r="K592" s="12">
        <v>122.29</v>
      </c>
      <c r="L592" s="12">
        <v>489.16</v>
      </c>
      <c r="M592" s="12">
        <v>0</v>
      </c>
      <c r="N592" s="12">
        <v>0</v>
      </c>
      <c r="O592" s="12">
        <v>63.590796999999995</v>
      </c>
      <c r="P592" s="12">
        <v>552.75079700000003</v>
      </c>
    </row>
    <row r="593" spans="1:16" ht="14.5" x14ac:dyDescent="0.25">
      <c r="A593" s="10">
        <v>45852</v>
      </c>
      <c r="B593" s="2" t="str">
        <f t="shared" si="18"/>
        <v>Jul-2025</v>
      </c>
      <c r="C593" s="2" t="str">
        <f t="shared" si="19"/>
        <v>Q2</v>
      </c>
      <c r="D593" s="2" t="s">
        <v>28</v>
      </c>
      <c r="E593" s="11" t="s">
        <v>196</v>
      </c>
      <c r="F593" s="11" t="s">
        <v>38</v>
      </c>
      <c r="G593" s="11" t="s">
        <v>503</v>
      </c>
      <c r="H593" s="11" t="s">
        <v>57</v>
      </c>
      <c r="I593" s="12">
        <v>0.02</v>
      </c>
      <c r="J593" s="12">
        <v>4</v>
      </c>
      <c r="K593" s="12">
        <v>95.71</v>
      </c>
      <c r="L593" s="12">
        <v>382.84</v>
      </c>
      <c r="M593" s="12">
        <v>0</v>
      </c>
      <c r="N593" s="12">
        <v>0</v>
      </c>
      <c r="O593" s="12">
        <v>49.769198000000003</v>
      </c>
      <c r="P593" s="12">
        <v>432.60919799999999</v>
      </c>
    </row>
    <row r="594" spans="1:16" ht="14.5" x14ac:dyDescent="0.25">
      <c r="A594" s="10">
        <v>45852</v>
      </c>
      <c r="B594" s="2" t="str">
        <f t="shared" si="18"/>
        <v>Jul-2025</v>
      </c>
      <c r="C594" s="2" t="str">
        <f t="shared" si="19"/>
        <v>Q2</v>
      </c>
      <c r="D594" s="2" t="s">
        <v>28</v>
      </c>
      <c r="E594" s="11" t="s">
        <v>196</v>
      </c>
      <c r="F594" s="11" t="s">
        <v>38</v>
      </c>
      <c r="G594" s="11" t="s">
        <v>508</v>
      </c>
      <c r="H594" s="11" t="s">
        <v>178</v>
      </c>
      <c r="I594" s="12">
        <v>0.1</v>
      </c>
      <c r="J594" s="12">
        <v>6</v>
      </c>
      <c r="K594" s="12">
        <v>122.82</v>
      </c>
      <c r="L594" s="12">
        <v>736.92</v>
      </c>
      <c r="M594" s="12">
        <v>0</v>
      </c>
      <c r="N594" s="12">
        <v>0</v>
      </c>
      <c r="O594" s="12">
        <v>95.799595999999994</v>
      </c>
      <c r="P594" s="12">
        <v>832.71959600000002</v>
      </c>
    </row>
    <row r="595" spans="1:16" ht="14.5" x14ac:dyDescent="0.25">
      <c r="A595" s="10">
        <v>45852</v>
      </c>
      <c r="B595" s="2" t="str">
        <f t="shared" si="18"/>
        <v>Jul-2025</v>
      </c>
      <c r="C595" s="2" t="str">
        <f t="shared" si="19"/>
        <v>Q2</v>
      </c>
      <c r="D595" s="2" t="s">
        <v>28</v>
      </c>
      <c r="E595" s="11" t="s">
        <v>196</v>
      </c>
      <c r="F595" s="11" t="s">
        <v>38</v>
      </c>
      <c r="G595" s="11" t="s">
        <v>503</v>
      </c>
      <c r="H595" s="11" t="s">
        <v>171</v>
      </c>
      <c r="I595" s="12">
        <v>0.05</v>
      </c>
      <c r="J595" s="12">
        <v>4</v>
      </c>
      <c r="K595" s="12">
        <v>127.6</v>
      </c>
      <c r="L595" s="12">
        <v>510.4</v>
      </c>
      <c r="M595" s="12">
        <v>0</v>
      </c>
      <c r="N595" s="12">
        <v>0</v>
      </c>
      <c r="O595" s="12">
        <v>66.351996999999997</v>
      </c>
      <c r="P595" s="12">
        <v>576.75199699999996</v>
      </c>
    </row>
    <row r="596" spans="1:16" ht="14.5" x14ac:dyDescent="0.25">
      <c r="A596" s="10">
        <v>45852</v>
      </c>
      <c r="B596" s="2" t="str">
        <f t="shared" si="18"/>
        <v>Jul-2025</v>
      </c>
      <c r="C596" s="2" t="str">
        <f t="shared" si="19"/>
        <v>Q2</v>
      </c>
      <c r="D596" s="2" t="s">
        <v>28</v>
      </c>
      <c r="E596" s="11" t="s">
        <v>196</v>
      </c>
      <c r="F596" s="11" t="s">
        <v>38</v>
      </c>
      <c r="G596" s="11" t="s">
        <v>504</v>
      </c>
      <c r="H596" s="11" t="s">
        <v>67</v>
      </c>
      <c r="I596" s="12">
        <v>0.1</v>
      </c>
      <c r="J596" s="12">
        <v>4</v>
      </c>
      <c r="K596" s="12">
        <v>379.62</v>
      </c>
      <c r="L596" s="12">
        <v>1518.48</v>
      </c>
      <c r="M596" s="12">
        <v>0</v>
      </c>
      <c r="N596" s="12">
        <v>0</v>
      </c>
      <c r="O596" s="12">
        <v>197.40239199999999</v>
      </c>
      <c r="P596" s="12">
        <v>1715.882392</v>
      </c>
    </row>
    <row r="597" spans="1:16" ht="14.5" x14ac:dyDescent="0.25">
      <c r="A597" s="10">
        <v>45852</v>
      </c>
      <c r="B597" s="2" t="str">
        <f t="shared" si="18"/>
        <v>Jul-2025</v>
      </c>
      <c r="C597" s="2" t="str">
        <f t="shared" si="19"/>
        <v>Q2</v>
      </c>
      <c r="D597" s="2" t="s">
        <v>28</v>
      </c>
      <c r="E597" s="11" t="s">
        <v>196</v>
      </c>
      <c r="F597" s="11" t="s">
        <v>38</v>
      </c>
      <c r="G597" s="11" t="s">
        <v>504</v>
      </c>
      <c r="H597" s="11" t="s">
        <v>69</v>
      </c>
      <c r="I597" s="12">
        <v>0.04</v>
      </c>
      <c r="J597" s="12">
        <v>4</v>
      </c>
      <c r="K597" s="12">
        <v>156.32</v>
      </c>
      <c r="L597" s="12">
        <v>625.28</v>
      </c>
      <c r="M597" s="12">
        <v>0</v>
      </c>
      <c r="N597" s="12">
        <v>0</v>
      </c>
      <c r="O597" s="12">
        <v>81.286396999999994</v>
      </c>
      <c r="P597" s="12">
        <v>706.56639700000005</v>
      </c>
    </row>
    <row r="598" spans="1:16" ht="14.5" x14ac:dyDescent="0.25">
      <c r="A598" s="10">
        <v>45852</v>
      </c>
      <c r="B598" s="2" t="str">
        <f t="shared" si="18"/>
        <v>Jul-2025</v>
      </c>
      <c r="C598" s="2" t="str">
        <f t="shared" si="19"/>
        <v>Q2</v>
      </c>
      <c r="D598" s="2" t="s">
        <v>28</v>
      </c>
      <c r="E598" s="11" t="s">
        <v>196</v>
      </c>
      <c r="F598" s="11" t="s">
        <v>38</v>
      </c>
      <c r="G598" s="11" t="s">
        <v>503</v>
      </c>
      <c r="H598" s="11" t="s">
        <v>87</v>
      </c>
      <c r="I598" s="12">
        <v>0.02</v>
      </c>
      <c r="J598" s="12">
        <v>4</v>
      </c>
      <c r="K598" s="12">
        <v>90.38</v>
      </c>
      <c r="L598" s="12">
        <v>361.52</v>
      </c>
      <c r="M598" s="12">
        <v>0</v>
      </c>
      <c r="N598" s="12">
        <v>0</v>
      </c>
      <c r="O598" s="12">
        <v>46.997598000000004</v>
      </c>
      <c r="P598" s="12">
        <v>408.51759800000002</v>
      </c>
    </row>
    <row r="599" spans="1:16" ht="14.5" x14ac:dyDescent="0.25">
      <c r="A599" s="10">
        <v>45852</v>
      </c>
      <c r="B599" s="2" t="str">
        <f t="shared" si="18"/>
        <v>Jul-2025</v>
      </c>
      <c r="C599" s="2" t="str">
        <f t="shared" si="19"/>
        <v>Q2</v>
      </c>
      <c r="D599" s="2" t="s">
        <v>28</v>
      </c>
      <c r="E599" s="11" t="s">
        <v>196</v>
      </c>
      <c r="F599" s="11" t="s">
        <v>38</v>
      </c>
      <c r="G599" s="11" t="s">
        <v>503</v>
      </c>
      <c r="H599" s="11" t="s">
        <v>180</v>
      </c>
      <c r="I599" s="12">
        <v>0.05</v>
      </c>
      <c r="J599" s="12">
        <v>4</v>
      </c>
      <c r="K599" s="12">
        <v>111.66</v>
      </c>
      <c r="L599" s="12">
        <v>446.64</v>
      </c>
      <c r="M599" s="12">
        <v>0</v>
      </c>
      <c r="N599" s="12">
        <v>0</v>
      </c>
      <c r="O599" s="12">
        <v>58.063198</v>
      </c>
      <c r="P599" s="12">
        <v>504.70319799999999</v>
      </c>
    </row>
    <row r="600" spans="1:16" ht="14.5" x14ac:dyDescent="0.25">
      <c r="A600" s="10">
        <v>45852</v>
      </c>
      <c r="B600" s="2" t="str">
        <f t="shared" si="18"/>
        <v>Jul-2025</v>
      </c>
      <c r="C600" s="2" t="str">
        <f t="shared" si="19"/>
        <v>Q2</v>
      </c>
      <c r="D600" s="2" t="s">
        <v>28</v>
      </c>
      <c r="E600" s="11" t="s">
        <v>196</v>
      </c>
      <c r="F600" s="11" t="s">
        <v>38</v>
      </c>
      <c r="G600" s="11" t="s">
        <v>503</v>
      </c>
      <c r="H600" s="11" t="s">
        <v>45</v>
      </c>
      <c r="I600" s="12">
        <v>0.01</v>
      </c>
      <c r="J600" s="12">
        <v>1</v>
      </c>
      <c r="K600" s="12">
        <v>50.51</v>
      </c>
      <c r="L600" s="12">
        <v>50.51</v>
      </c>
      <c r="M600" s="12">
        <v>0</v>
      </c>
      <c r="N600" s="12">
        <v>0</v>
      </c>
      <c r="O600" s="12">
        <v>6.5663</v>
      </c>
      <c r="P600" s="12">
        <v>57.076300000000003</v>
      </c>
    </row>
    <row r="601" spans="1:16" ht="14.5" x14ac:dyDescent="0.25">
      <c r="A601" s="10">
        <v>45852</v>
      </c>
      <c r="B601" s="2" t="str">
        <f t="shared" si="18"/>
        <v>Jul-2025</v>
      </c>
      <c r="C601" s="2" t="str">
        <f t="shared" si="19"/>
        <v>Q2</v>
      </c>
      <c r="D601" s="2" t="s">
        <v>28</v>
      </c>
      <c r="E601" s="11" t="s">
        <v>196</v>
      </c>
      <c r="F601" s="11" t="s">
        <v>38</v>
      </c>
      <c r="G601" s="11" t="s">
        <v>503</v>
      </c>
      <c r="H601" s="11" t="s">
        <v>89</v>
      </c>
      <c r="I601" s="12">
        <v>0.05</v>
      </c>
      <c r="J601" s="12">
        <v>6</v>
      </c>
      <c r="K601" s="12">
        <v>96.91</v>
      </c>
      <c r="L601" s="12">
        <v>581.46</v>
      </c>
      <c r="M601" s="12">
        <v>0</v>
      </c>
      <c r="N601" s="12">
        <v>0</v>
      </c>
      <c r="O601" s="12">
        <v>75.58979699999999</v>
      </c>
      <c r="P601" s="12">
        <v>657.04979700000001</v>
      </c>
    </row>
    <row r="602" spans="1:16" ht="14.5" x14ac:dyDescent="0.25">
      <c r="A602" s="10">
        <v>45852</v>
      </c>
      <c r="B602" s="2" t="str">
        <f t="shared" si="18"/>
        <v>Jul-2025</v>
      </c>
      <c r="C602" s="2" t="str">
        <f t="shared" si="19"/>
        <v>Q2</v>
      </c>
      <c r="D602" s="2" t="s">
        <v>28</v>
      </c>
      <c r="E602" s="11" t="s">
        <v>196</v>
      </c>
      <c r="F602" s="11" t="s">
        <v>38</v>
      </c>
      <c r="G602" s="11" t="s">
        <v>503</v>
      </c>
      <c r="H602" s="11" t="s">
        <v>179</v>
      </c>
      <c r="I602" s="12">
        <v>0.02</v>
      </c>
      <c r="J602" s="12">
        <v>4</v>
      </c>
      <c r="K602" s="12">
        <v>101.02</v>
      </c>
      <c r="L602" s="12">
        <v>404.08</v>
      </c>
      <c r="M602" s="12">
        <v>0</v>
      </c>
      <c r="N602" s="12">
        <v>0</v>
      </c>
      <c r="O602" s="12">
        <v>52.530397999999998</v>
      </c>
      <c r="P602" s="12">
        <v>456.61039799999998</v>
      </c>
    </row>
    <row r="603" spans="1:16" ht="14.5" x14ac:dyDescent="0.25">
      <c r="A603" s="10">
        <v>45852</v>
      </c>
      <c r="B603" s="2" t="str">
        <f t="shared" si="18"/>
        <v>Jul-2025</v>
      </c>
      <c r="C603" s="2" t="str">
        <f t="shared" si="19"/>
        <v>Q2</v>
      </c>
      <c r="D603" s="2" t="s">
        <v>28</v>
      </c>
      <c r="E603" s="11" t="s">
        <v>196</v>
      </c>
      <c r="F603" s="11" t="s">
        <v>38</v>
      </c>
      <c r="G603" s="11" t="s">
        <v>505</v>
      </c>
      <c r="H603" s="11" t="s">
        <v>40</v>
      </c>
      <c r="I603" s="12">
        <v>0.01</v>
      </c>
      <c r="J603" s="12">
        <v>1</v>
      </c>
      <c r="K603" s="12">
        <v>78.16</v>
      </c>
      <c r="L603" s="12">
        <v>78.16</v>
      </c>
      <c r="M603" s="12">
        <v>0</v>
      </c>
      <c r="N603" s="12">
        <v>0</v>
      </c>
      <c r="O603" s="12">
        <v>10.1608</v>
      </c>
      <c r="P603" s="12">
        <v>88.320800000000006</v>
      </c>
    </row>
    <row r="604" spans="1:16" ht="14.5" x14ac:dyDescent="0.25">
      <c r="A604" s="10">
        <v>45852</v>
      </c>
      <c r="B604" s="2" t="str">
        <f t="shared" si="18"/>
        <v>Jul-2025</v>
      </c>
      <c r="C604" s="2" t="str">
        <f t="shared" si="19"/>
        <v>Q2</v>
      </c>
      <c r="D604" s="2" t="s">
        <v>28</v>
      </c>
      <c r="E604" s="11" t="s">
        <v>196</v>
      </c>
      <c r="F604" s="11" t="s">
        <v>38</v>
      </c>
      <c r="G604" s="11" t="s">
        <v>506</v>
      </c>
      <c r="H604" s="11" t="s">
        <v>58</v>
      </c>
      <c r="I604" s="12">
        <v>0.81</v>
      </c>
      <c r="J604" s="12">
        <v>58</v>
      </c>
      <c r="K604" s="12">
        <v>116.97</v>
      </c>
      <c r="L604" s="12">
        <v>6784.26</v>
      </c>
      <c r="M604" s="12">
        <v>0</v>
      </c>
      <c r="N604" s="12">
        <v>0</v>
      </c>
      <c r="O604" s="12">
        <v>881.95376399999998</v>
      </c>
      <c r="P604" s="12">
        <v>7666.2137640000001</v>
      </c>
    </row>
    <row r="605" spans="1:16" ht="14.5" x14ac:dyDescent="0.25">
      <c r="A605" s="10">
        <v>45852</v>
      </c>
      <c r="B605" s="2" t="str">
        <f t="shared" si="18"/>
        <v>Jul-2025</v>
      </c>
      <c r="C605" s="2" t="str">
        <f t="shared" si="19"/>
        <v>Q2</v>
      </c>
      <c r="D605" s="2" t="s">
        <v>28</v>
      </c>
      <c r="E605" s="11" t="s">
        <v>196</v>
      </c>
      <c r="F605" s="11" t="s">
        <v>38</v>
      </c>
      <c r="G605" s="11" t="s">
        <v>506</v>
      </c>
      <c r="H605" s="11" t="s">
        <v>181</v>
      </c>
      <c r="I605" s="12">
        <v>0.08</v>
      </c>
      <c r="J605" s="12">
        <v>8</v>
      </c>
      <c r="K605" s="12">
        <v>77.099999999999994</v>
      </c>
      <c r="L605" s="12">
        <v>616.79999999999995</v>
      </c>
      <c r="M605" s="12">
        <v>0</v>
      </c>
      <c r="N605" s="12">
        <v>0</v>
      </c>
      <c r="O605" s="12">
        <v>80.183996999999991</v>
      </c>
      <c r="P605" s="12">
        <v>696.98399700000004</v>
      </c>
    </row>
    <row r="606" spans="1:16" ht="14.5" x14ac:dyDescent="0.25">
      <c r="A606" s="10">
        <v>45852</v>
      </c>
      <c r="B606" s="2" t="str">
        <f t="shared" si="18"/>
        <v>Jul-2025</v>
      </c>
      <c r="C606" s="2" t="str">
        <f t="shared" si="19"/>
        <v>Q2</v>
      </c>
      <c r="D606" s="2" t="s">
        <v>28</v>
      </c>
      <c r="E606" s="11" t="s">
        <v>196</v>
      </c>
      <c r="F606" s="11" t="s">
        <v>38</v>
      </c>
      <c r="G606" s="11" t="s">
        <v>505</v>
      </c>
      <c r="H606" s="11" t="s">
        <v>49</v>
      </c>
      <c r="I606" s="12">
        <v>0.02</v>
      </c>
      <c r="J606" s="12">
        <v>4</v>
      </c>
      <c r="K606" s="12">
        <v>150.72999999999999</v>
      </c>
      <c r="L606" s="12">
        <v>602.91999999999996</v>
      </c>
      <c r="M606" s="12">
        <v>0</v>
      </c>
      <c r="N606" s="12">
        <v>0</v>
      </c>
      <c r="O606" s="12">
        <v>78.37959699999999</v>
      </c>
      <c r="P606" s="12">
        <v>681.29959699999995</v>
      </c>
    </row>
    <row r="607" spans="1:16" ht="14.5" x14ac:dyDescent="0.25">
      <c r="A607" s="10">
        <v>45852</v>
      </c>
      <c r="B607" s="2" t="str">
        <f t="shared" si="18"/>
        <v>Jul-2025</v>
      </c>
      <c r="C607" s="2" t="str">
        <f t="shared" si="19"/>
        <v>Q2</v>
      </c>
      <c r="D607" s="2" t="s">
        <v>28</v>
      </c>
      <c r="E607" s="11" t="s">
        <v>196</v>
      </c>
      <c r="F607" s="11" t="s">
        <v>38</v>
      </c>
      <c r="G607" s="11" t="s">
        <v>503</v>
      </c>
      <c r="H607" s="11" t="s">
        <v>166</v>
      </c>
      <c r="I607" s="12">
        <v>0.42</v>
      </c>
      <c r="J607" s="12">
        <v>50</v>
      </c>
      <c r="K607" s="12">
        <v>50.51</v>
      </c>
      <c r="L607" s="12">
        <v>2525.5</v>
      </c>
      <c r="M607" s="12">
        <v>0</v>
      </c>
      <c r="N607" s="12">
        <v>0</v>
      </c>
      <c r="O607" s="12">
        <v>328.31498700000003</v>
      </c>
      <c r="P607" s="12">
        <v>2853.8149870000002</v>
      </c>
    </row>
    <row r="608" spans="1:16" ht="14.5" x14ac:dyDescent="0.25">
      <c r="A608" s="10">
        <v>45852</v>
      </c>
      <c r="B608" s="2" t="str">
        <f t="shared" si="18"/>
        <v>Jul-2025</v>
      </c>
      <c r="C608" s="2" t="str">
        <f t="shared" si="19"/>
        <v>Q2</v>
      </c>
      <c r="D608" s="2" t="s">
        <v>28</v>
      </c>
      <c r="E608" s="11" t="s">
        <v>196</v>
      </c>
      <c r="F608" s="11" t="s">
        <v>38</v>
      </c>
      <c r="G608" s="11" t="s">
        <v>505</v>
      </c>
      <c r="H608" s="11" t="s">
        <v>62</v>
      </c>
      <c r="I608" s="12">
        <v>0.11</v>
      </c>
      <c r="J608" s="12">
        <v>4</v>
      </c>
      <c r="K608" s="12">
        <v>345.6</v>
      </c>
      <c r="L608" s="12">
        <v>1382.4</v>
      </c>
      <c r="M608" s="12">
        <v>0</v>
      </c>
      <c r="N608" s="12">
        <v>0</v>
      </c>
      <c r="O608" s="12">
        <v>179.71199300000001</v>
      </c>
      <c r="P608" s="12">
        <v>1562.111993</v>
      </c>
    </row>
    <row r="609" spans="1:16" ht="14.5" x14ac:dyDescent="0.25">
      <c r="A609" s="10">
        <v>45852</v>
      </c>
      <c r="B609" s="2" t="str">
        <f t="shared" si="18"/>
        <v>Jul-2025</v>
      </c>
      <c r="C609" s="2" t="str">
        <f t="shared" si="19"/>
        <v>Q2</v>
      </c>
      <c r="D609" s="2" t="s">
        <v>28</v>
      </c>
      <c r="E609" s="11" t="s">
        <v>196</v>
      </c>
      <c r="F609" s="11" t="s">
        <v>38</v>
      </c>
      <c r="G609" s="11" t="s">
        <v>505</v>
      </c>
      <c r="H609" s="11" t="s">
        <v>56</v>
      </c>
      <c r="I609" s="12">
        <v>0.03</v>
      </c>
      <c r="J609" s="12">
        <v>4</v>
      </c>
      <c r="K609" s="12">
        <v>45.2</v>
      </c>
      <c r="L609" s="12">
        <v>180.8</v>
      </c>
      <c r="M609" s="12">
        <v>0</v>
      </c>
      <c r="N609" s="12">
        <v>0</v>
      </c>
      <c r="O609" s="12">
        <v>23.503999</v>
      </c>
      <c r="P609" s="12">
        <v>204.303999</v>
      </c>
    </row>
    <row r="610" spans="1:16" ht="14.5" x14ac:dyDescent="0.25">
      <c r="A610" s="10">
        <v>45852</v>
      </c>
      <c r="B610" s="2" t="str">
        <f t="shared" si="18"/>
        <v>Jul-2025</v>
      </c>
      <c r="C610" s="2" t="str">
        <f t="shared" si="19"/>
        <v>Q2</v>
      </c>
      <c r="D610" s="2" t="s">
        <v>28</v>
      </c>
      <c r="E610" s="11" t="s">
        <v>196</v>
      </c>
      <c r="F610" s="11" t="s">
        <v>38</v>
      </c>
      <c r="G610" s="11" t="s">
        <v>503</v>
      </c>
      <c r="H610" s="11" t="s">
        <v>170</v>
      </c>
      <c r="I610" s="12">
        <v>0.05</v>
      </c>
      <c r="J610" s="12">
        <v>4</v>
      </c>
      <c r="K610" s="12">
        <v>132.91</v>
      </c>
      <c r="L610" s="12">
        <v>531.64</v>
      </c>
      <c r="M610" s="12">
        <v>0</v>
      </c>
      <c r="N610" s="12">
        <v>0</v>
      </c>
      <c r="O610" s="12">
        <v>69.113197</v>
      </c>
      <c r="P610" s="12">
        <v>600.753197</v>
      </c>
    </row>
    <row r="611" spans="1:16" ht="14.5" x14ac:dyDescent="0.25">
      <c r="A611" s="10">
        <v>45853</v>
      </c>
      <c r="B611" s="2" t="str">
        <f t="shared" si="18"/>
        <v>Jul-2025</v>
      </c>
      <c r="C611" s="2" t="str">
        <f t="shared" si="19"/>
        <v>Q2</v>
      </c>
      <c r="D611" s="2" t="s">
        <v>28</v>
      </c>
      <c r="E611" s="11" t="s">
        <v>197</v>
      </c>
      <c r="F611" s="11" t="s">
        <v>71</v>
      </c>
      <c r="G611" s="11" t="s">
        <v>503</v>
      </c>
      <c r="H611" s="11" t="s">
        <v>45</v>
      </c>
      <c r="I611" s="12">
        <v>-0.06</v>
      </c>
      <c r="J611" s="12">
        <v>-10</v>
      </c>
      <c r="K611" s="12">
        <v>64.23</v>
      </c>
      <c r="L611" s="12">
        <v>-642.29999999999995</v>
      </c>
      <c r="M611" s="12">
        <v>24.66</v>
      </c>
      <c r="N611" s="12">
        <v>0</v>
      </c>
      <c r="O611" s="12">
        <v>-80.292640000000006</v>
      </c>
      <c r="P611" s="12">
        <v>-697.93263999999999</v>
      </c>
    </row>
    <row r="612" spans="1:16" ht="14.5" x14ac:dyDescent="0.25">
      <c r="A612" s="10">
        <v>45853</v>
      </c>
      <c r="B612" s="2" t="str">
        <f t="shared" si="18"/>
        <v>Jul-2025</v>
      </c>
      <c r="C612" s="2" t="str">
        <f t="shared" si="19"/>
        <v>Q2</v>
      </c>
      <c r="D612" s="2" t="s">
        <v>28</v>
      </c>
      <c r="E612" s="11" t="s">
        <v>197</v>
      </c>
      <c r="F612" s="11" t="s">
        <v>71</v>
      </c>
      <c r="G612" s="11" t="s">
        <v>503</v>
      </c>
      <c r="H612" s="11" t="s">
        <v>41</v>
      </c>
      <c r="I612" s="12">
        <v>-0.06</v>
      </c>
      <c r="J612" s="12">
        <v>-10</v>
      </c>
      <c r="K612" s="12">
        <v>60.84</v>
      </c>
      <c r="L612" s="12">
        <v>-608.4</v>
      </c>
      <c r="M612" s="12">
        <v>23.36</v>
      </c>
      <c r="N612" s="12">
        <v>0</v>
      </c>
      <c r="O612" s="12">
        <v>-76.05466899999999</v>
      </c>
      <c r="P612" s="12">
        <v>-661.09466899999995</v>
      </c>
    </row>
    <row r="613" spans="1:16" ht="14.5" x14ac:dyDescent="0.25">
      <c r="A613" s="10">
        <v>45853</v>
      </c>
      <c r="B613" s="2" t="str">
        <f t="shared" si="18"/>
        <v>Jul-2025</v>
      </c>
      <c r="C613" s="2" t="str">
        <f t="shared" si="19"/>
        <v>Q2</v>
      </c>
      <c r="D613" s="2" t="s">
        <v>28</v>
      </c>
      <c r="E613" s="11" t="s">
        <v>197</v>
      </c>
      <c r="F613" s="11" t="s">
        <v>71</v>
      </c>
      <c r="G613" s="11" t="s">
        <v>503</v>
      </c>
      <c r="H613" s="11" t="s">
        <v>59</v>
      </c>
      <c r="I613" s="12">
        <v>-0.11</v>
      </c>
      <c r="J613" s="12">
        <v>-20</v>
      </c>
      <c r="K613" s="12">
        <v>64.23</v>
      </c>
      <c r="L613" s="12">
        <v>-1284.5999999999999</v>
      </c>
      <c r="M613" s="12">
        <v>49.33</v>
      </c>
      <c r="N613" s="12">
        <v>0</v>
      </c>
      <c r="O613" s="12">
        <v>-160.583979</v>
      </c>
      <c r="P613" s="12">
        <v>-1395.853979</v>
      </c>
    </row>
    <row r="614" spans="1:16" ht="14.5" x14ac:dyDescent="0.25">
      <c r="A614" s="10">
        <v>45853</v>
      </c>
      <c r="B614" s="2" t="str">
        <f t="shared" ref="B614:B676" si="20">+TEXT(A614,"MMM-yyy")</f>
        <v>Jul-2025</v>
      </c>
      <c r="C614" s="2" t="str">
        <f t="shared" ref="C614:C676" si="21">"Q" &amp; CHOOSE(MONTH(A614),4,4,4,1,1,1,2,2,2,3,3,3)</f>
        <v>Q2</v>
      </c>
      <c r="D614" s="2" t="s">
        <v>28</v>
      </c>
      <c r="E614" s="11" t="s">
        <v>197</v>
      </c>
      <c r="F614" s="11" t="s">
        <v>71</v>
      </c>
      <c r="G614" s="11" t="s">
        <v>505</v>
      </c>
      <c r="H614" s="11" t="s">
        <v>40</v>
      </c>
      <c r="I614" s="12">
        <v>-0.11</v>
      </c>
      <c r="J614" s="12">
        <v>-19</v>
      </c>
      <c r="K614" s="12">
        <v>94.65</v>
      </c>
      <c r="L614" s="12">
        <v>-1798.3500000000001</v>
      </c>
      <c r="M614" s="12">
        <v>69.06</v>
      </c>
      <c r="N614" s="12">
        <v>0</v>
      </c>
      <c r="O614" s="12">
        <v>-224.80613099999999</v>
      </c>
      <c r="P614" s="12">
        <v>-1954.096131</v>
      </c>
    </row>
    <row r="615" spans="1:16" ht="14.5" x14ac:dyDescent="0.25">
      <c r="A615" s="10">
        <v>45853</v>
      </c>
      <c r="B615" s="2" t="str">
        <f t="shared" si="20"/>
        <v>Jul-2025</v>
      </c>
      <c r="C615" s="2" t="str">
        <f t="shared" si="21"/>
        <v>Q2</v>
      </c>
      <c r="D615" s="2" t="s">
        <v>28</v>
      </c>
      <c r="E615" s="11" t="s">
        <v>197</v>
      </c>
      <c r="F615" s="11" t="s">
        <v>71</v>
      </c>
      <c r="G615" s="11" t="s">
        <v>503</v>
      </c>
      <c r="H615" s="11" t="s">
        <v>52</v>
      </c>
      <c r="I615" s="12">
        <v>-0.06</v>
      </c>
      <c r="J615" s="12">
        <v>-10</v>
      </c>
      <c r="K615" s="12">
        <v>70.989999999999995</v>
      </c>
      <c r="L615" s="12">
        <v>-709.9</v>
      </c>
      <c r="M615" s="12">
        <v>27.26</v>
      </c>
      <c r="N615" s="12">
        <v>0</v>
      </c>
      <c r="O615" s="12">
        <v>-88.742581000000001</v>
      </c>
      <c r="P615" s="12">
        <v>-771.38258099999996</v>
      </c>
    </row>
    <row r="616" spans="1:16" ht="14.5" x14ac:dyDescent="0.25">
      <c r="A616" s="10">
        <v>45854</v>
      </c>
      <c r="B616" s="2" t="str">
        <f t="shared" si="20"/>
        <v>Jul-2025</v>
      </c>
      <c r="C616" s="2" t="str">
        <f t="shared" si="21"/>
        <v>Q2</v>
      </c>
      <c r="D616" s="2" t="s">
        <v>28</v>
      </c>
      <c r="E616" s="11" t="s">
        <v>198</v>
      </c>
      <c r="F616" s="11" t="s">
        <v>38</v>
      </c>
      <c r="G616" s="11" t="s">
        <v>503</v>
      </c>
      <c r="H616" s="11" t="s">
        <v>47</v>
      </c>
      <c r="I616" s="12">
        <v>0.02</v>
      </c>
      <c r="J616" s="12">
        <v>2</v>
      </c>
      <c r="K616" s="12">
        <v>99.68</v>
      </c>
      <c r="L616" s="12">
        <v>199.36</v>
      </c>
      <c r="M616" s="12">
        <v>0</v>
      </c>
      <c r="N616" s="12">
        <v>0</v>
      </c>
      <c r="O616" s="12">
        <v>25.916225000000001</v>
      </c>
      <c r="P616" s="12">
        <v>225.27622500000001</v>
      </c>
    </row>
    <row r="617" spans="1:16" ht="14.5" x14ac:dyDescent="0.25">
      <c r="A617" s="10">
        <v>45854</v>
      </c>
      <c r="B617" s="2" t="str">
        <f t="shared" si="20"/>
        <v>Jul-2025</v>
      </c>
      <c r="C617" s="2" t="str">
        <f t="shared" si="21"/>
        <v>Q2</v>
      </c>
      <c r="D617" s="2" t="s">
        <v>28</v>
      </c>
      <c r="E617" s="11" t="s">
        <v>198</v>
      </c>
      <c r="F617" s="11" t="s">
        <v>38</v>
      </c>
      <c r="G617" s="11" t="s">
        <v>505</v>
      </c>
      <c r="H617" s="11" t="s">
        <v>56</v>
      </c>
      <c r="I617" s="12">
        <v>0.01</v>
      </c>
      <c r="J617" s="12">
        <v>1</v>
      </c>
      <c r="K617" s="12">
        <v>47.5</v>
      </c>
      <c r="L617" s="12">
        <v>47.5</v>
      </c>
      <c r="M617" s="12">
        <v>0</v>
      </c>
      <c r="N617" s="12">
        <v>0</v>
      </c>
      <c r="O617" s="12">
        <v>6.1748630000000002</v>
      </c>
      <c r="P617" s="12">
        <v>53.674863000000002</v>
      </c>
    </row>
    <row r="618" spans="1:16" ht="14.5" x14ac:dyDescent="0.25">
      <c r="A618" s="10">
        <v>45854</v>
      </c>
      <c r="B618" s="2" t="str">
        <f t="shared" si="20"/>
        <v>Jul-2025</v>
      </c>
      <c r="C618" s="2" t="str">
        <f t="shared" si="21"/>
        <v>Q2</v>
      </c>
      <c r="D618" s="2" t="s">
        <v>28</v>
      </c>
      <c r="E618" s="11" t="s">
        <v>198</v>
      </c>
      <c r="F618" s="11" t="s">
        <v>38</v>
      </c>
      <c r="G618" s="11" t="s">
        <v>504</v>
      </c>
      <c r="H618" s="11" t="s">
        <v>53</v>
      </c>
      <c r="I618" s="12">
        <v>0.05</v>
      </c>
      <c r="J618" s="12">
        <v>5</v>
      </c>
      <c r="K618" s="12">
        <v>102.14</v>
      </c>
      <c r="L618" s="12">
        <v>510.7</v>
      </c>
      <c r="M618" s="12">
        <v>0</v>
      </c>
      <c r="N618" s="12">
        <v>0</v>
      </c>
      <c r="O618" s="12">
        <v>66.389527000000001</v>
      </c>
      <c r="P618" s="12">
        <v>577.08952699999998</v>
      </c>
    </row>
    <row r="619" spans="1:16" ht="14.5" x14ac:dyDescent="0.25">
      <c r="A619" s="10">
        <v>45854</v>
      </c>
      <c r="B619" s="2" t="str">
        <f t="shared" si="20"/>
        <v>Jul-2025</v>
      </c>
      <c r="C619" s="2" t="str">
        <f t="shared" si="21"/>
        <v>Q2</v>
      </c>
      <c r="D619" s="2" t="s">
        <v>28</v>
      </c>
      <c r="E619" s="11" t="s">
        <v>198</v>
      </c>
      <c r="F619" s="11" t="s">
        <v>38</v>
      </c>
      <c r="G619" s="11" t="s">
        <v>507</v>
      </c>
      <c r="H619" s="11" t="s">
        <v>60</v>
      </c>
      <c r="I619" s="12">
        <v>0.05</v>
      </c>
      <c r="J619" s="12">
        <v>3</v>
      </c>
      <c r="K619" s="12">
        <v>80.3</v>
      </c>
      <c r="L619" s="12">
        <v>240.9</v>
      </c>
      <c r="M619" s="12">
        <v>0</v>
      </c>
      <c r="N619" s="12">
        <v>0</v>
      </c>
      <c r="O619" s="12">
        <v>31.316305</v>
      </c>
      <c r="P619" s="12">
        <v>272.21630499999998</v>
      </c>
    </row>
    <row r="620" spans="1:16" ht="14.5" x14ac:dyDescent="0.25">
      <c r="A620" s="10">
        <v>45854</v>
      </c>
      <c r="B620" s="2" t="str">
        <f t="shared" si="20"/>
        <v>Jul-2025</v>
      </c>
      <c r="C620" s="2" t="str">
        <f t="shared" si="21"/>
        <v>Q2</v>
      </c>
      <c r="D620" s="2" t="s">
        <v>28</v>
      </c>
      <c r="E620" s="11" t="s">
        <v>198</v>
      </c>
      <c r="F620" s="11" t="s">
        <v>38</v>
      </c>
      <c r="G620" s="11" t="s">
        <v>505</v>
      </c>
      <c r="H620" s="11" t="s">
        <v>43</v>
      </c>
      <c r="I620" s="12">
        <v>0.03</v>
      </c>
      <c r="J620" s="12">
        <v>1</v>
      </c>
      <c r="K620" s="12">
        <v>243.69</v>
      </c>
      <c r="L620" s="12">
        <v>243.69</v>
      </c>
      <c r="M620" s="12">
        <v>0</v>
      </c>
      <c r="N620" s="12">
        <v>0</v>
      </c>
      <c r="O620" s="12">
        <v>31.678996999999999</v>
      </c>
      <c r="P620" s="12">
        <v>275.36899699999998</v>
      </c>
    </row>
    <row r="621" spans="1:16" ht="14.5" x14ac:dyDescent="0.25">
      <c r="A621" s="10">
        <v>45854</v>
      </c>
      <c r="B621" s="2" t="str">
        <f t="shared" si="20"/>
        <v>Jul-2025</v>
      </c>
      <c r="C621" s="2" t="str">
        <f t="shared" si="21"/>
        <v>Q2</v>
      </c>
      <c r="D621" s="2" t="s">
        <v>28</v>
      </c>
      <c r="E621" s="11" t="s">
        <v>199</v>
      </c>
      <c r="F621" s="11" t="s">
        <v>38</v>
      </c>
      <c r="G621" s="11" t="s">
        <v>506</v>
      </c>
      <c r="H621" s="11" t="s">
        <v>39</v>
      </c>
      <c r="I621" s="12">
        <v>0.03</v>
      </c>
      <c r="J621" s="12">
        <v>2</v>
      </c>
      <c r="K621" s="12">
        <v>103.68</v>
      </c>
      <c r="L621" s="12">
        <v>207.36</v>
      </c>
      <c r="M621" s="12">
        <v>0</v>
      </c>
      <c r="N621" s="12">
        <v>0</v>
      </c>
      <c r="O621" s="12">
        <v>26.956800000000001</v>
      </c>
      <c r="P621" s="12">
        <v>234.3168</v>
      </c>
    </row>
    <row r="622" spans="1:16" ht="14.5" x14ac:dyDescent="0.25">
      <c r="A622" s="10">
        <v>45854</v>
      </c>
      <c r="B622" s="2" t="str">
        <f t="shared" si="20"/>
        <v>Jul-2025</v>
      </c>
      <c r="C622" s="2" t="str">
        <f t="shared" si="21"/>
        <v>Q2</v>
      </c>
      <c r="D622" s="2" t="s">
        <v>28</v>
      </c>
      <c r="E622" s="11" t="s">
        <v>199</v>
      </c>
      <c r="F622" s="11" t="s">
        <v>38</v>
      </c>
      <c r="G622" s="11" t="s">
        <v>507</v>
      </c>
      <c r="H622" s="11" t="s">
        <v>60</v>
      </c>
      <c r="I622" s="12">
        <v>0.05</v>
      </c>
      <c r="J622" s="12">
        <v>3</v>
      </c>
      <c r="K622" s="12">
        <v>77.09</v>
      </c>
      <c r="L622" s="12">
        <v>231.27</v>
      </c>
      <c r="M622" s="12">
        <v>0</v>
      </c>
      <c r="N622" s="12">
        <v>0</v>
      </c>
      <c r="O622" s="12">
        <v>30.065100000000001</v>
      </c>
      <c r="P622" s="12">
        <v>261.33510000000001</v>
      </c>
    </row>
    <row r="623" spans="1:16" ht="14.5" x14ac:dyDescent="0.25">
      <c r="A623" s="10">
        <v>45854</v>
      </c>
      <c r="B623" s="2" t="str">
        <f t="shared" si="20"/>
        <v>Jul-2025</v>
      </c>
      <c r="C623" s="2" t="str">
        <f t="shared" si="21"/>
        <v>Q2</v>
      </c>
      <c r="D623" s="2" t="s">
        <v>28</v>
      </c>
      <c r="E623" s="11" t="s">
        <v>199</v>
      </c>
      <c r="F623" s="11" t="s">
        <v>38</v>
      </c>
      <c r="G623" s="11" t="s">
        <v>506</v>
      </c>
      <c r="H623" s="11" t="s">
        <v>54</v>
      </c>
      <c r="I623" s="12">
        <v>0.02</v>
      </c>
      <c r="J623" s="12">
        <v>1</v>
      </c>
      <c r="K623" s="12">
        <v>244.57</v>
      </c>
      <c r="L623" s="12">
        <v>244.57</v>
      </c>
      <c r="M623" s="12">
        <v>0</v>
      </c>
      <c r="N623" s="12">
        <v>0</v>
      </c>
      <c r="O623" s="12">
        <v>31.7941</v>
      </c>
      <c r="P623" s="12">
        <v>276.36410000000001</v>
      </c>
    </row>
    <row r="624" spans="1:16" ht="14.5" x14ac:dyDescent="0.25">
      <c r="A624" s="10">
        <v>45854</v>
      </c>
      <c r="B624" s="2" t="str">
        <f t="shared" si="20"/>
        <v>Jul-2025</v>
      </c>
      <c r="C624" s="2" t="str">
        <f t="shared" si="21"/>
        <v>Q2</v>
      </c>
      <c r="D624" s="2" t="s">
        <v>28</v>
      </c>
      <c r="E624" s="11" t="s">
        <v>199</v>
      </c>
      <c r="F624" s="11" t="s">
        <v>38</v>
      </c>
      <c r="G624" s="11" t="s">
        <v>503</v>
      </c>
      <c r="H624" s="11" t="s">
        <v>89</v>
      </c>
      <c r="I624" s="12">
        <v>0.02</v>
      </c>
      <c r="J624" s="12">
        <v>2</v>
      </c>
      <c r="K624" s="12">
        <v>96.91</v>
      </c>
      <c r="L624" s="12">
        <v>193.82</v>
      </c>
      <c r="M624" s="12">
        <v>0</v>
      </c>
      <c r="N624" s="12">
        <v>0</v>
      </c>
      <c r="O624" s="12">
        <v>25.1966</v>
      </c>
      <c r="P624" s="12">
        <v>219.01660000000001</v>
      </c>
    </row>
    <row r="625" spans="1:16" ht="14.5" x14ac:dyDescent="0.25">
      <c r="A625" s="10">
        <v>45854</v>
      </c>
      <c r="B625" s="2" t="str">
        <f t="shared" si="20"/>
        <v>Jul-2025</v>
      </c>
      <c r="C625" s="2" t="str">
        <f t="shared" si="21"/>
        <v>Q2</v>
      </c>
      <c r="D625" s="2" t="s">
        <v>28</v>
      </c>
      <c r="E625" s="11" t="s">
        <v>199</v>
      </c>
      <c r="F625" s="11" t="s">
        <v>38</v>
      </c>
      <c r="G625" s="11" t="s">
        <v>505</v>
      </c>
      <c r="H625" s="11" t="s">
        <v>62</v>
      </c>
      <c r="I625" s="12">
        <v>0.05</v>
      </c>
      <c r="J625" s="12">
        <v>2</v>
      </c>
      <c r="K625" s="12">
        <v>345.6</v>
      </c>
      <c r="L625" s="12">
        <v>691.2</v>
      </c>
      <c r="M625" s="12">
        <v>0</v>
      </c>
      <c r="N625" s="12">
        <v>0</v>
      </c>
      <c r="O625" s="12">
        <v>89.855999999999995</v>
      </c>
      <c r="P625" s="12">
        <v>781.05600000000004</v>
      </c>
    </row>
    <row r="626" spans="1:16" ht="14.5" x14ac:dyDescent="0.25">
      <c r="A626" s="10">
        <v>45854</v>
      </c>
      <c r="B626" s="2" t="str">
        <f t="shared" si="20"/>
        <v>Jul-2025</v>
      </c>
      <c r="C626" s="2" t="str">
        <f t="shared" si="21"/>
        <v>Q2</v>
      </c>
      <c r="D626" s="2" t="s">
        <v>28</v>
      </c>
      <c r="E626" s="11" t="s">
        <v>199</v>
      </c>
      <c r="F626" s="11" t="s">
        <v>38</v>
      </c>
      <c r="G626" s="11" t="s">
        <v>505</v>
      </c>
      <c r="H626" s="11" t="s">
        <v>43</v>
      </c>
      <c r="I626" s="12">
        <v>0.05</v>
      </c>
      <c r="J626" s="12">
        <v>2</v>
      </c>
      <c r="K626" s="12">
        <v>233.94</v>
      </c>
      <c r="L626" s="12">
        <v>467.88</v>
      </c>
      <c r="M626" s="12">
        <v>0</v>
      </c>
      <c r="N626" s="12">
        <v>0</v>
      </c>
      <c r="O626" s="12">
        <v>60.824399999999997</v>
      </c>
      <c r="P626" s="12">
        <v>528.70439999999996</v>
      </c>
    </row>
    <row r="627" spans="1:16" ht="14.5" x14ac:dyDescent="0.25">
      <c r="A627" s="10">
        <v>45854</v>
      </c>
      <c r="B627" s="2" t="str">
        <f t="shared" si="20"/>
        <v>Jul-2025</v>
      </c>
      <c r="C627" s="2" t="str">
        <f t="shared" si="21"/>
        <v>Q2</v>
      </c>
      <c r="D627" s="2" t="s">
        <v>28</v>
      </c>
      <c r="E627" s="11" t="s">
        <v>199</v>
      </c>
      <c r="F627" s="11" t="s">
        <v>38</v>
      </c>
      <c r="G627" s="11" t="s">
        <v>507</v>
      </c>
      <c r="H627" s="11" t="s">
        <v>60</v>
      </c>
      <c r="I627" s="12">
        <v>0.03</v>
      </c>
      <c r="J627" s="12">
        <v>2</v>
      </c>
      <c r="K627" s="12">
        <v>77.09</v>
      </c>
      <c r="L627" s="12">
        <v>154.18</v>
      </c>
      <c r="M627" s="12">
        <v>0</v>
      </c>
      <c r="N627" s="12">
        <v>0</v>
      </c>
      <c r="O627" s="12">
        <v>20.043399999999998</v>
      </c>
      <c r="P627" s="12">
        <v>174.2234</v>
      </c>
    </row>
    <row r="628" spans="1:16" ht="14.5" x14ac:dyDescent="0.25">
      <c r="A628" s="10">
        <v>45854</v>
      </c>
      <c r="B628" s="2" t="str">
        <f t="shared" si="20"/>
        <v>Jul-2025</v>
      </c>
      <c r="C628" s="2" t="str">
        <f t="shared" si="21"/>
        <v>Q2</v>
      </c>
      <c r="D628" s="2" t="s">
        <v>28</v>
      </c>
      <c r="E628" s="11" t="s">
        <v>199</v>
      </c>
      <c r="F628" s="11" t="s">
        <v>38</v>
      </c>
      <c r="G628" s="11" t="s">
        <v>503</v>
      </c>
      <c r="H628" s="11" t="s">
        <v>87</v>
      </c>
      <c r="I628" s="12">
        <v>0.01</v>
      </c>
      <c r="J628" s="12">
        <v>2</v>
      </c>
      <c r="K628" s="12">
        <v>90.38</v>
      </c>
      <c r="L628" s="12">
        <v>180.76</v>
      </c>
      <c r="M628" s="12">
        <v>0</v>
      </c>
      <c r="N628" s="12">
        <v>0</v>
      </c>
      <c r="O628" s="12">
        <v>23.498799999999999</v>
      </c>
      <c r="P628" s="12">
        <v>204.25880000000001</v>
      </c>
    </row>
    <row r="629" spans="1:16" ht="14.5" x14ac:dyDescent="0.25">
      <c r="A629" s="10">
        <v>45854</v>
      </c>
      <c r="B629" s="2" t="str">
        <f t="shared" si="20"/>
        <v>Jul-2025</v>
      </c>
      <c r="C629" s="2" t="str">
        <f t="shared" si="21"/>
        <v>Q2</v>
      </c>
      <c r="D629" s="2" t="s">
        <v>28</v>
      </c>
      <c r="E629" s="11" t="s">
        <v>199</v>
      </c>
      <c r="F629" s="11" t="s">
        <v>38</v>
      </c>
      <c r="G629" s="11" t="s">
        <v>505</v>
      </c>
      <c r="H629" s="11" t="s">
        <v>56</v>
      </c>
      <c r="I629" s="12">
        <v>0.01</v>
      </c>
      <c r="J629" s="12">
        <v>1</v>
      </c>
      <c r="K629" s="12">
        <v>47.5</v>
      </c>
      <c r="L629" s="12">
        <v>47.5</v>
      </c>
      <c r="M629" s="12">
        <v>0</v>
      </c>
      <c r="N629" s="12">
        <v>0</v>
      </c>
      <c r="O629" s="12">
        <v>6.1749999999999998</v>
      </c>
      <c r="P629" s="12">
        <v>53.674999999999997</v>
      </c>
    </row>
    <row r="630" spans="1:16" ht="14.5" x14ac:dyDescent="0.25">
      <c r="A630" s="10">
        <v>45854</v>
      </c>
      <c r="B630" s="2" t="str">
        <f t="shared" si="20"/>
        <v>Jul-2025</v>
      </c>
      <c r="C630" s="2" t="str">
        <f t="shared" si="21"/>
        <v>Q2</v>
      </c>
      <c r="D630" s="2" t="s">
        <v>28</v>
      </c>
      <c r="E630" s="11" t="s">
        <v>199</v>
      </c>
      <c r="F630" s="11" t="s">
        <v>38</v>
      </c>
      <c r="G630" s="11" t="s">
        <v>503</v>
      </c>
      <c r="H630" s="11" t="s">
        <v>52</v>
      </c>
      <c r="I630" s="12">
        <v>0.02</v>
      </c>
      <c r="J630" s="12">
        <v>3</v>
      </c>
      <c r="K630" s="12">
        <v>55.82</v>
      </c>
      <c r="L630" s="12">
        <v>167.46</v>
      </c>
      <c r="M630" s="12">
        <v>0</v>
      </c>
      <c r="N630" s="12">
        <v>0</v>
      </c>
      <c r="O630" s="12">
        <v>21.7698</v>
      </c>
      <c r="P630" s="12">
        <v>189.22980000000001</v>
      </c>
    </row>
    <row r="631" spans="1:16" ht="14.5" x14ac:dyDescent="0.25">
      <c r="A631" s="10">
        <v>45860</v>
      </c>
      <c r="B631" s="2" t="str">
        <f t="shared" si="20"/>
        <v>Jul-2025</v>
      </c>
      <c r="C631" s="2" t="str">
        <f t="shared" si="21"/>
        <v>Q2</v>
      </c>
      <c r="D631" s="2" t="s">
        <v>28</v>
      </c>
      <c r="E631" s="11" t="s">
        <v>200</v>
      </c>
      <c r="F631" s="11" t="s">
        <v>151</v>
      </c>
      <c r="G631" s="11" t="s">
        <v>504</v>
      </c>
      <c r="H631" s="11" t="s">
        <v>53</v>
      </c>
      <c r="I631" s="12">
        <v>4</v>
      </c>
      <c r="J631" s="12">
        <v>400</v>
      </c>
      <c r="K631" s="12">
        <v>119</v>
      </c>
      <c r="L631" s="12">
        <v>47600.000000000007</v>
      </c>
      <c r="M631" s="12" t="s">
        <v>113</v>
      </c>
      <c r="N631" s="12" t="s">
        <v>113</v>
      </c>
      <c r="O631" s="12" t="s">
        <v>113</v>
      </c>
      <c r="P631" s="12">
        <v>47600</v>
      </c>
    </row>
    <row r="632" spans="1:16" ht="14.5" x14ac:dyDescent="0.25">
      <c r="A632" s="10">
        <v>45860</v>
      </c>
      <c r="B632" s="2" t="str">
        <f t="shared" si="20"/>
        <v>Jul-2025</v>
      </c>
      <c r="C632" s="2" t="str">
        <f t="shared" si="21"/>
        <v>Q2</v>
      </c>
      <c r="D632" s="2" t="s">
        <v>28</v>
      </c>
      <c r="E632" s="11" t="s">
        <v>200</v>
      </c>
      <c r="F632" s="11" t="s">
        <v>151</v>
      </c>
      <c r="G632" s="11" t="s">
        <v>504</v>
      </c>
      <c r="H632" s="11" t="s">
        <v>61</v>
      </c>
      <c r="I632" s="12">
        <v>4</v>
      </c>
      <c r="J632" s="12">
        <v>160</v>
      </c>
      <c r="K632" s="12">
        <v>283.5</v>
      </c>
      <c r="L632" s="12">
        <v>45360.000000000007</v>
      </c>
      <c r="M632" s="12" t="s">
        <v>113</v>
      </c>
      <c r="N632" s="12" t="s">
        <v>113</v>
      </c>
      <c r="O632" s="12" t="s">
        <v>113</v>
      </c>
      <c r="P632" s="12">
        <v>45360</v>
      </c>
    </row>
    <row r="633" spans="1:16" ht="14.5" x14ac:dyDescent="0.25">
      <c r="A633" s="10">
        <v>45860</v>
      </c>
      <c r="B633" s="2" t="str">
        <f t="shared" si="20"/>
        <v>Jul-2025</v>
      </c>
      <c r="C633" s="2" t="str">
        <f t="shared" si="21"/>
        <v>Q2</v>
      </c>
      <c r="D633" s="2" t="s">
        <v>28</v>
      </c>
      <c r="E633" s="11" t="s">
        <v>201</v>
      </c>
      <c r="F633" s="11" t="s">
        <v>151</v>
      </c>
      <c r="G633" s="11" t="s">
        <v>506</v>
      </c>
      <c r="H633" s="11" t="s">
        <v>54</v>
      </c>
      <c r="I633" s="12">
        <v>3.88</v>
      </c>
      <c r="J633" s="12">
        <v>186</v>
      </c>
      <c r="K633" s="12">
        <v>284.95999999999998</v>
      </c>
      <c r="L633" s="12">
        <v>53002.559999999998</v>
      </c>
      <c r="M633" s="12">
        <v>0</v>
      </c>
      <c r="N633" s="12">
        <v>0</v>
      </c>
      <c r="O633" s="12">
        <v>6890.3325290000002</v>
      </c>
      <c r="P633" s="12">
        <v>59892.892528999997</v>
      </c>
    </row>
    <row r="634" spans="1:16" ht="14.5" x14ac:dyDescent="0.25">
      <c r="A634" s="10">
        <v>45860</v>
      </c>
      <c r="B634" s="2" t="str">
        <f t="shared" si="20"/>
        <v>Jul-2025</v>
      </c>
      <c r="C634" s="2" t="str">
        <f t="shared" si="21"/>
        <v>Q2</v>
      </c>
      <c r="D634" s="2" t="s">
        <v>28</v>
      </c>
      <c r="E634" s="11" t="s">
        <v>201</v>
      </c>
      <c r="F634" s="11" t="s">
        <v>151</v>
      </c>
      <c r="G634" s="11" t="s">
        <v>503</v>
      </c>
      <c r="H634" s="11" t="s">
        <v>46</v>
      </c>
      <c r="I634" s="12">
        <v>0.5</v>
      </c>
      <c r="J634" s="12">
        <v>60</v>
      </c>
      <c r="K634" s="12">
        <v>111.5</v>
      </c>
      <c r="L634" s="12">
        <v>6689.9999999999991</v>
      </c>
      <c r="M634" s="12">
        <v>0</v>
      </c>
      <c r="N634" s="12">
        <v>0</v>
      </c>
      <c r="O634" s="12">
        <v>869.69996600000002</v>
      </c>
      <c r="P634" s="12">
        <v>7559.6999660000001</v>
      </c>
    </row>
    <row r="635" spans="1:16" ht="14.5" x14ac:dyDescent="0.25">
      <c r="A635" s="10">
        <v>45860</v>
      </c>
      <c r="B635" s="2" t="str">
        <f t="shared" si="20"/>
        <v>Jul-2025</v>
      </c>
      <c r="C635" s="2" t="str">
        <f t="shared" si="21"/>
        <v>Q2</v>
      </c>
      <c r="D635" s="2" t="s">
        <v>28</v>
      </c>
      <c r="E635" s="11" t="s">
        <v>201</v>
      </c>
      <c r="F635" s="11" t="s">
        <v>151</v>
      </c>
      <c r="G635" s="11" t="s">
        <v>506</v>
      </c>
      <c r="H635" s="11" t="s">
        <v>58</v>
      </c>
      <c r="I635" s="12">
        <v>6</v>
      </c>
      <c r="J635" s="12">
        <v>432</v>
      </c>
      <c r="K635" s="12">
        <v>136.28</v>
      </c>
      <c r="L635" s="12">
        <v>58872.959999999999</v>
      </c>
      <c r="M635" s="12">
        <v>0</v>
      </c>
      <c r="N635" s="12">
        <v>0</v>
      </c>
      <c r="O635" s="12">
        <v>7653.4844990000001</v>
      </c>
      <c r="P635" s="12">
        <v>66526.444499000005</v>
      </c>
    </row>
    <row r="636" spans="1:16" ht="14.5" x14ac:dyDescent="0.25">
      <c r="A636" s="10">
        <v>45860</v>
      </c>
      <c r="B636" s="2" t="str">
        <f t="shared" si="20"/>
        <v>Jul-2025</v>
      </c>
      <c r="C636" s="2" t="str">
        <f t="shared" si="21"/>
        <v>Q2</v>
      </c>
      <c r="D636" s="2" t="s">
        <v>28</v>
      </c>
      <c r="E636" s="11" t="s">
        <v>201</v>
      </c>
      <c r="F636" s="11" t="s">
        <v>151</v>
      </c>
      <c r="G636" s="11" t="s">
        <v>507</v>
      </c>
      <c r="H636" s="11" t="s">
        <v>90</v>
      </c>
      <c r="I636" s="12">
        <v>4.25</v>
      </c>
      <c r="J636" s="12">
        <v>510</v>
      </c>
      <c r="K636" s="12">
        <v>52.65</v>
      </c>
      <c r="L636" s="12">
        <v>26851.499999999996</v>
      </c>
      <c r="M636" s="12">
        <v>0</v>
      </c>
      <c r="N636" s="12">
        <v>0</v>
      </c>
      <c r="O636" s="12">
        <v>3490.6948630000002</v>
      </c>
      <c r="P636" s="12">
        <v>30342.194863000001</v>
      </c>
    </row>
    <row r="637" spans="1:16" ht="14.5" x14ac:dyDescent="0.25">
      <c r="A637" s="10">
        <v>45860</v>
      </c>
      <c r="B637" s="2" t="str">
        <f t="shared" si="20"/>
        <v>Jul-2025</v>
      </c>
      <c r="C637" s="2" t="str">
        <f t="shared" si="21"/>
        <v>Q2</v>
      </c>
      <c r="D637" s="2" t="s">
        <v>28</v>
      </c>
      <c r="E637" s="11" t="s">
        <v>201</v>
      </c>
      <c r="F637" s="11" t="s">
        <v>151</v>
      </c>
      <c r="G637" s="11" t="s">
        <v>505</v>
      </c>
      <c r="H637" s="11" t="s">
        <v>62</v>
      </c>
      <c r="I637" s="12">
        <v>2</v>
      </c>
      <c r="J637" s="12">
        <v>80</v>
      </c>
      <c r="K637" s="12">
        <v>402.65</v>
      </c>
      <c r="L637" s="12">
        <v>32212</v>
      </c>
      <c r="M637" s="12">
        <v>0</v>
      </c>
      <c r="N637" s="12">
        <v>0</v>
      </c>
      <c r="O637" s="12">
        <v>4187.5598360000004</v>
      </c>
      <c r="P637" s="12">
        <v>36399.559836</v>
      </c>
    </row>
    <row r="638" spans="1:16" ht="14.5" x14ac:dyDescent="0.25">
      <c r="A638" s="10">
        <v>45860</v>
      </c>
      <c r="B638" s="2" t="str">
        <f t="shared" si="20"/>
        <v>Jul-2025</v>
      </c>
      <c r="C638" s="2" t="str">
        <f t="shared" si="21"/>
        <v>Q2</v>
      </c>
      <c r="D638" s="2" t="s">
        <v>28</v>
      </c>
      <c r="E638" s="11" t="s">
        <v>201</v>
      </c>
      <c r="F638" s="11" t="s">
        <v>151</v>
      </c>
      <c r="G638" s="11" t="s">
        <v>503</v>
      </c>
      <c r="H638" s="11" t="s">
        <v>44</v>
      </c>
      <c r="I638" s="12">
        <v>1.5</v>
      </c>
      <c r="J638" s="12">
        <v>270</v>
      </c>
      <c r="K638" s="12">
        <v>142.47999999999999</v>
      </c>
      <c r="L638" s="12">
        <v>38469.599999999999</v>
      </c>
      <c r="M638" s="12">
        <v>0</v>
      </c>
      <c r="N638" s="12">
        <v>0</v>
      </c>
      <c r="O638" s="12">
        <v>5001.0478040000007</v>
      </c>
      <c r="P638" s="12">
        <v>43470.647804</v>
      </c>
    </row>
    <row r="639" spans="1:16" ht="14.5" x14ac:dyDescent="0.25">
      <c r="A639" s="10">
        <v>45860</v>
      </c>
      <c r="B639" s="2" t="str">
        <f t="shared" si="20"/>
        <v>Jul-2025</v>
      </c>
      <c r="C639" s="2" t="str">
        <f t="shared" si="21"/>
        <v>Q2</v>
      </c>
      <c r="D639" s="2" t="s">
        <v>28</v>
      </c>
      <c r="E639" s="11" t="s">
        <v>201</v>
      </c>
      <c r="F639" s="11" t="s">
        <v>151</v>
      </c>
      <c r="G639" s="11" t="s">
        <v>504</v>
      </c>
      <c r="H639" s="11" t="s">
        <v>69</v>
      </c>
      <c r="I639" s="12">
        <v>4</v>
      </c>
      <c r="J639" s="12">
        <v>400</v>
      </c>
      <c r="K639" s="12">
        <v>173.45</v>
      </c>
      <c r="L639" s="12">
        <v>69380</v>
      </c>
      <c r="M639" s="12">
        <v>0</v>
      </c>
      <c r="N639" s="12">
        <v>0</v>
      </c>
      <c r="O639" s="12">
        <v>9019.3996459999998</v>
      </c>
      <c r="P639" s="12">
        <v>78399.399646000005</v>
      </c>
    </row>
    <row r="640" spans="1:16" ht="14.5" x14ac:dyDescent="0.25">
      <c r="A640" s="10">
        <v>45860</v>
      </c>
      <c r="B640" s="2" t="str">
        <f t="shared" si="20"/>
        <v>Jul-2025</v>
      </c>
      <c r="C640" s="2" t="str">
        <f t="shared" si="21"/>
        <v>Q2</v>
      </c>
      <c r="D640" s="2" t="s">
        <v>28</v>
      </c>
      <c r="E640" s="11" t="s">
        <v>201</v>
      </c>
      <c r="F640" s="11" t="s">
        <v>151</v>
      </c>
      <c r="G640" s="11" t="s">
        <v>505</v>
      </c>
      <c r="H640" s="11" t="s">
        <v>50</v>
      </c>
      <c r="I640" s="12">
        <v>2</v>
      </c>
      <c r="J640" s="12">
        <v>160</v>
      </c>
      <c r="K640" s="12">
        <v>154.87</v>
      </c>
      <c r="L640" s="12">
        <v>24779.200000000001</v>
      </c>
      <c r="M640" s="12">
        <v>0</v>
      </c>
      <c r="N640" s="12">
        <v>0</v>
      </c>
      <c r="O640" s="12">
        <v>3221.295873</v>
      </c>
      <c r="P640" s="12">
        <v>28000.495873</v>
      </c>
    </row>
    <row r="641" spans="1:16" ht="14.5" x14ac:dyDescent="0.25">
      <c r="A641" s="10">
        <v>45860</v>
      </c>
      <c r="B641" s="2" t="str">
        <f t="shared" si="20"/>
        <v>Jul-2025</v>
      </c>
      <c r="C641" s="2" t="str">
        <f t="shared" si="21"/>
        <v>Q2</v>
      </c>
      <c r="D641" s="2" t="s">
        <v>28</v>
      </c>
      <c r="E641" s="11" t="s">
        <v>201</v>
      </c>
      <c r="F641" s="11" t="s">
        <v>151</v>
      </c>
      <c r="G641" s="11" t="s">
        <v>503</v>
      </c>
      <c r="H641" s="11" t="s">
        <v>42</v>
      </c>
      <c r="I641" s="12">
        <v>2</v>
      </c>
      <c r="J641" s="12">
        <v>240</v>
      </c>
      <c r="K641" s="12">
        <v>130.09</v>
      </c>
      <c r="L641" s="12">
        <v>31221.600000000002</v>
      </c>
      <c r="M641" s="12">
        <v>0</v>
      </c>
      <c r="N641" s="12">
        <v>0</v>
      </c>
      <c r="O641" s="12">
        <v>4058.8078410000003</v>
      </c>
      <c r="P641" s="12">
        <v>35280.407841</v>
      </c>
    </row>
    <row r="642" spans="1:16" ht="14.5" x14ac:dyDescent="0.25">
      <c r="A642" s="10">
        <v>45860</v>
      </c>
      <c r="B642" s="2" t="str">
        <f t="shared" si="20"/>
        <v>Jul-2025</v>
      </c>
      <c r="C642" s="2" t="str">
        <f t="shared" si="21"/>
        <v>Q2</v>
      </c>
      <c r="D642" s="2" t="s">
        <v>28</v>
      </c>
      <c r="E642" s="11" t="s">
        <v>201</v>
      </c>
      <c r="F642" s="11" t="s">
        <v>151</v>
      </c>
      <c r="G642" s="11" t="s">
        <v>504</v>
      </c>
      <c r="H642" s="11" t="s">
        <v>67</v>
      </c>
      <c r="I642" s="12">
        <v>4</v>
      </c>
      <c r="J642" s="12">
        <v>160</v>
      </c>
      <c r="K642" s="12">
        <v>421.24</v>
      </c>
      <c r="L642" s="12">
        <v>67398.399999999994</v>
      </c>
      <c r="M642" s="12">
        <v>0</v>
      </c>
      <c r="N642" s="12">
        <v>0</v>
      </c>
      <c r="O642" s="12">
        <v>8761.7916559999994</v>
      </c>
      <c r="P642" s="12">
        <v>76160.191655999995</v>
      </c>
    </row>
    <row r="643" spans="1:16" ht="14.5" x14ac:dyDescent="0.25">
      <c r="A643" s="10">
        <v>45860</v>
      </c>
      <c r="B643" s="2" t="str">
        <f t="shared" si="20"/>
        <v>Jul-2025</v>
      </c>
      <c r="C643" s="2" t="str">
        <f t="shared" si="21"/>
        <v>Q2</v>
      </c>
      <c r="D643" s="2" t="s">
        <v>28</v>
      </c>
      <c r="E643" s="11" t="s">
        <v>201</v>
      </c>
      <c r="F643" s="11" t="s">
        <v>151</v>
      </c>
      <c r="G643" s="11" t="s">
        <v>505</v>
      </c>
      <c r="H643" s="11" t="s">
        <v>55</v>
      </c>
      <c r="I643" s="12">
        <v>0.5</v>
      </c>
      <c r="J643" s="12">
        <v>60</v>
      </c>
      <c r="K643" s="12">
        <v>139.38</v>
      </c>
      <c r="L643" s="12">
        <v>8362.8000000000011</v>
      </c>
      <c r="M643" s="12">
        <v>0</v>
      </c>
      <c r="N643" s="12">
        <v>0</v>
      </c>
      <c r="O643" s="12">
        <v>1087.163957</v>
      </c>
      <c r="P643" s="12">
        <v>9449.9639569999999</v>
      </c>
    </row>
    <row r="644" spans="1:16" ht="14.5" x14ac:dyDescent="0.25">
      <c r="A644" s="10">
        <v>45860</v>
      </c>
      <c r="B644" s="2" t="str">
        <f t="shared" si="20"/>
        <v>Jul-2025</v>
      </c>
      <c r="C644" s="2" t="str">
        <f t="shared" si="21"/>
        <v>Q2</v>
      </c>
      <c r="D644" s="2" t="s">
        <v>28</v>
      </c>
      <c r="E644" s="11" t="s">
        <v>201</v>
      </c>
      <c r="F644" s="11" t="s">
        <v>151</v>
      </c>
      <c r="G644" s="11" t="s">
        <v>505</v>
      </c>
      <c r="H644" s="11" t="s">
        <v>56</v>
      </c>
      <c r="I644" s="12">
        <v>6</v>
      </c>
      <c r="J644" s="12">
        <v>720</v>
      </c>
      <c r="K644" s="12">
        <v>52.65</v>
      </c>
      <c r="L644" s="12">
        <v>37908</v>
      </c>
      <c r="M644" s="12">
        <v>0</v>
      </c>
      <c r="N644" s="12">
        <v>0</v>
      </c>
      <c r="O644" s="12">
        <v>4928.0398059999998</v>
      </c>
      <c r="P644" s="12">
        <v>42836.039806000001</v>
      </c>
    </row>
    <row r="645" spans="1:16" ht="14.5" x14ac:dyDescent="0.25">
      <c r="A645" s="10">
        <v>45860</v>
      </c>
      <c r="B645" s="2" t="str">
        <f t="shared" si="20"/>
        <v>Jul-2025</v>
      </c>
      <c r="C645" s="2" t="str">
        <f t="shared" si="21"/>
        <v>Q2</v>
      </c>
      <c r="D645" s="2" t="s">
        <v>28</v>
      </c>
      <c r="E645" s="11" t="s">
        <v>201</v>
      </c>
      <c r="F645" s="11" t="s">
        <v>151</v>
      </c>
      <c r="G645" s="11" t="s">
        <v>505</v>
      </c>
      <c r="H645" s="11" t="s">
        <v>43</v>
      </c>
      <c r="I645" s="12">
        <v>4</v>
      </c>
      <c r="J645" s="12">
        <v>160</v>
      </c>
      <c r="K645" s="12">
        <v>272.57</v>
      </c>
      <c r="L645" s="12">
        <v>43611.199999999997</v>
      </c>
      <c r="M645" s="12">
        <v>0</v>
      </c>
      <c r="N645" s="12">
        <v>0</v>
      </c>
      <c r="O645" s="12">
        <v>5669.4557770000001</v>
      </c>
      <c r="P645" s="12">
        <v>49280.655777</v>
      </c>
    </row>
    <row r="646" spans="1:16" ht="14.5" x14ac:dyDescent="0.25">
      <c r="A646" s="10">
        <v>45860</v>
      </c>
      <c r="B646" s="2" t="str">
        <f t="shared" si="20"/>
        <v>Jul-2025</v>
      </c>
      <c r="C646" s="2" t="str">
        <f t="shared" si="21"/>
        <v>Q2</v>
      </c>
      <c r="D646" s="2" t="s">
        <v>28</v>
      </c>
      <c r="E646" s="11" t="s">
        <v>201</v>
      </c>
      <c r="F646" s="11" t="s">
        <v>151</v>
      </c>
      <c r="G646" s="11" t="s">
        <v>506</v>
      </c>
      <c r="H646" s="11" t="s">
        <v>39</v>
      </c>
      <c r="I646" s="12">
        <v>6</v>
      </c>
      <c r="J646" s="12">
        <v>432</v>
      </c>
      <c r="K646" s="12">
        <v>120.8</v>
      </c>
      <c r="L646" s="12">
        <v>52185.599999999999</v>
      </c>
      <c r="M646" s="12">
        <v>0</v>
      </c>
      <c r="N646" s="12">
        <v>0</v>
      </c>
      <c r="O646" s="12">
        <v>6784.1277340000006</v>
      </c>
      <c r="P646" s="12">
        <v>58969.727734</v>
      </c>
    </row>
    <row r="647" spans="1:16" ht="14.5" x14ac:dyDescent="0.25">
      <c r="A647" s="10">
        <v>45860</v>
      </c>
      <c r="B647" s="2" t="str">
        <f t="shared" si="20"/>
        <v>Jul-2025</v>
      </c>
      <c r="C647" s="2" t="str">
        <f t="shared" si="21"/>
        <v>Q2</v>
      </c>
      <c r="D647" s="2" t="s">
        <v>28</v>
      </c>
      <c r="E647" s="11" t="s">
        <v>201</v>
      </c>
      <c r="F647" s="11" t="s">
        <v>151</v>
      </c>
      <c r="G647" s="11" t="s">
        <v>504</v>
      </c>
      <c r="H647" s="11" t="s">
        <v>66</v>
      </c>
      <c r="I647" s="12">
        <v>6</v>
      </c>
      <c r="J647" s="12">
        <v>600</v>
      </c>
      <c r="K647" s="12">
        <v>99.12</v>
      </c>
      <c r="L647" s="12">
        <v>59471.999999999993</v>
      </c>
      <c r="M647" s="12">
        <v>0</v>
      </c>
      <c r="N647" s="12">
        <v>0</v>
      </c>
      <c r="O647" s="12">
        <v>7731.3596960000004</v>
      </c>
      <c r="P647" s="12">
        <v>67203.359696</v>
      </c>
    </row>
    <row r="648" spans="1:16" ht="14.5" x14ac:dyDescent="0.25">
      <c r="A648" s="10">
        <v>45860</v>
      </c>
      <c r="B648" s="2" t="str">
        <f t="shared" si="20"/>
        <v>Jul-2025</v>
      </c>
      <c r="C648" s="2" t="str">
        <f t="shared" si="21"/>
        <v>Q2</v>
      </c>
      <c r="D648" s="2" t="s">
        <v>28</v>
      </c>
      <c r="E648" s="11" t="s">
        <v>201</v>
      </c>
      <c r="F648" s="11" t="s">
        <v>151</v>
      </c>
      <c r="G648" s="11" t="s">
        <v>507</v>
      </c>
      <c r="H648" s="11" t="s">
        <v>60</v>
      </c>
      <c r="I648" s="12">
        <v>9.5</v>
      </c>
      <c r="J648" s="12">
        <v>570</v>
      </c>
      <c r="K648" s="12">
        <v>89.82</v>
      </c>
      <c r="L648" s="12">
        <v>51197.4</v>
      </c>
      <c r="M648" s="12">
        <v>0</v>
      </c>
      <c r="N648" s="12">
        <v>0</v>
      </c>
      <c r="O648" s="12">
        <v>6655.6617390000001</v>
      </c>
      <c r="P648" s="12">
        <v>57853.061738999997</v>
      </c>
    </row>
    <row r="649" spans="1:16" ht="14.5" x14ac:dyDescent="0.25">
      <c r="A649" s="10">
        <v>45860</v>
      </c>
      <c r="B649" s="2" t="str">
        <f t="shared" si="20"/>
        <v>Jul-2025</v>
      </c>
      <c r="C649" s="2" t="str">
        <f t="shared" si="21"/>
        <v>Q2</v>
      </c>
      <c r="D649" s="2" t="s">
        <v>28</v>
      </c>
      <c r="E649" s="11" t="s">
        <v>201</v>
      </c>
      <c r="F649" s="11" t="s">
        <v>151</v>
      </c>
      <c r="G649" s="11" t="s">
        <v>504</v>
      </c>
      <c r="H649" s="11" t="s">
        <v>68</v>
      </c>
      <c r="I649" s="12">
        <v>3</v>
      </c>
      <c r="J649" s="12">
        <v>120</v>
      </c>
      <c r="K649" s="12">
        <v>238.5</v>
      </c>
      <c r="L649" s="12">
        <v>28620</v>
      </c>
      <c r="M649" s="12">
        <v>0</v>
      </c>
      <c r="N649" s="12">
        <v>0</v>
      </c>
      <c r="O649" s="12">
        <v>3720.5998540000001</v>
      </c>
      <c r="P649" s="12">
        <v>32340.599854</v>
      </c>
    </row>
    <row r="650" spans="1:16" ht="14.5" x14ac:dyDescent="0.25">
      <c r="A650" s="10">
        <v>45860</v>
      </c>
      <c r="B650" s="2" t="str">
        <f t="shared" si="20"/>
        <v>Jul-2025</v>
      </c>
      <c r="C650" s="2" t="str">
        <f t="shared" si="21"/>
        <v>Q2</v>
      </c>
      <c r="D650" s="2" t="s">
        <v>28</v>
      </c>
      <c r="E650" s="11" t="s">
        <v>201</v>
      </c>
      <c r="F650" s="11" t="s">
        <v>151</v>
      </c>
      <c r="G650" s="11" t="s">
        <v>505</v>
      </c>
      <c r="H650" s="11" t="s">
        <v>49</v>
      </c>
      <c r="I650" s="12">
        <v>7</v>
      </c>
      <c r="J650" s="12">
        <v>1260</v>
      </c>
      <c r="K650" s="12">
        <v>167.26</v>
      </c>
      <c r="L650" s="12">
        <v>210747.6</v>
      </c>
      <c r="M650" s="12">
        <v>0</v>
      </c>
      <c r="N650" s="12">
        <v>0</v>
      </c>
      <c r="O650" s="12">
        <v>27397.186924000001</v>
      </c>
      <c r="P650" s="12">
        <v>238144.78692400001</v>
      </c>
    </row>
    <row r="651" spans="1:16" ht="14.5" x14ac:dyDescent="0.25">
      <c r="A651" s="10">
        <v>45860</v>
      </c>
      <c r="B651" s="2" t="str">
        <f t="shared" si="20"/>
        <v>Jul-2025</v>
      </c>
      <c r="C651" s="2" t="str">
        <f t="shared" si="21"/>
        <v>Q2</v>
      </c>
      <c r="D651" s="2" t="s">
        <v>28</v>
      </c>
      <c r="E651" s="11" t="s">
        <v>202</v>
      </c>
      <c r="F651" s="11" t="s">
        <v>95</v>
      </c>
      <c r="G651" s="11" t="s">
        <v>503</v>
      </c>
      <c r="H651" s="11" t="s">
        <v>180</v>
      </c>
      <c r="I651" s="12">
        <v>0.5</v>
      </c>
      <c r="J651" s="12">
        <v>40</v>
      </c>
      <c r="K651" s="12">
        <v>141.97</v>
      </c>
      <c r="L651" s="12">
        <v>5678.7999999999993</v>
      </c>
      <c r="M651" s="12">
        <v>-516.20000000000005</v>
      </c>
      <c r="N651" s="12">
        <v>0</v>
      </c>
      <c r="O651" s="12">
        <v>671.137967</v>
      </c>
      <c r="P651" s="12">
        <v>5833.737967</v>
      </c>
    </row>
    <row r="652" spans="1:16" ht="14.5" x14ac:dyDescent="0.25">
      <c r="A652" s="10">
        <v>45860</v>
      </c>
      <c r="B652" s="2" t="str">
        <f t="shared" si="20"/>
        <v>Jul-2025</v>
      </c>
      <c r="C652" s="2" t="str">
        <f t="shared" si="21"/>
        <v>Q2</v>
      </c>
      <c r="D652" s="2" t="s">
        <v>28</v>
      </c>
      <c r="E652" s="11" t="s">
        <v>202</v>
      </c>
      <c r="F652" s="11" t="s">
        <v>95</v>
      </c>
      <c r="G652" s="11" t="s">
        <v>503</v>
      </c>
      <c r="H652" s="11" t="s">
        <v>63</v>
      </c>
      <c r="I652" s="12">
        <v>1</v>
      </c>
      <c r="J652" s="12">
        <v>80</v>
      </c>
      <c r="K652" s="12">
        <v>189.3</v>
      </c>
      <c r="L652" s="12">
        <v>15144</v>
      </c>
      <c r="M652" s="12">
        <v>-1376.5900000000001</v>
      </c>
      <c r="N652" s="12">
        <v>0</v>
      </c>
      <c r="O652" s="12">
        <v>1789.7632119999998</v>
      </c>
      <c r="P652" s="12">
        <v>15557.173212</v>
      </c>
    </row>
    <row r="653" spans="1:16" ht="14.5" x14ac:dyDescent="0.25">
      <c r="A653" s="10">
        <v>45860</v>
      </c>
      <c r="B653" s="2" t="str">
        <f t="shared" si="20"/>
        <v>Jul-2025</v>
      </c>
      <c r="C653" s="2" t="str">
        <f t="shared" si="21"/>
        <v>Q2</v>
      </c>
      <c r="D653" s="2" t="s">
        <v>28</v>
      </c>
      <c r="E653" s="11" t="s">
        <v>202</v>
      </c>
      <c r="F653" s="11" t="s">
        <v>95</v>
      </c>
      <c r="G653" s="11" t="s">
        <v>505</v>
      </c>
      <c r="H653" s="11" t="s">
        <v>43</v>
      </c>
      <c r="I653" s="12">
        <v>1</v>
      </c>
      <c r="J653" s="12">
        <v>40</v>
      </c>
      <c r="K653" s="12">
        <v>297.45999999999998</v>
      </c>
      <c r="L653" s="12">
        <v>11898.4</v>
      </c>
      <c r="M653" s="12">
        <v>-1081.56</v>
      </c>
      <c r="N653" s="12">
        <v>0</v>
      </c>
      <c r="O653" s="12">
        <v>1406.1891310000001</v>
      </c>
      <c r="P653" s="12">
        <v>12223.029130999999</v>
      </c>
    </row>
    <row r="654" spans="1:16" ht="14.5" x14ac:dyDescent="0.25">
      <c r="A654" s="10">
        <v>45860</v>
      </c>
      <c r="B654" s="2" t="str">
        <f t="shared" si="20"/>
        <v>Jul-2025</v>
      </c>
      <c r="C654" s="2" t="str">
        <f t="shared" si="21"/>
        <v>Q2</v>
      </c>
      <c r="D654" s="2" t="s">
        <v>28</v>
      </c>
      <c r="E654" s="11" t="s">
        <v>202</v>
      </c>
      <c r="F654" s="11" t="s">
        <v>95</v>
      </c>
      <c r="G654" s="11" t="s">
        <v>503</v>
      </c>
      <c r="H654" s="11" t="s">
        <v>171</v>
      </c>
      <c r="I654" s="12">
        <v>1</v>
      </c>
      <c r="J654" s="12">
        <v>80</v>
      </c>
      <c r="K654" s="12">
        <v>162.25</v>
      </c>
      <c r="L654" s="12">
        <v>12979.999999999998</v>
      </c>
      <c r="M654" s="12">
        <v>-1179.8800000000001</v>
      </c>
      <c r="N654" s="12">
        <v>0</v>
      </c>
      <c r="O654" s="12">
        <v>1534.0155240000001</v>
      </c>
      <c r="P654" s="12">
        <v>13334.135523999999</v>
      </c>
    </row>
    <row r="655" spans="1:16" ht="14.5" x14ac:dyDescent="0.25">
      <c r="A655" s="10">
        <v>45860</v>
      </c>
      <c r="B655" s="2" t="str">
        <f t="shared" si="20"/>
        <v>Jul-2025</v>
      </c>
      <c r="C655" s="2" t="str">
        <f t="shared" si="21"/>
        <v>Q2</v>
      </c>
      <c r="D655" s="2" t="s">
        <v>28</v>
      </c>
      <c r="E655" s="11" t="s">
        <v>202</v>
      </c>
      <c r="F655" s="11" t="s">
        <v>95</v>
      </c>
      <c r="G655" s="11" t="s">
        <v>503</v>
      </c>
      <c r="H655" s="11" t="s">
        <v>87</v>
      </c>
      <c r="I655" s="12">
        <v>0.33</v>
      </c>
      <c r="J655" s="12">
        <v>60</v>
      </c>
      <c r="K655" s="12">
        <v>114.93</v>
      </c>
      <c r="L655" s="12">
        <v>6895.8</v>
      </c>
      <c r="M655" s="12">
        <v>-626.83000000000004</v>
      </c>
      <c r="N655" s="12">
        <v>0</v>
      </c>
      <c r="O655" s="12">
        <v>814.96605999999997</v>
      </c>
      <c r="P655" s="12">
        <v>7083.93606</v>
      </c>
    </row>
    <row r="656" spans="1:16" ht="14.5" x14ac:dyDescent="0.25">
      <c r="A656" s="10">
        <v>45860</v>
      </c>
      <c r="B656" s="2" t="str">
        <f t="shared" si="20"/>
        <v>Jul-2025</v>
      </c>
      <c r="C656" s="2" t="str">
        <f t="shared" si="21"/>
        <v>Q2</v>
      </c>
      <c r="D656" s="2" t="s">
        <v>28</v>
      </c>
      <c r="E656" s="11" t="s">
        <v>202</v>
      </c>
      <c r="F656" s="11" t="s">
        <v>95</v>
      </c>
      <c r="G656" s="11" t="s">
        <v>503</v>
      </c>
      <c r="H656" s="11" t="s">
        <v>57</v>
      </c>
      <c r="I656" s="12">
        <v>1</v>
      </c>
      <c r="J656" s="12">
        <v>180</v>
      </c>
      <c r="K656" s="12">
        <v>121.69</v>
      </c>
      <c r="L656" s="12">
        <v>21904.199999999997</v>
      </c>
      <c r="M656" s="12">
        <v>-1991.09</v>
      </c>
      <c r="N656" s="12">
        <v>0</v>
      </c>
      <c r="O656" s="12">
        <v>2588.7041720000002</v>
      </c>
      <c r="P656" s="12">
        <v>22501.814171999999</v>
      </c>
    </row>
    <row r="657" spans="1:16" ht="14.5" x14ac:dyDescent="0.25">
      <c r="A657" s="10">
        <v>45860</v>
      </c>
      <c r="B657" s="2" t="str">
        <f t="shared" si="20"/>
        <v>Jul-2025</v>
      </c>
      <c r="C657" s="2" t="str">
        <f t="shared" si="21"/>
        <v>Q2</v>
      </c>
      <c r="D657" s="2" t="s">
        <v>28</v>
      </c>
      <c r="E657" s="11" t="s">
        <v>202</v>
      </c>
      <c r="F657" s="11" t="s">
        <v>95</v>
      </c>
      <c r="G657" s="11" t="s">
        <v>503</v>
      </c>
      <c r="H657" s="11" t="s">
        <v>47</v>
      </c>
      <c r="I657" s="12">
        <v>1</v>
      </c>
      <c r="J657" s="12">
        <v>120</v>
      </c>
      <c r="K657" s="12">
        <v>121.69</v>
      </c>
      <c r="L657" s="12">
        <v>14602.800000000001</v>
      </c>
      <c r="M657" s="12">
        <v>-1327.39</v>
      </c>
      <c r="N657" s="12">
        <v>0</v>
      </c>
      <c r="O657" s="12">
        <v>1725.8032149999999</v>
      </c>
      <c r="P657" s="12">
        <v>15001.213215</v>
      </c>
    </row>
    <row r="658" spans="1:16" ht="14.5" x14ac:dyDescent="0.25">
      <c r="A658" s="10">
        <v>45860</v>
      </c>
      <c r="B658" s="2" t="str">
        <f t="shared" si="20"/>
        <v>Jul-2025</v>
      </c>
      <c r="C658" s="2" t="str">
        <f t="shared" si="21"/>
        <v>Q2</v>
      </c>
      <c r="D658" s="2" t="s">
        <v>28</v>
      </c>
      <c r="E658" s="11" t="s">
        <v>202</v>
      </c>
      <c r="F658" s="11" t="s">
        <v>95</v>
      </c>
      <c r="G658" s="11" t="s">
        <v>504</v>
      </c>
      <c r="H658" s="11" t="s">
        <v>68</v>
      </c>
      <c r="I658" s="12">
        <v>2</v>
      </c>
      <c r="J658" s="12">
        <v>80</v>
      </c>
      <c r="K658" s="12">
        <v>260.27999999999997</v>
      </c>
      <c r="L658" s="12">
        <v>20822.400000000001</v>
      </c>
      <c r="M658" s="12">
        <v>-1892.76</v>
      </c>
      <c r="N658" s="12">
        <v>0</v>
      </c>
      <c r="O658" s="12">
        <v>2460.8530779999996</v>
      </c>
      <c r="P658" s="12">
        <v>21390.493078</v>
      </c>
    </row>
    <row r="659" spans="1:16" ht="14.5" x14ac:dyDescent="0.25">
      <c r="A659" s="10">
        <v>45860</v>
      </c>
      <c r="B659" s="2" t="str">
        <f t="shared" si="20"/>
        <v>Jul-2025</v>
      </c>
      <c r="C659" s="2" t="str">
        <f t="shared" si="21"/>
        <v>Q2</v>
      </c>
      <c r="D659" s="2" t="s">
        <v>28</v>
      </c>
      <c r="E659" s="11" t="s">
        <v>202</v>
      </c>
      <c r="F659" s="11" t="s">
        <v>95</v>
      </c>
      <c r="G659" s="11" t="s">
        <v>503</v>
      </c>
      <c r="H659" s="11" t="s">
        <v>48</v>
      </c>
      <c r="I659" s="12">
        <v>1</v>
      </c>
      <c r="J659" s="12">
        <v>180</v>
      </c>
      <c r="K659" s="12">
        <v>135.21</v>
      </c>
      <c r="L659" s="12">
        <v>24337.8</v>
      </c>
      <c r="M659" s="12">
        <v>-2212.31</v>
      </c>
      <c r="N659" s="12">
        <v>0</v>
      </c>
      <c r="O659" s="12">
        <v>2876.3135579999998</v>
      </c>
      <c r="P659" s="12">
        <v>25001.803558</v>
      </c>
    </row>
    <row r="660" spans="1:16" ht="14.5" x14ac:dyDescent="0.25">
      <c r="A660" s="10">
        <v>45860</v>
      </c>
      <c r="B660" s="2" t="str">
        <f t="shared" si="20"/>
        <v>Jul-2025</v>
      </c>
      <c r="C660" s="2" t="str">
        <f t="shared" si="21"/>
        <v>Q2</v>
      </c>
      <c r="D660" s="2" t="s">
        <v>28</v>
      </c>
      <c r="E660" s="11" t="s">
        <v>202</v>
      </c>
      <c r="F660" s="11" t="s">
        <v>95</v>
      </c>
      <c r="G660" s="11" t="s">
        <v>503</v>
      </c>
      <c r="H660" s="11" t="s">
        <v>44</v>
      </c>
      <c r="I660" s="12">
        <v>1</v>
      </c>
      <c r="J660" s="12">
        <v>180</v>
      </c>
      <c r="K660" s="12">
        <v>155.49</v>
      </c>
      <c r="L660" s="12">
        <v>27988.2</v>
      </c>
      <c r="M660" s="12">
        <v>-2544.13</v>
      </c>
      <c r="N660" s="12">
        <v>0</v>
      </c>
      <c r="O660" s="12">
        <v>3307.7289369999999</v>
      </c>
      <c r="P660" s="12">
        <v>28751.798937</v>
      </c>
    </row>
    <row r="661" spans="1:16" ht="14.5" x14ac:dyDescent="0.25">
      <c r="A661" s="10">
        <v>45860</v>
      </c>
      <c r="B661" s="2" t="str">
        <f t="shared" si="20"/>
        <v>Jul-2025</v>
      </c>
      <c r="C661" s="2" t="str">
        <f t="shared" si="21"/>
        <v>Q2</v>
      </c>
      <c r="D661" s="2" t="s">
        <v>28</v>
      </c>
      <c r="E661" s="11" t="s">
        <v>202</v>
      </c>
      <c r="F661" s="11" t="s">
        <v>95</v>
      </c>
      <c r="G661" s="11" t="s">
        <v>503</v>
      </c>
      <c r="H661" s="11" t="s">
        <v>176</v>
      </c>
      <c r="I661" s="12">
        <v>0.33</v>
      </c>
      <c r="J661" s="12">
        <v>40</v>
      </c>
      <c r="K661" s="12">
        <v>162.25</v>
      </c>
      <c r="L661" s="12">
        <v>6489.9999999999991</v>
      </c>
      <c r="M661" s="12">
        <v>-589.94000000000005</v>
      </c>
      <c r="N661" s="12">
        <v>0</v>
      </c>
      <c r="O661" s="12">
        <v>767.00776200000007</v>
      </c>
      <c r="P661" s="12">
        <v>6667.0677619999997</v>
      </c>
    </row>
    <row r="662" spans="1:16" ht="14.5" x14ac:dyDescent="0.25">
      <c r="A662" s="10">
        <v>45860</v>
      </c>
      <c r="B662" s="2" t="str">
        <f t="shared" si="20"/>
        <v>Jul-2025</v>
      </c>
      <c r="C662" s="2" t="str">
        <f t="shared" si="21"/>
        <v>Q2</v>
      </c>
      <c r="D662" s="2" t="s">
        <v>28</v>
      </c>
      <c r="E662" s="11" t="s">
        <v>202</v>
      </c>
      <c r="F662" s="11" t="s">
        <v>95</v>
      </c>
      <c r="G662" s="11" t="s">
        <v>504</v>
      </c>
      <c r="H662" s="11" t="s">
        <v>67</v>
      </c>
      <c r="I662" s="12">
        <v>2.0099999999999998</v>
      </c>
      <c r="J662" s="12">
        <v>80</v>
      </c>
      <c r="K662" s="12">
        <v>459.72</v>
      </c>
      <c r="L662" s="12">
        <v>36777.599999999999</v>
      </c>
      <c r="M662" s="12">
        <v>-3343.08</v>
      </c>
      <c r="N662" s="12">
        <v>0</v>
      </c>
      <c r="O662" s="12">
        <v>4346.4873849999994</v>
      </c>
      <c r="P662" s="12">
        <v>37781.007384999997</v>
      </c>
    </row>
    <row r="663" spans="1:16" ht="14.5" x14ac:dyDescent="0.25">
      <c r="A663" s="10">
        <v>45860</v>
      </c>
      <c r="B663" s="2" t="str">
        <f t="shared" si="20"/>
        <v>Jul-2025</v>
      </c>
      <c r="C663" s="2" t="str">
        <f t="shared" si="21"/>
        <v>Q2</v>
      </c>
      <c r="D663" s="2" t="s">
        <v>28</v>
      </c>
      <c r="E663" s="11" t="s">
        <v>203</v>
      </c>
      <c r="F663" s="11" t="s">
        <v>95</v>
      </c>
      <c r="G663" s="11" t="s">
        <v>504</v>
      </c>
      <c r="H663" s="11" t="s">
        <v>61</v>
      </c>
      <c r="I663" s="12">
        <v>2</v>
      </c>
      <c r="J663" s="12">
        <v>80</v>
      </c>
      <c r="K663" s="12">
        <v>309.39999999999998</v>
      </c>
      <c r="L663" s="12">
        <v>24752</v>
      </c>
      <c r="M663" s="12">
        <v>-2249.96</v>
      </c>
      <c r="N663" s="12">
        <v>0</v>
      </c>
      <c r="O663" s="12">
        <v>0</v>
      </c>
      <c r="P663" s="12">
        <v>22502.04</v>
      </c>
    </row>
    <row r="664" spans="1:16" ht="14.5" x14ac:dyDescent="0.25">
      <c r="A664" s="10">
        <v>45861</v>
      </c>
      <c r="B664" s="2" t="str">
        <f t="shared" si="20"/>
        <v>Jul-2025</v>
      </c>
      <c r="C664" s="2" t="str">
        <f t="shared" si="21"/>
        <v>Q2</v>
      </c>
      <c r="D664" s="2" t="s">
        <v>28</v>
      </c>
      <c r="E664" s="11" t="s">
        <v>204</v>
      </c>
      <c r="F664" s="11" t="s">
        <v>104</v>
      </c>
      <c r="G664" s="11" t="s">
        <v>507</v>
      </c>
      <c r="H664" s="11" t="s">
        <v>60</v>
      </c>
      <c r="I664" s="12">
        <v>0.47</v>
      </c>
      <c r="J664" s="12">
        <v>28</v>
      </c>
      <c r="K664" s="12">
        <v>102.65</v>
      </c>
      <c r="L664" s="12">
        <v>2874.2000000000003</v>
      </c>
      <c r="M664" s="12">
        <v>0</v>
      </c>
      <c r="N664" s="12">
        <v>0</v>
      </c>
      <c r="O664" s="12">
        <v>373.64328399999999</v>
      </c>
      <c r="P664" s="12">
        <v>3247.843284</v>
      </c>
    </row>
    <row r="665" spans="1:16" ht="14.5" x14ac:dyDescent="0.25">
      <c r="A665" s="10">
        <v>45861</v>
      </c>
      <c r="B665" s="2" t="str">
        <f t="shared" si="20"/>
        <v>Jul-2025</v>
      </c>
      <c r="C665" s="2" t="str">
        <f t="shared" si="21"/>
        <v>Q2</v>
      </c>
      <c r="D665" s="2" t="s">
        <v>28</v>
      </c>
      <c r="E665" s="11" t="s">
        <v>204</v>
      </c>
      <c r="F665" s="11" t="s">
        <v>104</v>
      </c>
      <c r="G665" s="11" t="s">
        <v>505</v>
      </c>
      <c r="H665" s="11" t="s">
        <v>56</v>
      </c>
      <c r="I665" s="12">
        <v>0.04</v>
      </c>
      <c r="J665" s="12">
        <v>5</v>
      </c>
      <c r="K665" s="12">
        <v>60.18</v>
      </c>
      <c r="L665" s="12">
        <v>300.89999999999998</v>
      </c>
      <c r="M665" s="12">
        <v>0</v>
      </c>
      <c r="N665" s="12">
        <v>0</v>
      </c>
      <c r="O665" s="12">
        <v>39.116715999999997</v>
      </c>
      <c r="P665" s="12">
        <v>340.01671599999997</v>
      </c>
    </row>
    <row r="666" spans="1:16" ht="14.5" x14ac:dyDescent="0.25">
      <c r="A666" s="10">
        <v>45866</v>
      </c>
      <c r="B666" s="2" t="str">
        <f t="shared" si="20"/>
        <v>Jul-2025</v>
      </c>
      <c r="C666" s="2" t="str">
        <f t="shared" si="21"/>
        <v>Q2</v>
      </c>
      <c r="D666" s="2" t="s">
        <v>28</v>
      </c>
      <c r="E666" s="11" t="s">
        <v>205</v>
      </c>
      <c r="F666" s="11" t="s">
        <v>38</v>
      </c>
      <c r="G666" s="11" t="s">
        <v>503</v>
      </c>
      <c r="H666" s="11" t="s">
        <v>48</v>
      </c>
      <c r="I666" s="12">
        <v>0.01</v>
      </c>
      <c r="J666" s="12">
        <v>2</v>
      </c>
      <c r="K666" s="12">
        <v>135.21</v>
      </c>
      <c r="L666" s="12">
        <v>270.42</v>
      </c>
      <c r="M666" s="12">
        <v>-24.58</v>
      </c>
      <c r="N666" s="12">
        <v>0</v>
      </c>
      <c r="O666" s="12">
        <v>31.961458</v>
      </c>
      <c r="P666" s="12">
        <v>277.80145800000003</v>
      </c>
    </row>
    <row r="667" spans="1:16" ht="14.5" x14ac:dyDescent="0.25">
      <c r="A667" s="10">
        <v>45866</v>
      </c>
      <c r="B667" s="2" t="str">
        <f t="shared" si="20"/>
        <v>Jul-2025</v>
      </c>
      <c r="C667" s="2" t="str">
        <f t="shared" si="21"/>
        <v>Q2</v>
      </c>
      <c r="D667" s="2" t="s">
        <v>28</v>
      </c>
      <c r="E667" s="11" t="s">
        <v>205</v>
      </c>
      <c r="F667" s="11" t="s">
        <v>38</v>
      </c>
      <c r="G667" s="11" t="s">
        <v>506</v>
      </c>
      <c r="H667" s="11" t="s">
        <v>58</v>
      </c>
      <c r="I667" s="12">
        <v>0.01</v>
      </c>
      <c r="J667" s="12">
        <v>1</v>
      </c>
      <c r="K667" s="12">
        <v>148.72999999999999</v>
      </c>
      <c r="L667" s="12">
        <v>148.72999999999999</v>
      </c>
      <c r="M667" s="12">
        <v>-13.52</v>
      </c>
      <c r="N667" s="12">
        <v>0</v>
      </c>
      <c r="O667" s="12">
        <v>17.578541999999999</v>
      </c>
      <c r="P667" s="12">
        <v>152.78854200000001</v>
      </c>
    </row>
    <row r="668" spans="1:16" ht="14.5" x14ac:dyDescent="0.25">
      <c r="A668" s="10">
        <v>45866</v>
      </c>
      <c r="B668" s="2" t="str">
        <f t="shared" si="20"/>
        <v>Jul-2025</v>
      </c>
      <c r="C668" s="2" t="str">
        <f t="shared" si="21"/>
        <v>Q2</v>
      </c>
      <c r="D668" s="2" t="s">
        <v>28</v>
      </c>
      <c r="E668" s="11" t="s">
        <v>206</v>
      </c>
      <c r="F668" s="11" t="s">
        <v>38</v>
      </c>
      <c r="G668" s="11" t="s">
        <v>506</v>
      </c>
      <c r="H668" s="11" t="s">
        <v>58</v>
      </c>
      <c r="I668" s="12">
        <v>0.01</v>
      </c>
      <c r="J668" s="12">
        <v>1</v>
      </c>
      <c r="K668" s="12">
        <v>148.72999999999999</v>
      </c>
      <c r="L668" s="12">
        <v>148.72999999999999</v>
      </c>
      <c r="M668" s="12">
        <v>-13.52</v>
      </c>
      <c r="N668" s="12">
        <v>0</v>
      </c>
      <c r="O668" s="12">
        <v>17.579999999999998</v>
      </c>
      <c r="P668" s="12">
        <v>152.79</v>
      </c>
    </row>
    <row r="669" spans="1:16" ht="14.5" x14ac:dyDescent="0.25">
      <c r="A669" s="10">
        <v>45867</v>
      </c>
      <c r="B669" s="2" t="str">
        <f t="shared" si="20"/>
        <v>Jul-2025</v>
      </c>
      <c r="C669" s="2" t="str">
        <f t="shared" si="21"/>
        <v>Q2</v>
      </c>
      <c r="D669" s="2" t="s">
        <v>28</v>
      </c>
      <c r="E669" s="11" t="s">
        <v>207</v>
      </c>
      <c r="F669" s="11" t="s">
        <v>151</v>
      </c>
      <c r="G669" s="11" t="s">
        <v>505</v>
      </c>
      <c r="H669" s="11" t="s">
        <v>49</v>
      </c>
      <c r="I669" s="12">
        <v>7</v>
      </c>
      <c r="J669" s="12">
        <v>1260</v>
      </c>
      <c r="K669" s="12">
        <v>167.26</v>
      </c>
      <c r="L669" s="12">
        <v>210747.6</v>
      </c>
      <c r="M669" s="12">
        <v>0</v>
      </c>
      <c r="N669" s="12">
        <v>0</v>
      </c>
      <c r="O669" s="12">
        <v>27397.188537999999</v>
      </c>
      <c r="P669" s="12">
        <v>238144.78853799999</v>
      </c>
    </row>
    <row r="670" spans="1:16" ht="14.5" x14ac:dyDescent="0.25">
      <c r="A670" s="10">
        <v>45867</v>
      </c>
      <c r="B670" s="2" t="str">
        <f t="shared" si="20"/>
        <v>Jul-2025</v>
      </c>
      <c r="C670" s="2" t="str">
        <f t="shared" si="21"/>
        <v>Q2</v>
      </c>
      <c r="D670" s="2" t="s">
        <v>28</v>
      </c>
      <c r="E670" s="11" t="s">
        <v>207</v>
      </c>
      <c r="F670" s="11" t="s">
        <v>151</v>
      </c>
      <c r="G670" s="11" t="s">
        <v>505</v>
      </c>
      <c r="H670" s="11" t="s">
        <v>62</v>
      </c>
      <c r="I670" s="12">
        <v>2.75</v>
      </c>
      <c r="J670" s="12">
        <v>110</v>
      </c>
      <c r="K670" s="12">
        <v>402.65</v>
      </c>
      <c r="L670" s="12">
        <v>44291.5</v>
      </c>
      <c r="M670" s="12">
        <v>0</v>
      </c>
      <c r="N670" s="12">
        <v>0</v>
      </c>
      <c r="O670" s="12">
        <v>5757.8951130000005</v>
      </c>
      <c r="P670" s="12">
        <v>50049.395112999999</v>
      </c>
    </row>
    <row r="671" spans="1:16" ht="14.5" x14ac:dyDescent="0.25">
      <c r="A671" s="10">
        <v>45867</v>
      </c>
      <c r="B671" s="2" t="str">
        <f t="shared" si="20"/>
        <v>Jul-2025</v>
      </c>
      <c r="C671" s="2" t="str">
        <f t="shared" si="21"/>
        <v>Q2</v>
      </c>
      <c r="D671" s="2" t="s">
        <v>28</v>
      </c>
      <c r="E671" s="11" t="s">
        <v>207</v>
      </c>
      <c r="F671" s="11" t="s">
        <v>151</v>
      </c>
      <c r="G671" s="11" t="s">
        <v>503</v>
      </c>
      <c r="H671" s="11" t="s">
        <v>42</v>
      </c>
      <c r="I671" s="12">
        <v>6</v>
      </c>
      <c r="J671" s="12">
        <v>720</v>
      </c>
      <c r="K671" s="12">
        <v>130.09</v>
      </c>
      <c r="L671" s="12">
        <v>93664.8</v>
      </c>
      <c r="M671" s="12">
        <v>0</v>
      </c>
      <c r="N671" s="12">
        <v>0</v>
      </c>
      <c r="O671" s="12">
        <v>12176.424239</v>
      </c>
      <c r="P671" s="12">
        <v>105841.224239</v>
      </c>
    </row>
    <row r="672" spans="1:16" ht="14.5" x14ac:dyDescent="0.25">
      <c r="A672" s="10">
        <v>45867</v>
      </c>
      <c r="B672" s="2" t="str">
        <f t="shared" si="20"/>
        <v>Jul-2025</v>
      </c>
      <c r="C672" s="2" t="str">
        <f t="shared" si="21"/>
        <v>Q2</v>
      </c>
      <c r="D672" s="2" t="s">
        <v>28</v>
      </c>
      <c r="E672" s="11" t="s">
        <v>207</v>
      </c>
      <c r="F672" s="11" t="s">
        <v>151</v>
      </c>
      <c r="G672" s="11" t="s">
        <v>503</v>
      </c>
      <c r="H672" s="11" t="s">
        <v>48</v>
      </c>
      <c r="I672" s="12">
        <v>7</v>
      </c>
      <c r="J672" s="12">
        <v>1260</v>
      </c>
      <c r="K672" s="12">
        <v>123.89</v>
      </c>
      <c r="L672" s="12">
        <v>156101.4</v>
      </c>
      <c r="M672" s="12">
        <v>0</v>
      </c>
      <c r="N672" s="12">
        <v>0</v>
      </c>
      <c r="O672" s="12">
        <v>20293.182398999998</v>
      </c>
      <c r="P672" s="12">
        <v>176394.58239900001</v>
      </c>
    </row>
    <row r="673" spans="1:16" ht="14.5" x14ac:dyDescent="0.25">
      <c r="A673" s="10">
        <v>45867</v>
      </c>
      <c r="B673" s="2" t="str">
        <f t="shared" si="20"/>
        <v>Jul-2025</v>
      </c>
      <c r="C673" s="2" t="str">
        <f t="shared" si="21"/>
        <v>Q2</v>
      </c>
      <c r="D673" s="2" t="s">
        <v>28</v>
      </c>
      <c r="E673" s="11" t="s">
        <v>207</v>
      </c>
      <c r="F673" s="11" t="s">
        <v>151</v>
      </c>
      <c r="G673" s="11" t="s">
        <v>503</v>
      </c>
      <c r="H673" s="11" t="s">
        <v>59</v>
      </c>
      <c r="I673" s="12">
        <v>7</v>
      </c>
      <c r="J673" s="12">
        <v>1260</v>
      </c>
      <c r="K673" s="12">
        <v>58.85</v>
      </c>
      <c r="L673" s="12">
        <v>74151</v>
      </c>
      <c r="M673" s="12">
        <v>0</v>
      </c>
      <c r="N673" s="12">
        <v>0</v>
      </c>
      <c r="O673" s="12">
        <v>9639.6301890000013</v>
      </c>
      <c r="P673" s="12">
        <v>83790.630189000003</v>
      </c>
    </row>
    <row r="674" spans="1:16" ht="14.5" x14ac:dyDescent="0.25">
      <c r="A674" s="10">
        <v>45867</v>
      </c>
      <c r="B674" s="2" t="str">
        <f t="shared" si="20"/>
        <v>Jul-2025</v>
      </c>
      <c r="C674" s="2" t="str">
        <f t="shared" si="21"/>
        <v>Q2</v>
      </c>
      <c r="D674" s="2" t="s">
        <v>28</v>
      </c>
      <c r="E674" s="11" t="s">
        <v>207</v>
      </c>
      <c r="F674" s="11" t="s">
        <v>151</v>
      </c>
      <c r="G674" s="11" t="s">
        <v>503</v>
      </c>
      <c r="H674" s="11" t="s">
        <v>52</v>
      </c>
      <c r="I674" s="12">
        <v>7</v>
      </c>
      <c r="J674" s="12">
        <v>1260</v>
      </c>
      <c r="K674" s="12">
        <v>65.040000000000006</v>
      </c>
      <c r="L674" s="12">
        <v>81950.400000000009</v>
      </c>
      <c r="M674" s="12">
        <v>0</v>
      </c>
      <c r="N674" s="12">
        <v>0</v>
      </c>
      <c r="O674" s="12">
        <v>10653.552208999999</v>
      </c>
      <c r="P674" s="12">
        <v>92603.952208999995</v>
      </c>
    </row>
    <row r="675" spans="1:16" ht="14.5" x14ac:dyDescent="0.25">
      <c r="A675" s="10">
        <v>45867</v>
      </c>
      <c r="B675" s="2" t="str">
        <f t="shared" si="20"/>
        <v>Jul-2025</v>
      </c>
      <c r="C675" s="2" t="str">
        <f t="shared" si="21"/>
        <v>Q2</v>
      </c>
      <c r="D675" s="2" t="s">
        <v>28</v>
      </c>
      <c r="E675" s="11" t="s">
        <v>207</v>
      </c>
      <c r="F675" s="11" t="s">
        <v>151</v>
      </c>
      <c r="G675" s="11" t="s">
        <v>505</v>
      </c>
      <c r="H675" s="11" t="s">
        <v>50</v>
      </c>
      <c r="I675" s="12">
        <v>3.5</v>
      </c>
      <c r="J675" s="12">
        <v>280</v>
      </c>
      <c r="K675" s="12">
        <v>154.87</v>
      </c>
      <c r="L675" s="12">
        <v>43363.6</v>
      </c>
      <c r="M675" s="12">
        <v>0</v>
      </c>
      <c r="N675" s="12">
        <v>0</v>
      </c>
      <c r="O675" s="12">
        <v>5637.2681109999994</v>
      </c>
      <c r="P675" s="12">
        <v>49000.868111000003</v>
      </c>
    </row>
    <row r="676" spans="1:16" ht="14.5" x14ac:dyDescent="0.25">
      <c r="A676" s="10">
        <v>45867</v>
      </c>
      <c r="B676" s="2" t="str">
        <f t="shared" si="20"/>
        <v>Jul-2025</v>
      </c>
      <c r="C676" s="2" t="str">
        <f t="shared" si="21"/>
        <v>Q2</v>
      </c>
      <c r="D676" s="2" t="s">
        <v>28</v>
      </c>
      <c r="E676" s="11" t="s">
        <v>207</v>
      </c>
      <c r="F676" s="11" t="s">
        <v>151</v>
      </c>
      <c r="G676" s="11" t="s">
        <v>505</v>
      </c>
      <c r="H676" s="11" t="s">
        <v>43</v>
      </c>
      <c r="I676" s="12">
        <v>5</v>
      </c>
      <c r="J676" s="12">
        <v>200</v>
      </c>
      <c r="K676" s="12">
        <v>272.57</v>
      </c>
      <c r="L676" s="12">
        <v>54514</v>
      </c>
      <c r="M676" s="12">
        <v>0</v>
      </c>
      <c r="N676" s="12">
        <v>0</v>
      </c>
      <c r="O676" s="12">
        <v>7086.8201390000004</v>
      </c>
      <c r="P676" s="12">
        <v>61600.820139000003</v>
      </c>
    </row>
    <row r="677" spans="1:16" ht="14.5" x14ac:dyDescent="0.25">
      <c r="A677" s="10">
        <v>45867</v>
      </c>
      <c r="B677" s="2" t="str">
        <f t="shared" ref="B677:B739" si="22">+TEXT(A677,"MMM-yyy")</f>
        <v>Jul-2025</v>
      </c>
      <c r="C677" s="2" t="str">
        <f t="shared" ref="C677:C739" si="23">"Q" &amp; CHOOSE(MONTH(A677),4,4,4,1,1,1,2,2,2,3,3,3)</f>
        <v>Q2</v>
      </c>
      <c r="D677" s="2" t="s">
        <v>28</v>
      </c>
      <c r="E677" s="11" t="s">
        <v>207</v>
      </c>
      <c r="F677" s="11" t="s">
        <v>151</v>
      </c>
      <c r="G677" s="11" t="s">
        <v>503</v>
      </c>
      <c r="H677" s="11" t="s">
        <v>46</v>
      </c>
      <c r="I677" s="12">
        <v>7</v>
      </c>
      <c r="J677" s="12">
        <v>840</v>
      </c>
      <c r="K677" s="12">
        <v>111.5</v>
      </c>
      <c r="L677" s="12">
        <v>93660</v>
      </c>
      <c r="M677" s="12">
        <v>0</v>
      </c>
      <c r="N677" s="12">
        <v>0</v>
      </c>
      <c r="O677" s="12">
        <v>12175.800239</v>
      </c>
      <c r="P677" s="12">
        <v>105835.800239</v>
      </c>
    </row>
    <row r="678" spans="1:16" ht="14.5" x14ac:dyDescent="0.25">
      <c r="A678" s="10">
        <v>45867</v>
      </c>
      <c r="B678" s="2" t="str">
        <f t="shared" si="22"/>
        <v>Jul-2025</v>
      </c>
      <c r="C678" s="2" t="str">
        <f t="shared" si="23"/>
        <v>Q2</v>
      </c>
      <c r="D678" s="2" t="s">
        <v>28</v>
      </c>
      <c r="E678" s="11" t="s">
        <v>207</v>
      </c>
      <c r="F678" s="11" t="s">
        <v>151</v>
      </c>
      <c r="G678" s="11" t="s">
        <v>503</v>
      </c>
      <c r="H678" s="11" t="s">
        <v>47</v>
      </c>
      <c r="I678" s="12">
        <v>7</v>
      </c>
      <c r="J678" s="12">
        <v>840</v>
      </c>
      <c r="K678" s="12">
        <v>111.5</v>
      </c>
      <c r="L678" s="12">
        <v>93660</v>
      </c>
      <c r="M678" s="12">
        <v>0</v>
      </c>
      <c r="N678" s="12">
        <v>0</v>
      </c>
      <c r="O678" s="12">
        <v>12175.800239</v>
      </c>
      <c r="P678" s="12">
        <v>105835.800239</v>
      </c>
    </row>
    <row r="679" spans="1:16" ht="14.5" x14ac:dyDescent="0.25">
      <c r="A679" s="10">
        <v>45867</v>
      </c>
      <c r="B679" s="2" t="str">
        <f t="shared" si="22"/>
        <v>Jul-2025</v>
      </c>
      <c r="C679" s="2" t="str">
        <f t="shared" si="23"/>
        <v>Q2</v>
      </c>
      <c r="D679" s="2" t="s">
        <v>28</v>
      </c>
      <c r="E679" s="11" t="s">
        <v>207</v>
      </c>
      <c r="F679" s="11" t="s">
        <v>151</v>
      </c>
      <c r="G679" s="11" t="s">
        <v>507</v>
      </c>
      <c r="H679" s="11" t="s">
        <v>60</v>
      </c>
      <c r="I679" s="12">
        <v>7</v>
      </c>
      <c r="J679" s="12">
        <v>420</v>
      </c>
      <c r="K679" s="12">
        <v>89.82</v>
      </c>
      <c r="L679" s="12">
        <v>37724.400000000001</v>
      </c>
      <c r="M679" s="12">
        <v>0</v>
      </c>
      <c r="N679" s="12">
        <v>0</v>
      </c>
      <c r="O679" s="12">
        <v>4904.1720959999993</v>
      </c>
      <c r="P679" s="12">
        <v>42628.572096000004</v>
      </c>
    </row>
    <row r="680" spans="1:16" ht="14.5" x14ac:dyDescent="0.25">
      <c r="A680" s="10">
        <v>45867</v>
      </c>
      <c r="B680" s="2" t="str">
        <f t="shared" si="22"/>
        <v>Jul-2025</v>
      </c>
      <c r="C680" s="2" t="str">
        <f t="shared" si="23"/>
        <v>Q2</v>
      </c>
      <c r="D680" s="2" t="s">
        <v>28</v>
      </c>
      <c r="E680" s="11" t="s">
        <v>207</v>
      </c>
      <c r="F680" s="11" t="s">
        <v>151</v>
      </c>
      <c r="G680" s="11" t="s">
        <v>505</v>
      </c>
      <c r="H680" s="11" t="s">
        <v>55</v>
      </c>
      <c r="I680" s="12">
        <v>7</v>
      </c>
      <c r="J680" s="12">
        <v>840</v>
      </c>
      <c r="K680" s="12">
        <v>139.38</v>
      </c>
      <c r="L680" s="12">
        <v>117079.2</v>
      </c>
      <c r="M680" s="12">
        <v>0</v>
      </c>
      <c r="N680" s="12">
        <v>0</v>
      </c>
      <c r="O680" s="12">
        <v>15220.296299</v>
      </c>
      <c r="P680" s="12">
        <v>132299.49629899999</v>
      </c>
    </row>
    <row r="681" spans="1:16" ht="14.5" x14ac:dyDescent="0.25">
      <c r="A681" s="10">
        <v>45867</v>
      </c>
      <c r="B681" s="2" t="str">
        <f t="shared" si="22"/>
        <v>Jul-2025</v>
      </c>
      <c r="C681" s="2" t="str">
        <f t="shared" si="23"/>
        <v>Q2</v>
      </c>
      <c r="D681" s="2" t="s">
        <v>28</v>
      </c>
      <c r="E681" s="11" t="s">
        <v>207</v>
      </c>
      <c r="F681" s="11" t="s">
        <v>151</v>
      </c>
      <c r="G681" s="11" t="s">
        <v>503</v>
      </c>
      <c r="H681" s="11" t="s">
        <v>51</v>
      </c>
      <c r="I681" s="12">
        <v>7</v>
      </c>
      <c r="J681" s="12">
        <v>1260</v>
      </c>
      <c r="K681" s="12">
        <v>58.85</v>
      </c>
      <c r="L681" s="12">
        <v>74151</v>
      </c>
      <c r="M681" s="12">
        <v>0</v>
      </c>
      <c r="N681" s="12">
        <v>0</v>
      </c>
      <c r="O681" s="12">
        <v>9639.6301890000013</v>
      </c>
      <c r="P681" s="12">
        <v>83790.630189000003</v>
      </c>
    </row>
    <row r="682" spans="1:16" ht="14.5" x14ac:dyDescent="0.25">
      <c r="A682" s="10">
        <v>45869</v>
      </c>
      <c r="B682" s="2" t="str">
        <f t="shared" si="22"/>
        <v>Jul-2025</v>
      </c>
      <c r="C682" s="2" t="str">
        <f t="shared" si="23"/>
        <v>Q2</v>
      </c>
      <c r="D682" s="2" t="s">
        <v>28</v>
      </c>
      <c r="E682" s="11" t="s">
        <v>208</v>
      </c>
      <c r="F682" s="11" t="s">
        <v>151</v>
      </c>
      <c r="G682" s="11" t="s">
        <v>503</v>
      </c>
      <c r="H682" s="11" t="s">
        <v>176</v>
      </c>
      <c r="I682" s="12">
        <v>3.33</v>
      </c>
      <c r="J682" s="12">
        <v>400</v>
      </c>
      <c r="K682" s="12">
        <v>148.66999999999999</v>
      </c>
      <c r="L682" s="12">
        <v>59468</v>
      </c>
      <c r="M682" s="12">
        <v>0</v>
      </c>
      <c r="N682" s="12">
        <v>0</v>
      </c>
      <c r="O682" s="12">
        <v>7730.8401219999996</v>
      </c>
      <c r="P682" s="12">
        <v>67198.840121999994</v>
      </c>
    </row>
    <row r="683" spans="1:16" ht="14.5" x14ac:dyDescent="0.25">
      <c r="A683" s="10">
        <v>45869</v>
      </c>
      <c r="B683" s="2" t="str">
        <f t="shared" si="22"/>
        <v>Jul-2025</v>
      </c>
      <c r="C683" s="2" t="str">
        <f t="shared" si="23"/>
        <v>Q2</v>
      </c>
      <c r="D683" s="2" t="s">
        <v>28</v>
      </c>
      <c r="E683" s="11" t="s">
        <v>208</v>
      </c>
      <c r="F683" s="11" t="s">
        <v>151</v>
      </c>
      <c r="G683" s="11" t="s">
        <v>504</v>
      </c>
      <c r="H683" s="11" t="s">
        <v>68</v>
      </c>
      <c r="I683" s="12">
        <v>0.5</v>
      </c>
      <c r="J683" s="12">
        <v>20</v>
      </c>
      <c r="K683" s="12">
        <v>238.5</v>
      </c>
      <c r="L683" s="12">
        <v>4769.9999999999991</v>
      </c>
      <c r="M683" s="12">
        <v>0</v>
      </c>
      <c r="N683" s="12">
        <v>0</v>
      </c>
      <c r="O683" s="12">
        <v>620.10001</v>
      </c>
      <c r="P683" s="12">
        <v>5390.1000100000001</v>
      </c>
    </row>
    <row r="684" spans="1:16" ht="14.5" x14ac:dyDescent="0.25">
      <c r="A684" s="10">
        <v>45869</v>
      </c>
      <c r="B684" s="2" t="str">
        <f t="shared" si="22"/>
        <v>Jul-2025</v>
      </c>
      <c r="C684" s="2" t="str">
        <f t="shared" si="23"/>
        <v>Q2</v>
      </c>
      <c r="D684" s="2" t="s">
        <v>28</v>
      </c>
      <c r="E684" s="11" t="s">
        <v>208</v>
      </c>
      <c r="F684" s="11" t="s">
        <v>151</v>
      </c>
      <c r="G684" s="11" t="s">
        <v>503</v>
      </c>
      <c r="H684" s="11" t="s">
        <v>63</v>
      </c>
      <c r="I684" s="12">
        <v>6</v>
      </c>
      <c r="J684" s="12">
        <v>480</v>
      </c>
      <c r="K684" s="12">
        <v>173.45</v>
      </c>
      <c r="L684" s="12">
        <v>83256</v>
      </c>
      <c r="M684" s="12">
        <v>0</v>
      </c>
      <c r="N684" s="12">
        <v>0</v>
      </c>
      <c r="O684" s="12">
        <v>10823.280171</v>
      </c>
      <c r="P684" s="12">
        <v>94079.280171000006</v>
      </c>
    </row>
    <row r="685" spans="1:16" ht="14.5" x14ac:dyDescent="0.25">
      <c r="A685" s="10">
        <v>45869</v>
      </c>
      <c r="B685" s="2" t="str">
        <f t="shared" si="22"/>
        <v>Jul-2025</v>
      </c>
      <c r="C685" s="2" t="str">
        <f t="shared" si="23"/>
        <v>Q2</v>
      </c>
      <c r="D685" s="2" t="s">
        <v>28</v>
      </c>
      <c r="E685" s="11" t="s">
        <v>208</v>
      </c>
      <c r="F685" s="11" t="s">
        <v>151</v>
      </c>
      <c r="G685" s="11" t="s">
        <v>505</v>
      </c>
      <c r="H685" s="11" t="s">
        <v>168</v>
      </c>
      <c r="I685" s="12">
        <v>7</v>
      </c>
      <c r="J685" s="12">
        <v>560</v>
      </c>
      <c r="K685" s="12">
        <v>210.62</v>
      </c>
      <c r="L685" s="12">
        <v>117947.2</v>
      </c>
      <c r="M685" s="12">
        <v>0</v>
      </c>
      <c r="N685" s="12">
        <v>0</v>
      </c>
      <c r="O685" s="12">
        <v>15333.136242</v>
      </c>
      <c r="P685" s="12">
        <v>133280.33624199999</v>
      </c>
    </row>
    <row r="686" spans="1:16" ht="14.5" x14ac:dyDescent="0.25">
      <c r="A686" s="10">
        <v>45869</v>
      </c>
      <c r="B686" s="2" t="str">
        <f t="shared" si="22"/>
        <v>Jul-2025</v>
      </c>
      <c r="C686" s="2" t="str">
        <f t="shared" si="23"/>
        <v>Q2</v>
      </c>
      <c r="D686" s="2" t="s">
        <v>28</v>
      </c>
      <c r="E686" s="11" t="s">
        <v>208</v>
      </c>
      <c r="F686" s="11" t="s">
        <v>151</v>
      </c>
      <c r="G686" s="11" t="s">
        <v>503</v>
      </c>
      <c r="H686" s="11" t="s">
        <v>89</v>
      </c>
      <c r="I686" s="12">
        <v>2.08</v>
      </c>
      <c r="J686" s="12">
        <v>250</v>
      </c>
      <c r="K686" s="12">
        <v>108.41</v>
      </c>
      <c r="L686" s="12">
        <v>27102.5</v>
      </c>
      <c r="M686" s="12">
        <v>0</v>
      </c>
      <c r="N686" s="12">
        <v>0</v>
      </c>
      <c r="O686" s="12">
        <v>3523.3250560000001</v>
      </c>
      <c r="P686" s="12">
        <v>30625.825056000001</v>
      </c>
    </row>
    <row r="687" spans="1:16" ht="14.5" x14ac:dyDescent="0.25">
      <c r="A687" s="10">
        <v>45869</v>
      </c>
      <c r="B687" s="2" t="str">
        <f t="shared" si="22"/>
        <v>Jul-2025</v>
      </c>
      <c r="C687" s="2" t="str">
        <f t="shared" si="23"/>
        <v>Q2</v>
      </c>
      <c r="D687" s="2" t="s">
        <v>28</v>
      </c>
      <c r="E687" s="11" t="s">
        <v>208</v>
      </c>
      <c r="F687" s="11" t="s">
        <v>151</v>
      </c>
      <c r="G687" s="11" t="s">
        <v>503</v>
      </c>
      <c r="H687" s="11" t="s">
        <v>172</v>
      </c>
      <c r="I687" s="12">
        <v>7</v>
      </c>
      <c r="J687" s="12">
        <v>1260</v>
      </c>
      <c r="K687" s="12">
        <v>92.92</v>
      </c>
      <c r="L687" s="12">
        <v>117079.2</v>
      </c>
      <c r="M687" s="12">
        <v>0</v>
      </c>
      <c r="N687" s="12">
        <v>0</v>
      </c>
      <c r="O687" s="12">
        <v>15220.296240000001</v>
      </c>
      <c r="P687" s="12">
        <v>132299.49624000001</v>
      </c>
    </row>
    <row r="688" spans="1:16" ht="14.5" x14ac:dyDescent="0.25">
      <c r="A688" s="10">
        <v>45869</v>
      </c>
      <c r="B688" s="2" t="str">
        <f t="shared" si="22"/>
        <v>Jul-2025</v>
      </c>
      <c r="C688" s="2" t="str">
        <f t="shared" si="23"/>
        <v>Q2</v>
      </c>
      <c r="D688" s="2" t="s">
        <v>28</v>
      </c>
      <c r="E688" s="11" t="s">
        <v>208</v>
      </c>
      <c r="F688" s="11" t="s">
        <v>151</v>
      </c>
      <c r="G688" s="11" t="s">
        <v>503</v>
      </c>
      <c r="H688" s="11" t="s">
        <v>174</v>
      </c>
      <c r="I688" s="12">
        <v>4</v>
      </c>
      <c r="J688" s="12">
        <v>720</v>
      </c>
      <c r="K688" s="12">
        <v>80.53</v>
      </c>
      <c r="L688" s="12">
        <v>57981.599999999999</v>
      </c>
      <c r="M688" s="12">
        <v>0</v>
      </c>
      <c r="N688" s="12">
        <v>0</v>
      </c>
      <c r="O688" s="12">
        <v>7537.6081190000004</v>
      </c>
      <c r="P688" s="12">
        <v>65519.208119000003</v>
      </c>
    </row>
    <row r="689" spans="1:16" ht="14.5" x14ac:dyDescent="0.25">
      <c r="A689" s="10">
        <v>45869</v>
      </c>
      <c r="B689" s="2" t="str">
        <f t="shared" si="22"/>
        <v>Jul-2025</v>
      </c>
      <c r="C689" s="2" t="str">
        <f t="shared" si="23"/>
        <v>Q2</v>
      </c>
      <c r="D689" s="2" t="s">
        <v>28</v>
      </c>
      <c r="E689" s="11" t="s">
        <v>208</v>
      </c>
      <c r="F689" s="11" t="s">
        <v>151</v>
      </c>
      <c r="G689" s="11" t="s">
        <v>504</v>
      </c>
      <c r="H689" s="11" t="s">
        <v>66</v>
      </c>
      <c r="I689" s="12">
        <v>0.5</v>
      </c>
      <c r="J689" s="12">
        <v>50</v>
      </c>
      <c r="K689" s="12">
        <v>99.12</v>
      </c>
      <c r="L689" s="12">
        <v>4956</v>
      </c>
      <c r="M689" s="12">
        <v>0</v>
      </c>
      <c r="N689" s="12">
        <v>0</v>
      </c>
      <c r="O689" s="12">
        <v>644.28000999999995</v>
      </c>
      <c r="P689" s="12">
        <v>5600.2800100000004</v>
      </c>
    </row>
    <row r="690" spans="1:16" ht="14.5" x14ac:dyDescent="0.25">
      <c r="A690" s="10">
        <v>45869</v>
      </c>
      <c r="B690" s="2" t="str">
        <f t="shared" si="22"/>
        <v>Jul-2025</v>
      </c>
      <c r="C690" s="2" t="str">
        <f t="shared" si="23"/>
        <v>Q2</v>
      </c>
      <c r="D690" s="2" t="s">
        <v>28</v>
      </c>
      <c r="E690" s="11" t="s">
        <v>208</v>
      </c>
      <c r="F690" s="11" t="s">
        <v>151</v>
      </c>
      <c r="G690" s="11" t="s">
        <v>503</v>
      </c>
      <c r="H690" s="11" t="s">
        <v>87</v>
      </c>
      <c r="I690" s="12">
        <v>3.11</v>
      </c>
      <c r="J690" s="12">
        <v>560</v>
      </c>
      <c r="K690" s="12">
        <v>105.31</v>
      </c>
      <c r="L690" s="12">
        <v>58973.599999999999</v>
      </c>
      <c r="M690" s="12">
        <v>0</v>
      </c>
      <c r="N690" s="12">
        <v>0</v>
      </c>
      <c r="O690" s="12">
        <v>7666.5681210000002</v>
      </c>
      <c r="P690" s="12">
        <v>66640.168120999995</v>
      </c>
    </row>
    <row r="691" spans="1:16" ht="14.5" x14ac:dyDescent="0.25">
      <c r="A691" s="10">
        <v>45869</v>
      </c>
      <c r="B691" s="2" t="str">
        <f t="shared" si="22"/>
        <v>Jul-2025</v>
      </c>
      <c r="C691" s="2" t="str">
        <f t="shared" si="23"/>
        <v>Q2</v>
      </c>
      <c r="D691" s="2" t="s">
        <v>28</v>
      </c>
      <c r="E691" s="11" t="s">
        <v>208</v>
      </c>
      <c r="F691" s="11" t="s">
        <v>151</v>
      </c>
      <c r="G691" s="11" t="s">
        <v>503</v>
      </c>
      <c r="H691" s="11" t="s">
        <v>180</v>
      </c>
      <c r="I691" s="12">
        <v>3.38</v>
      </c>
      <c r="J691" s="12">
        <v>270</v>
      </c>
      <c r="K691" s="12">
        <v>130.09</v>
      </c>
      <c r="L691" s="12">
        <v>35124.300000000003</v>
      </c>
      <c r="M691" s="12">
        <v>0</v>
      </c>
      <c r="N691" s="12">
        <v>0</v>
      </c>
      <c r="O691" s="12">
        <v>4566.1590720000004</v>
      </c>
      <c r="P691" s="12">
        <v>39690.459071999998</v>
      </c>
    </row>
    <row r="692" spans="1:16" ht="14.5" x14ac:dyDescent="0.25">
      <c r="A692" s="10">
        <v>45869</v>
      </c>
      <c r="B692" s="2" t="str">
        <f t="shared" si="22"/>
        <v>Jul-2025</v>
      </c>
      <c r="C692" s="2" t="str">
        <f t="shared" si="23"/>
        <v>Q2</v>
      </c>
      <c r="D692" s="2" t="s">
        <v>28</v>
      </c>
      <c r="E692" s="11" t="s">
        <v>208</v>
      </c>
      <c r="F692" s="11" t="s">
        <v>151</v>
      </c>
      <c r="G692" s="11" t="s">
        <v>503</v>
      </c>
      <c r="H692" s="11" t="s">
        <v>173</v>
      </c>
      <c r="I692" s="12">
        <v>4</v>
      </c>
      <c r="J692" s="12">
        <v>480</v>
      </c>
      <c r="K692" s="12">
        <v>77.430000000000007</v>
      </c>
      <c r="L692" s="12">
        <v>37166.400000000001</v>
      </c>
      <c r="M692" s="12">
        <v>0</v>
      </c>
      <c r="N692" s="12">
        <v>0</v>
      </c>
      <c r="O692" s="12">
        <v>4831.6320760000008</v>
      </c>
      <c r="P692" s="12">
        <v>41998.032076000003</v>
      </c>
    </row>
    <row r="693" spans="1:16" ht="14.5" x14ac:dyDescent="0.25">
      <c r="A693" s="10">
        <v>45869</v>
      </c>
      <c r="B693" s="2" t="str">
        <f t="shared" si="22"/>
        <v>Jul-2025</v>
      </c>
      <c r="C693" s="2" t="str">
        <f t="shared" si="23"/>
        <v>Q2</v>
      </c>
      <c r="D693" s="2" t="s">
        <v>28</v>
      </c>
      <c r="E693" s="11" t="s">
        <v>208</v>
      </c>
      <c r="F693" s="11" t="s">
        <v>151</v>
      </c>
      <c r="G693" s="11" t="s">
        <v>503</v>
      </c>
      <c r="H693" s="11" t="s">
        <v>41</v>
      </c>
      <c r="I693" s="12">
        <v>3.11</v>
      </c>
      <c r="J693" s="12">
        <v>560</v>
      </c>
      <c r="K693" s="12">
        <v>55.75</v>
      </c>
      <c r="L693" s="12">
        <v>31220</v>
      </c>
      <c r="M693" s="12">
        <v>0</v>
      </c>
      <c r="N693" s="12">
        <v>0</v>
      </c>
      <c r="O693" s="12">
        <v>4058.6000640000002</v>
      </c>
      <c r="P693" s="12">
        <v>35278.600063999998</v>
      </c>
    </row>
    <row r="694" spans="1:16" ht="14.5" x14ac:dyDescent="0.25">
      <c r="A694" s="10">
        <v>45869</v>
      </c>
      <c r="B694" s="2" t="str">
        <f t="shared" si="22"/>
        <v>Jul-2025</v>
      </c>
      <c r="C694" s="2" t="str">
        <f t="shared" si="23"/>
        <v>Q2</v>
      </c>
      <c r="D694" s="2" t="s">
        <v>28</v>
      </c>
      <c r="E694" s="11" t="s">
        <v>208</v>
      </c>
      <c r="F694" s="11" t="s">
        <v>151</v>
      </c>
      <c r="G694" s="11" t="s">
        <v>506</v>
      </c>
      <c r="H694" s="11" t="s">
        <v>181</v>
      </c>
      <c r="I694" s="12">
        <v>7</v>
      </c>
      <c r="J694" s="12">
        <v>700</v>
      </c>
      <c r="K694" s="12">
        <v>89.82</v>
      </c>
      <c r="L694" s="12">
        <v>62874</v>
      </c>
      <c r="M694" s="12">
        <v>0</v>
      </c>
      <c r="N694" s="12">
        <v>0</v>
      </c>
      <c r="O694" s="12">
        <v>8173.6201289999999</v>
      </c>
      <c r="P694" s="12">
        <v>71047.620129000003</v>
      </c>
    </row>
    <row r="695" spans="1:16" ht="14.5" x14ac:dyDescent="0.25">
      <c r="A695" s="10">
        <v>45869</v>
      </c>
      <c r="B695" s="2" t="str">
        <f t="shared" si="22"/>
        <v>Jul-2025</v>
      </c>
      <c r="C695" s="2" t="str">
        <f t="shared" si="23"/>
        <v>Q2</v>
      </c>
      <c r="D695" s="2" t="s">
        <v>28</v>
      </c>
      <c r="E695" s="11" t="s">
        <v>208</v>
      </c>
      <c r="F695" s="11" t="s">
        <v>151</v>
      </c>
      <c r="G695" s="11" t="s">
        <v>504</v>
      </c>
      <c r="H695" s="11" t="s">
        <v>69</v>
      </c>
      <c r="I695" s="12">
        <v>3</v>
      </c>
      <c r="J695" s="12">
        <v>300</v>
      </c>
      <c r="K695" s="12">
        <v>173.45</v>
      </c>
      <c r="L695" s="12">
        <v>52035</v>
      </c>
      <c r="M695" s="12">
        <v>0</v>
      </c>
      <c r="N695" s="12">
        <v>0</v>
      </c>
      <c r="O695" s="12">
        <v>6764.550107</v>
      </c>
      <c r="P695" s="12">
        <v>58799.550107000003</v>
      </c>
    </row>
    <row r="696" spans="1:16" ht="14.5" x14ac:dyDescent="0.25">
      <c r="A696" s="10">
        <v>45869</v>
      </c>
      <c r="B696" s="2" t="str">
        <f t="shared" si="22"/>
        <v>Jul-2025</v>
      </c>
      <c r="C696" s="2" t="str">
        <f t="shared" si="23"/>
        <v>Q2</v>
      </c>
      <c r="D696" s="2" t="s">
        <v>28</v>
      </c>
      <c r="E696" s="11" t="s">
        <v>208</v>
      </c>
      <c r="F696" s="11" t="s">
        <v>151</v>
      </c>
      <c r="G696" s="11" t="s">
        <v>503</v>
      </c>
      <c r="H696" s="11" t="s">
        <v>170</v>
      </c>
      <c r="I696" s="12">
        <v>3.88</v>
      </c>
      <c r="J696" s="12">
        <v>310</v>
      </c>
      <c r="K696" s="12">
        <v>154.87</v>
      </c>
      <c r="L696" s="12">
        <v>48009.700000000004</v>
      </c>
      <c r="M696" s="12">
        <v>0</v>
      </c>
      <c r="N696" s="12">
        <v>0</v>
      </c>
      <c r="O696" s="12">
        <v>6241.2610990000003</v>
      </c>
      <c r="P696" s="12">
        <v>54250.961099</v>
      </c>
    </row>
    <row r="697" spans="1:16" ht="14.5" x14ac:dyDescent="0.25">
      <c r="A697" s="10">
        <v>45869</v>
      </c>
      <c r="B697" s="2" t="str">
        <f t="shared" si="22"/>
        <v>Jul-2025</v>
      </c>
      <c r="C697" s="2" t="str">
        <f t="shared" si="23"/>
        <v>Q2</v>
      </c>
      <c r="D697" s="2" t="s">
        <v>28</v>
      </c>
      <c r="E697" s="11" t="s">
        <v>208</v>
      </c>
      <c r="F697" s="11" t="s">
        <v>151</v>
      </c>
      <c r="G697" s="11" t="s">
        <v>503</v>
      </c>
      <c r="H697" s="11" t="s">
        <v>171</v>
      </c>
      <c r="I697" s="12">
        <v>2.88</v>
      </c>
      <c r="J697" s="12">
        <v>230</v>
      </c>
      <c r="K697" s="12">
        <v>148.66999999999999</v>
      </c>
      <c r="L697" s="12">
        <v>34194.1</v>
      </c>
      <c r="M697" s="12">
        <v>0</v>
      </c>
      <c r="N697" s="12">
        <v>0</v>
      </c>
      <c r="O697" s="12">
        <v>4445.2330700000002</v>
      </c>
      <c r="P697" s="12">
        <v>38639.333070000001</v>
      </c>
    </row>
    <row r="698" spans="1:16" ht="14.5" x14ac:dyDescent="0.25">
      <c r="A698" s="10">
        <v>45869</v>
      </c>
      <c r="B698" s="2" t="str">
        <f t="shared" si="22"/>
        <v>Jul-2025</v>
      </c>
      <c r="C698" s="2" t="str">
        <f t="shared" si="23"/>
        <v>Q2</v>
      </c>
      <c r="D698" s="2" t="s">
        <v>28</v>
      </c>
      <c r="E698" s="11" t="s">
        <v>208</v>
      </c>
      <c r="F698" s="11" t="s">
        <v>151</v>
      </c>
      <c r="G698" s="11" t="s">
        <v>504</v>
      </c>
      <c r="H698" s="11" t="s">
        <v>67</v>
      </c>
      <c r="I698" s="12">
        <v>0.5</v>
      </c>
      <c r="J698" s="12">
        <v>20</v>
      </c>
      <c r="K698" s="12">
        <v>421.24</v>
      </c>
      <c r="L698" s="12">
        <v>8424.7999999999993</v>
      </c>
      <c r="M698" s="12">
        <v>0</v>
      </c>
      <c r="N698" s="12">
        <v>0</v>
      </c>
      <c r="O698" s="12">
        <v>1095.224017</v>
      </c>
      <c r="P698" s="12">
        <v>9520.0240169999997</v>
      </c>
    </row>
    <row r="699" spans="1:16" ht="14.5" x14ac:dyDescent="0.25">
      <c r="A699" s="10">
        <v>45869</v>
      </c>
      <c r="B699" s="2" t="str">
        <f t="shared" si="22"/>
        <v>Jul-2025</v>
      </c>
      <c r="C699" s="2" t="str">
        <f t="shared" si="23"/>
        <v>Q2</v>
      </c>
      <c r="D699" s="2" t="s">
        <v>28</v>
      </c>
      <c r="E699" s="11" t="s">
        <v>208</v>
      </c>
      <c r="F699" s="11" t="s">
        <v>151</v>
      </c>
      <c r="G699" s="11" t="s">
        <v>503</v>
      </c>
      <c r="H699" s="11" t="s">
        <v>166</v>
      </c>
      <c r="I699" s="12">
        <v>14</v>
      </c>
      <c r="J699" s="12">
        <v>1680</v>
      </c>
      <c r="K699" s="12">
        <v>58.85</v>
      </c>
      <c r="L699" s="12">
        <v>98868</v>
      </c>
      <c r="M699" s="12">
        <v>0</v>
      </c>
      <c r="N699" s="12">
        <v>0</v>
      </c>
      <c r="O699" s="12">
        <v>12852.840203</v>
      </c>
      <c r="P699" s="12">
        <v>111720.840203</v>
      </c>
    </row>
    <row r="700" spans="1:16" ht="14.5" x14ac:dyDescent="0.25">
      <c r="A700" s="10">
        <v>45869</v>
      </c>
      <c r="B700" s="2" t="str">
        <f t="shared" si="22"/>
        <v>Jul-2025</v>
      </c>
      <c r="C700" s="2" t="str">
        <f t="shared" si="23"/>
        <v>Q2</v>
      </c>
      <c r="D700" s="2" t="s">
        <v>28</v>
      </c>
      <c r="E700" s="11" t="s">
        <v>208</v>
      </c>
      <c r="F700" s="11" t="s">
        <v>151</v>
      </c>
      <c r="G700" s="11" t="s">
        <v>503</v>
      </c>
      <c r="H700" s="11" t="s">
        <v>175</v>
      </c>
      <c r="I700" s="12">
        <v>4</v>
      </c>
      <c r="J700" s="12">
        <v>480</v>
      </c>
      <c r="K700" s="12">
        <v>71.239999999999995</v>
      </c>
      <c r="L700" s="12">
        <v>34195.199999999997</v>
      </c>
      <c r="M700" s="12">
        <v>0</v>
      </c>
      <c r="N700" s="12">
        <v>0</v>
      </c>
      <c r="O700" s="12">
        <v>4445.3760700000003</v>
      </c>
      <c r="P700" s="12">
        <v>38640.576070000003</v>
      </c>
    </row>
    <row r="701" spans="1:16" ht="14.5" x14ac:dyDescent="0.25">
      <c r="A701" s="10">
        <v>45869</v>
      </c>
      <c r="B701" s="2" t="str">
        <f t="shared" si="22"/>
        <v>Jul-2025</v>
      </c>
      <c r="C701" s="2" t="str">
        <f t="shared" si="23"/>
        <v>Q2</v>
      </c>
      <c r="D701" s="2" t="s">
        <v>28</v>
      </c>
      <c r="E701" s="11" t="s">
        <v>209</v>
      </c>
      <c r="F701" s="11" t="s">
        <v>151</v>
      </c>
      <c r="G701" s="11" t="s">
        <v>504</v>
      </c>
      <c r="H701" s="11" t="s">
        <v>53</v>
      </c>
      <c r="I701" s="12">
        <v>1</v>
      </c>
      <c r="J701" s="12">
        <v>100</v>
      </c>
      <c r="K701" s="12">
        <v>119</v>
      </c>
      <c r="L701" s="12">
        <v>11900.000000000002</v>
      </c>
      <c r="M701" s="12" t="s">
        <v>113</v>
      </c>
      <c r="N701" s="12" t="s">
        <v>113</v>
      </c>
      <c r="O701" s="12" t="s">
        <v>113</v>
      </c>
      <c r="P701" s="12">
        <v>11900</v>
      </c>
    </row>
    <row r="702" spans="1:16" ht="14.5" x14ac:dyDescent="0.25">
      <c r="A702" s="10">
        <v>45869</v>
      </c>
      <c r="B702" s="2" t="str">
        <f t="shared" si="22"/>
        <v>Jul-2025</v>
      </c>
      <c r="C702" s="2" t="str">
        <f t="shared" si="23"/>
        <v>Q2</v>
      </c>
      <c r="D702" s="2" t="s">
        <v>28</v>
      </c>
      <c r="E702" s="11" t="s">
        <v>209</v>
      </c>
      <c r="F702" s="11" t="s">
        <v>151</v>
      </c>
      <c r="G702" s="11" t="s">
        <v>504</v>
      </c>
      <c r="H702" s="11" t="s">
        <v>61</v>
      </c>
      <c r="I702" s="12">
        <v>0.5</v>
      </c>
      <c r="J702" s="12">
        <v>20</v>
      </c>
      <c r="K702" s="12">
        <v>283.5</v>
      </c>
      <c r="L702" s="12">
        <v>5670.0000000000009</v>
      </c>
      <c r="M702" s="12" t="s">
        <v>113</v>
      </c>
      <c r="N702" s="12" t="s">
        <v>113</v>
      </c>
      <c r="O702" s="12" t="s">
        <v>113</v>
      </c>
      <c r="P702" s="12">
        <v>5670</v>
      </c>
    </row>
    <row r="703" spans="1:16" ht="14.5" x14ac:dyDescent="0.25">
      <c r="A703" s="10">
        <v>45869</v>
      </c>
      <c r="B703" s="2" t="str">
        <f t="shared" si="22"/>
        <v>Jul-2025</v>
      </c>
      <c r="C703" s="2" t="str">
        <f t="shared" si="23"/>
        <v>Q2</v>
      </c>
      <c r="D703" s="2" t="s">
        <v>28</v>
      </c>
      <c r="E703" s="11" t="s">
        <v>210</v>
      </c>
      <c r="F703" s="11" t="s">
        <v>116</v>
      </c>
      <c r="G703" s="11" t="s">
        <v>505</v>
      </c>
      <c r="H703" s="11" t="s">
        <v>56</v>
      </c>
      <c r="I703" s="12">
        <v>0.25</v>
      </c>
      <c r="J703" s="12">
        <v>30</v>
      </c>
      <c r="K703" s="12">
        <v>0</v>
      </c>
      <c r="L703" s="12">
        <v>0</v>
      </c>
      <c r="M703" s="12" t="s">
        <v>113</v>
      </c>
      <c r="N703" s="12" t="s">
        <v>113</v>
      </c>
      <c r="O703" s="12" t="s">
        <v>113</v>
      </c>
      <c r="P703" s="12">
        <v>0</v>
      </c>
    </row>
    <row r="704" spans="1:16" ht="14.5" x14ac:dyDescent="0.25">
      <c r="A704" s="10">
        <v>45869</v>
      </c>
      <c r="B704" s="2" t="str">
        <f t="shared" si="22"/>
        <v>Jul-2025</v>
      </c>
      <c r="C704" s="2" t="str">
        <f t="shared" si="23"/>
        <v>Q2</v>
      </c>
      <c r="D704" s="2" t="s">
        <v>28</v>
      </c>
      <c r="E704" s="11" t="s">
        <v>210</v>
      </c>
      <c r="F704" s="11" t="s">
        <v>116</v>
      </c>
      <c r="G704" s="11" t="s">
        <v>507</v>
      </c>
      <c r="H704" s="11" t="s">
        <v>60</v>
      </c>
      <c r="I704" s="12">
        <v>0.33</v>
      </c>
      <c r="J704" s="12">
        <v>20</v>
      </c>
      <c r="K704" s="12">
        <v>0</v>
      </c>
      <c r="L704" s="12">
        <v>0</v>
      </c>
      <c r="M704" s="12" t="s">
        <v>113</v>
      </c>
      <c r="N704" s="12" t="s">
        <v>113</v>
      </c>
      <c r="O704" s="12" t="s">
        <v>113</v>
      </c>
      <c r="P704" s="12">
        <v>0</v>
      </c>
    </row>
    <row r="705" spans="1:16" ht="14.5" x14ac:dyDescent="0.25">
      <c r="A705" s="10">
        <v>45869</v>
      </c>
      <c r="B705" s="2" t="str">
        <f t="shared" si="22"/>
        <v>Jul-2025</v>
      </c>
      <c r="C705" s="2" t="str">
        <f t="shared" si="23"/>
        <v>Q2</v>
      </c>
      <c r="D705" s="2" t="s">
        <v>28</v>
      </c>
      <c r="E705" s="11" t="s">
        <v>210</v>
      </c>
      <c r="F705" s="11" t="s">
        <v>116</v>
      </c>
      <c r="G705" s="11" t="s">
        <v>503</v>
      </c>
      <c r="H705" s="11" t="s">
        <v>166</v>
      </c>
      <c r="I705" s="12">
        <v>1</v>
      </c>
      <c r="J705" s="12">
        <v>120</v>
      </c>
      <c r="K705" s="12">
        <v>64.23</v>
      </c>
      <c r="L705" s="12">
        <v>7707.5999999999995</v>
      </c>
      <c r="M705" s="12">
        <v>-700.62</v>
      </c>
      <c r="N705" s="12">
        <v>0</v>
      </c>
      <c r="O705" s="12">
        <v>910.91000000000008</v>
      </c>
      <c r="P705" s="12">
        <v>7917.89</v>
      </c>
    </row>
    <row r="706" spans="1:16" ht="14.5" x14ac:dyDescent="0.25">
      <c r="A706" s="10">
        <v>45869</v>
      </c>
      <c r="B706" s="2" t="str">
        <f t="shared" si="22"/>
        <v>Jul-2025</v>
      </c>
      <c r="C706" s="2" t="str">
        <f t="shared" si="23"/>
        <v>Q2</v>
      </c>
      <c r="D706" s="2" t="s">
        <v>28</v>
      </c>
      <c r="E706" s="11" t="s">
        <v>210</v>
      </c>
      <c r="F706" s="11" t="s">
        <v>116</v>
      </c>
      <c r="G706" s="11" t="s">
        <v>505</v>
      </c>
      <c r="H706" s="11" t="s">
        <v>43</v>
      </c>
      <c r="I706" s="12">
        <v>0.25</v>
      </c>
      <c r="J706" s="12">
        <v>10</v>
      </c>
      <c r="K706" s="12">
        <v>0</v>
      </c>
      <c r="L706" s="12">
        <v>0</v>
      </c>
      <c r="M706" s="12" t="s">
        <v>113</v>
      </c>
      <c r="N706" s="12" t="s">
        <v>113</v>
      </c>
      <c r="O706" s="12" t="s">
        <v>113</v>
      </c>
      <c r="P706" s="12">
        <v>0</v>
      </c>
    </row>
    <row r="707" spans="1:16" ht="14.5" x14ac:dyDescent="0.25">
      <c r="A707" s="10">
        <v>45869</v>
      </c>
      <c r="B707" s="2" t="str">
        <f t="shared" si="22"/>
        <v>Jul-2025</v>
      </c>
      <c r="C707" s="2" t="str">
        <f t="shared" si="23"/>
        <v>Q2</v>
      </c>
      <c r="D707" s="2" t="s">
        <v>28</v>
      </c>
      <c r="E707" s="11" t="s">
        <v>210</v>
      </c>
      <c r="F707" s="11" t="s">
        <v>116</v>
      </c>
      <c r="G707" s="11" t="s">
        <v>504</v>
      </c>
      <c r="H707" s="11" t="s">
        <v>53</v>
      </c>
      <c r="I707" s="12">
        <v>0.25</v>
      </c>
      <c r="J707" s="12">
        <v>25</v>
      </c>
      <c r="K707" s="12">
        <v>0</v>
      </c>
      <c r="L707" s="12">
        <v>0</v>
      </c>
      <c r="M707" s="12" t="s">
        <v>113</v>
      </c>
      <c r="N707" s="12" t="s">
        <v>113</v>
      </c>
      <c r="O707" s="12" t="s">
        <v>113</v>
      </c>
      <c r="P707" s="12">
        <v>0</v>
      </c>
    </row>
    <row r="708" spans="1:16" ht="14.5" x14ac:dyDescent="0.25">
      <c r="A708" s="10">
        <v>45869</v>
      </c>
      <c r="B708" s="2" t="str">
        <f t="shared" si="22"/>
        <v>Jul-2025</v>
      </c>
      <c r="C708" s="2" t="str">
        <f t="shared" si="23"/>
        <v>Q2</v>
      </c>
      <c r="D708" s="2" t="s">
        <v>28</v>
      </c>
      <c r="E708" s="11" t="s">
        <v>210</v>
      </c>
      <c r="F708" s="11" t="s">
        <v>116</v>
      </c>
      <c r="G708" s="11" t="s">
        <v>503</v>
      </c>
      <c r="H708" s="11" t="s">
        <v>46</v>
      </c>
      <c r="I708" s="12">
        <v>0.17</v>
      </c>
      <c r="J708" s="12">
        <v>20</v>
      </c>
      <c r="K708" s="12">
        <v>0</v>
      </c>
      <c r="L708" s="12">
        <v>0</v>
      </c>
      <c r="M708" s="12" t="s">
        <v>113</v>
      </c>
      <c r="N708" s="12" t="s">
        <v>113</v>
      </c>
      <c r="O708" s="12" t="s">
        <v>113</v>
      </c>
      <c r="P708" s="12">
        <v>0</v>
      </c>
    </row>
    <row r="709" spans="1:16" ht="14.5" x14ac:dyDescent="0.25">
      <c r="A709" s="10">
        <v>45869</v>
      </c>
      <c r="B709" s="2" t="str">
        <f t="shared" si="22"/>
        <v>Jul-2025</v>
      </c>
      <c r="C709" s="2" t="str">
        <f t="shared" si="23"/>
        <v>Q2</v>
      </c>
      <c r="D709" s="2" t="s">
        <v>28</v>
      </c>
      <c r="E709" s="11" t="s">
        <v>210</v>
      </c>
      <c r="F709" s="11" t="s">
        <v>116</v>
      </c>
      <c r="G709" s="11" t="s">
        <v>503</v>
      </c>
      <c r="H709" s="11" t="s">
        <v>47</v>
      </c>
      <c r="I709" s="12">
        <v>0.17</v>
      </c>
      <c r="J709" s="12">
        <v>20</v>
      </c>
      <c r="K709" s="12">
        <v>0</v>
      </c>
      <c r="L709" s="12">
        <v>0</v>
      </c>
      <c r="M709" s="12" t="s">
        <v>113</v>
      </c>
      <c r="N709" s="12" t="s">
        <v>113</v>
      </c>
      <c r="O709" s="12" t="s">
        <v>113</v>
      </c>
      <c r="P709" s="12">
        <v>0</v>
      </c>
    </row>
    <row r="710" spans="1:16" ht="14.5" x14ac:dyDescent="0.25">
      <c r="A710" s="10">
        <v>45870</v>
      </c>
      <c r="B710" s="2" t="str">
        <f t="shared" si="22"/>
        <v>Aug-2025</v>
      </c>
      <c r="C710" s="2" t="str">
        <f t="shared" si="23"/>
        <v>Q2</v>
      </c>
      <c r="D710" s="2" t="s">
        <v>28</v>
      </c>
      <c r="E710" s="11" t="s">
        <v>211</v>
      </c>
      <c r="F710" s="11" t="s">
        <v>104</v>
      </c>
      <c r="G710" s="11" t="s">
        <v>503</v>
      </c>
      <c r="H710" s="11" t="s">
        <v>51</v>
      </c>
      <c r="I710" s="12">
        <v>0.06</v>
      </c>
      <c r="J710" s="12">
        <v>10</v>
      </c>
      <c r="K710" s="12">
        <v>67.260000000000005</v>
      </c>
      <c r="L710" s="12">
        <v>672.6</v>
      </c>
      <c r="M710" s="12">
        <v>0</v>
      </c>
      <c r="N710" s="12">
        <v>0</v>
      </c>
      <c r="O710" s="12">
        <v>87.438614999999999</v>
      </c>
      <c r="P710" s="12">
        <v>760.03861500000005</v>
      </c>
    </row>
    <row r="711" spans="1:16" ht="14.5" x14ac:dyDescent="0.25">
      <c r="A711" s="10">
        <v>45870</v>
      </c>
      <c r="B711" s="2" t="str">
        <f t="shared" si="22"/>
        <v>Aug-2025</v>
      </c>
      <c r="C711" s="2" t="str">
        <f t="shared" si="23"/>
        <v>Q2</v>
      </c>
      <c r="D711" s="2" t="s">
        <v>28</v>
      </c>
      <c r="E711" s="11" t="s">
        <v>211</v>
      </c>
      <c r="F711" s="11" t="s">
        <v>104</v>
      </c>
      <c r="G711" s="11" t="s">
        <v>506</v>
      </c>
      <c r="H711" s="11" t="s">
        <v>39</v>
      </c>
      <c r="I711" s="12">
        <v>0.14000000000000001</v>
      </c>
      <c r="J711" s="12">
        <v>10</v>
      </c>
      <c r="K711" s="12">
        <v>138.05000000000001</v>
      </c>
      <c r="L711" s="12">
        <v>1380.4999999999998</v>
      </c>
      <c r="M711" s="12">
        <v>0</v>
      </c>
      <c r="N711" s="12">
        <v>0</v>
      </c>
      <c r="O711" s="12">
        <v>179.466263</v>
      </c>
      <c r="P711" s="12">
        <v>1559.966263</v>
      </c>
    </row>
    <row r="712" spans="1:16" ht="14.5" x14ac:dyDescent="0.25">
      <c r="A712" s="10">
        <v>45870</v>
      </c>
      <c r="B712" s="2" t="str">
        <f t="shared" si="22"/>
        <v>Aug-2025</v>
      </c>
      <c r="C712" s="2" t="str">
        <f t="shared" si="23"/>
        <v>Q2</v>
      </c>
      <c r="D712" s="2" t="s">
        <v>28</v>
      </c>
      <c r="E712" s="11" t="s">
        <v>211</v>
      </c>
      <c r="F712" s="11" t="s">
        <v>104</v>
      </c>
      <c r="G712" s="11" t="s">
        <v>503</v>
      </c>
      <c r="H712" s="11" t="s">
        <v>57</v>
      </c>
      <c r="I712" s="12">
        <v>0.09</v>
      </c>
      <c r="J712" s="12">
        <v>16</v>
      </c>
      <c r="K712" s="12">
        <v>127.43</v>
      </c>
      <c r="L712" s="12">
        <v>2038.88</v>
      </c>
      <c r="M712" s="12">
        <v>0</v>
      </c>
      <c r="N712" s="12">
        <v>0</v>
      </c>
      <c r="O712" s="12">
        <v>265.056265</v>
      </c>
      <c r="P712" s="12">
        <v>2303.9362649999998</v>
      </c>
    </row>
    <row r="713" spans="1:16" ht="14.5" x14ac:dyDescent="0.25">
      <c r="A713" s="10">
        <v>45870</v>
      </c>
      <c r="B713" s="2" t="str">
        <f t="shared" si="22"/>
        <v>Aug-2025</v>
      </c>
      <c r="C713" s="2" t="str">
        <f t="shared" si="23"/>
        <v>Q2</v>
      </c>
      <c r="D713" s="2" t="s">
        <v>28</v>
      </c>
      <c r="E713" s="11" t="s">
        <v>211</v>
      </c>
      <c r="F713" s="11" t="s">
        <v>104</v>
      </c>
      <c r="G713" s="11" t="s">
        <v>503</v>
      </c>
      <c r="H713" s="11" t="s">
        <v>52</v>
      </c>
      <c r="I713" s="12">
        <v>7.0000000000000007E-2</v>
      </c>
      <c r="J713" s="12">
        <v>12</v>
      </c>
      <c r="K713" s="12">
        <v>74.34</v>
      </c>
      <c r="L713" s="12">
        <v>892.08</v>
      </c>
      <c r="M713" s="12">
        <v>0</v>
      </c>
      <c r="N713" s="12">
        <v>0</v>
      </c>
      <c r="O713" s="12">
        <v>115.971216</v>
      </c>
      <c r="P713" s="12">
        <v>1008.051216</v>
      </c>
    </row>
    <row r="714" spans="1:16" ht="14.5" x14ac:dyDescent="0.25">
      <c r="A714" s="10">
        <v>45870</v>
      </c>
      <c r="B714" s="2" t="str">
        <f t="shared" si="22"/>
        <v>Aug-2025</v>
      </c>
      <c r="C714" s="2" t="str">
        <f t="shared" si="23"/>
        <v>Q2</v>
      </c>
      <c r="D714" s="2" t="s">
        <v>28</v>
      </c>
      <c r="E714" s="11" t="s">
        <v>211</v>
      </c>
      <c r="F714" s="11" t="s">
        <v>104</v>
      </c>
      <c r="G714" s="11" t="s">
        <v>507</v>
      </c>
      <c r="H714" s="11" t="s">
        <v>90</v>
      </c>
      <c r="I714" s="12">
        <v>7.0000000000000007E-2</v>
      </c>
      <c r="J714" s="12">
        <v>8</v>
      </c>
      <c r="K714" s="12">
        <v>60.18</v>
      </c>
      <c r="L714" s="12">
        <v>481.44</v>
      </c>
      <c r="M714" s="12">
        <v>0</v>
      </c>
      <c r="N714" s="12">
        <v>0</v>
      </c>
      <c r="O714" s="12">
        <v>62.58764</v>
      </c>
      <c r="P714" s="12">
        <v>544.02764000000002</v>
      </c>
    </row>
    <row r="715" spans="1:16" ht="14.5" x14ac:dyDescent="0.25">
      <c r="A715" s="10">
        <v>45873</v>
      </c>
      <c r="B715" s="2" t="str">
        <f t="shared" si="22"/>
        <v>Aug-2025</v>
      </c>
      <c r="C715" s="2" t="str">
        <f t="shared" si="23"/>
        <v>Q2</v>
      </c>
      <c r="D715" s="2" t="s">
        <v>28</v>
      </c>
      <c r="E715" s="11" t="s">
        <v>212</v>
      </c>
      <c r="F715" s="11" t="s">
        <v>17</v>
      </c>
      <c r="G715" s="11" t="s">
        <v>503</v>
      </c>
      <c r="H715" s="11" t="s">
        <v>52</v>
      </c>
      <c r="I715" s="12">
        <v>1</v>
      </c>
      <c r="J715" s="12">
        <v>180</v>
      </c>
      <c r="K715" s="12">
        <v>70.989999999999995</v>
      </c>
      <c r="L715" s="12">
        <v>12778.2</v>
      </c>
      <c r="M715" s="12">
        <v>-1161.54</v>
      </c>
      <c r="N715" s="12">
        <v>0</v>
      </c>
      <c r="O715" s="12">
        <v>1510.1650079999999</v>
      </c>
      <c r="P715" s="12">
        <v>13126.825008</v>
      </c>
    </row>
    <row r="716" spans="1:16" ht="14.5" x14ac:dyDescent="0.25">
      <c r="A716" s="10">
        <v>45873</v>
      </c>
      <c r="B716" s="2" t="str">
        <f t="shared" si="22"/>
        <v>Aug-2025</v>
      </c>
      <c r="C716" s="2" t="str">
        <f t="shared" si="23"/>
        <v>Q2</v>
      </c>
      <c r="D716" s="2" t="s">
        <v>28</v>
      </c>
      <c r="E716" s="11" t="s">
        <v>212</v>
      </c>
      <c r="F716" s="11" t="s">
        <v>17</v>
      </c>
      <c r="G716" s="11" t="s">
        <v>503</v>
      </c>
      <c r="H716" s="11" t="s">
        <v>190</v>
      </c>
      <c r="I716" s="12">
        <v>1</v>
      </c>
      <c r="J716" s="12">
        <v>180</v>
      </c>
      <c r="K716" s="12">
        <v>84.51</v>
      </c>
      <c r="L716" s="12">
        <v>15211.800000000001</v>
      </c>
      <c r="M716" s="12">
        <v>-1382.75</v>
      </c>
      <c r="N716" s="12">
        <v>0</v>
      </c>
      <c r="O716" s="12">
        <v>1797.775558</v>
      </c>
      <c r="P716" s="12">
        <v>15626.825558</v>
      </c>
    </row>
    <row r="717" spans="1:16" ht="14.5" x14ac:dyDescent="0.25">
      <c r="A717" s="10">
        <v>45873</v>
      </c>
      <c r="B717" s="2" t="str">
        <f t="shared" si="22"/>
        <v>Aug-2025</v>
      </c>
      <c r="C717" s="2" t="str">
        <f t="shared" si="23"/>
        <v>Q2</v>
      </c>
      <c r="D717" s="2" t="s">
        <v>28</v>
      </c>
      <c r="E717" s="11" t="s">
        <v>212</v>
      </c>
      <c r="F717" s="11" t="s">
        <v>17</v>
      </c>
      <c r="G717" s="11" t="s">
        <v>503</v>
      </c>
      <c r="H717" s="11" t="s">
        <v>41</v>
      </c>
      <c r="I717" s="12">
        <v>1</v>
      </c>
      <c r="J717" s="12">
        <v>180</v>
      </c>
      <c r="K717" s="12">
        <v>60.84</v>
      </c>
      <c r="L717" s="12">
        <v>10951.199999999999</v>
      </c>
      <c r="M717" s="12">
        <v>-995.46</v>
      </c>
      <c r="N717" s="12">
        <v>0</v>
      </c>
      <c r="O717" s="12">
        <v>1294.2455220000002</v>
      </c>
      <c r="P717" s="12">
        <v>11249.985522000001</v>
      </c>
    </row>
    <row r="718" spans="1:16" ht="14.5" x14ac:dyDescent="0.25">
      <c r="A718" s="10">
        <v>45873</v>
      </c>
      <c r="B718" s="2" t="str">
        <f t="shared" si="22"/>
        <v>Aug-2025</v>
      </c>
      <c r="C718" s="2" t="str">
        <f t="shared" si="23"/>
        <v>Q2</v>
      </c>
      <c r="D718" s="2" t="s">
        <v>28</v>
      </c>
      <c r="E718" s="11" t="s">
        <v>212</v>
      </c>
      <c r="F718" s="11" t="s">
        <v>17</v>
      </c>
      <c r="G718" s="11" t="s">
        <v>503</v>
      </c>
      <c r="H718" s="11" t="s">
        <v>59</v>
      </c>
      <c r="I718" s="12">
        <v>1</v>
      </c>
      <c r="J718" s="12">
        <v>180</v>
      </c>
      <c r="K718" s="12">
        <v>64.23</v>
      </c>
      <c r="L718" s="12">
        <v>11561.4</v>
      </c>
      <c r="M718" s="12">
        <v>-1050.9299999999998</v>
      </c>
      <c r="N718" s="12">
        <v>0</v>
      </c>
      <c r="O718" s="12">
        <v>1366.3603840000001</v>
      </c>
      <c r="P718" s="12">
        <v>11876.830384000001</v>
      </c>
    </row>
    <row r="719" spans="1:16" ht="14.5" x14ac:dyDescent="0.25">
      <c r="A719" s="10">
        <v>45873</v>
      </c>
      <c r="B719" s="2" t="str">
        <f t="shared" si="22"/>
        <v>Aug-2025</v>
      </c>
      <c r="C719" s="2" t="str">
        <f t="shared" si="23"/>
        <v>Q2</v>
      </c>
      <c r="D719" s="2" t="s">
        <v>28</v>
      </c>
      <c r="E719" s="11" t="s">
        <v>212</v>
      </c>
      <c r="F719" s="11" t="s">
        <v>17</v>
      </c>
      <c r="G719" s="11" t="s">
        <v>505</v>
      </c>
      <c r="H719" s="11" t="s">
        <v>40</v>
      </c>
      <c r="I719" s="12">
        <v>1</v>
      </c>
      <c r="J719" s="12">
        <v>180</v>
      </c>
      <c r="K719" s="12">
        <v>94.65</v>
      </c>
      <c r="L719" s="12">
        <v>17037</v>
      </c>
      <c r="M719" s="12">
        <v>-1548.6599999999999</v>
      </c>
      <c r="N719" s="12">
        <v>0</v>
      </c>
      <c r="O719" s="12">
        <v>2013.4831449999999</v>
      </c>
      <c r="P719" s="12">
        <v>17501.823144999998</v>
      </c>
    </row>
    <row r="720" spans="1:16" ht="14.5" x14ac:dyDescent="0.25">
      <c r="A720" s="10">
        <v>45873</v>
      </c>
      <c r="B720" s="2" t="str">
        <f t="shared" si="22"/>
        <v>Aug-2025</v>
      </c>
      <c r="C720" s="2" t="str">
        <f t="shared" si="23"/>
        <v>Q2</v>
      </c>
      <c r="D720" s="2" t="s">
        <v>28</v>
      </c>
      <c r="E720" s="11" t="s">
        <v>212</v>
      </c>
      <c r="F720" s="11" t="s">
        <v>17</v>
      </c>
      <c r="G720" s="11" t="s">
        <v>503</v>
      </c>
      <c r="H720" s="11" t="s">
        <v>45</v>
      </c>
      <c r="I720" s="12">
        <v>1</v>
      </c>
      <c r="J720" s="12">
        <v>180</v>
      </c>
      <c r="K720" s="12">
        <v>64.23</v>
      </c>
      <c r="L720" s="12">
        <v>11561.4</v>
      </c>
      <c r="M720" s="12">
        <v>-1050.9299999999998</v>
      </c>
      <c r="N720" s="12">
        <v>0</v>
      </c>
      <c r="O720" s="12">
        <v>1366.3603840000001</v>
      </c>
      <c r="P720" s="12">
        <v>11876.830384000001</v>
      </c>
    </row>
    <row r="721" spans="1:16" ht="14.5" x14ac:dyDescent="0.25">
      <c r="A721" s="10">
        <v>45876</v>
      </c>
      <c r="B721" s="2" t="str">
        <f t="shared" si="22"/>
        <v>Aug-2025</v>
      </c>
      <c r="C721" s="2" t="str">
        <f t="shared" si="23"/>
        <v>Q2</v>
      </c>
      <c r="D721" s="2" t="s">
        <v>28</v>
      </c>
      <c r="E721" s="11" t="s">
        <v>213</v>
      </c>
      <c r="F721" s="11" t="s">
        <v>18</v>
      </c>
      <c r="G721" s="11" t="s">
        <v>503</v>
      </c>
      <c r="H721" s="11" t="s">
        <v>190</v>
      </c>
      <c r="I721" s="12">
        <v>1</v>
      </c>
      <c r="J721" s="12">
        <v>180</v>
      </c>
      <c r="K721" s="12">
        <v>84.51</v>
      </c>
      <c r="L721" s="12">
        <v>15211.800000000001</v>
      </c>
      <c r="M721" s="12">
        <v>-1382.75</v>
      </c>
      <c r="N721" s="12">
        <v>0</v>
      </c>
      <c r="O721" s="12">
        <v>1797.7768739999999</v>
      </c>
      <c r="P721" s="12">
        <v>15626.826874</v>
      </c>
    </row>
    <row r="722" spans="1:16" ht="14.5" x14ac:dyDescent="0.25">
      <c r="A722" s="10">
        <v>45876</v>
      </c>
      <c r="B722" s="2" t="str">
        <f t="shared" si="22"/>
        <v>Aug-2025</v>
      </c>
      <c r="C722" s="2" t="str">
        <f t="shared" si="23"/>
        <v>Q2</v>
      </c>
      <c r="D722" s="2" t="s">
        <v>28</v>
      </c>
      <c r="E722" s="11" t="s">
        <v>213</v>
      </c>
      <c r="F722" s="11" t="s">
        <v>18</v>
      </c>
      <c r="G722" s="11" t="s">
        <v>505</v>
      </c>
      <c r="H722" s="11" t="s">
        <v>40</v>
      </c>
      <c r="I722" s="12">
        <v>2</v>
      </c>
      <c r="J722" s="12">
        <v>360</v>
      </c>
      <c r="K722" s="12">
        <v>94.65</v>
      </c>
      <c r="L722" s="12">
        <v>34074</v>
      </c>
      <c r="M722" s="12">
        <v>-3097.3300000000004</v>
      </c>
      <c r="N722" s="12">
        <v>0</v>
      </c>
      <c r="O722" s="12">
        <v>4026.9679379999998</v>
      </c>
      <c r="P722" s="12">
        <v>35003.637938</v>
      </c>
    </row>
    <row r="723" spans="1:16" ht="14.5" x14ac:dyDescent="0.25">
      <c r="A723" s="10">
        <v>45876</v>
      </c>
      <c r="B723" s="2" t="str">
        <f t="shared" si="22"/>
        <v>Aug-2025</v>
      </c>
      <c r="C723" s="2" t="str">
        <f t="shared" si="23"/>
        <v>Q2</v>
      </c>
      <c r="D723" s="2" t="s">
        <v>28</v>
      </c>
      <c r="E723" s="11" t="s">
        <v>213</v>
      </c>
      <c r="F723" s="11" t="s">
        <v>18</v>
      </c>
      <c r="G723" s="11" t="s">
        <v>505</v>
      </c>
      <c r="H723" s="11" t="s">
        <v>167</v>
      </c>
      <c r="I723" s="12">
        <v>1</v>
      </c>
      <c r="J723" s="12">
        <v>180</v>
      </c>
      <c r="K723" s="12">
        <v>91.27</v>
      </c>
      <c r="L723" s="12">
        <v>16428.599999999999</v>
      </c>
      <c r="M723" s="12">
        <v>-1493.36</v>
      </c>
      <c r="N723" s="12">
        <v>0</v>
      </c>
      <c r="O723" s="12">
        <v>1941.5816040000002</v>
      </c>
      <c r="P723" s="12">
        <v>16876.821604000001</v>
      </c>
    </row>
    <row r="724" spans="1:16" ht="14.5" x14ac:dyDescent="0.25">
      <c r="A724" s="10">
        <v>45876</v>
      </c>
      <c r="B724" s="2" t="str">
        <f t="shared" si="22"/>
        <v>Aug-2025</v>
      </c>
      <c r="C724" s="2" t="str">
        <f t="shared" si="23"/>
        <v>Q2</v>
      </c>
      <c r="D724" s="2" t="s">
        <v>28</v>
      </c>
      <c r="E724" s="11" t="s">
        <v>213</v>
      </c>
      <c r="F724" s="11" t="s">
        <v>18</v>
      </c>
      <c r="G724" s="11" t="s">
        <v>503</v>
      </c>
      <c r="H724" s="11" t="s">
        <v>59</v>
      </c>
      <c r="I724" s="12">
        <v>2</v>
      </c>
      <c r="J724" s="12">
        <v>360</v>
      </c>
      <c r="K724" s="12">
        <v>64.23</v>
      </c>
      <c r="L724" s="12">
        <v>23122.799999999999</v>
      </c>
      <c r="M724" s="12">
        <v>-2101.8599999999997</v>
      </c>
      <c r="N724" s="12">
        <v>0</v>
      </c>
      <c r="O724" s="12">
        <v>2732.722769</v>
      </c>
      <c r="P724" s="12">
        <v>23753.662768999999</v>
      </c>
    </row>
    <row r="725" spans="1:16" ht="14.5" x14ac:dyDescent="0.25">
      <c r="A725" s="10">
        <v>45876</v>
      </c>
      <c r="B725" s="2" t="str">
        <f t="shared" si="22"/>
        <v>Aug-2025</v>
      </c>
      <c r="C725" s="2" t="str">
        <f t="shared" si="23"/>
        <v>Q2</v>
      </c>
      <c r="D725" s="2" t="s">
        <v>28</v>
      </c>
      <c r="E725" s="11" t="s">
        <v>213</v>
      </c>
      <c r="F725" s="11" t="s">
        <v>18</v>
      </c>
      <c r="G725" s="11" t="s">
        <v>503</v>
      </c>
      <c r="H725" s="11" t="s">
        <v>45</v>
      </c>
      <c r="I725" s="12">
        <v>2</v>
      </c>
      <c r="J725" s="12">
        <v>360</v>
      </c>
      <c r="K725" s="12">
        <v>64.23</v>
      </c>
      <c r="L725" s="12">
        <v>23122.799999999999</v>
      </c>
      <c r="M725" s="12">
        <v>-2101.8599999999997</v>
      </c>
      <c r="N725" s="12">
        <v>0</v>
      </c>
      <c r="O725" s="12">
        <v>2732.722769</v>
      </c>
      <c r="P725" s="12">
        <v>23753.662768999999</v>
      </c>
    </row>
    <row r="726" spans="1:16" ht="14.5" x14ac:dyDescent="0.25">
      <c r="A726" s="10">
        <v>45876</v>
      </c>
      <c r="B726" s="2" t="str">
        <f t="shared" si="22"/>
        <v>Aug-2025</v>
      </c>
      <c r="C726" s="2" t="str">
        <f t="shared" si="23"/>
        <v>Q2</v>
      </c>
      <c r="D726" s="2" t="s">
        <v>28</v>
      </c>
      <c r="E726" s="11" t="s">
        <v>213</v>
      </c>
      <c r="F726" s="11" t="s">
        <v>18</v>
      </c>
      <c r="G726" s="11" t="s">
        <v>503</v>
      </c>
      <c r="H726" s="11" t="s">
        <v>41</v>
      </c>
      <c r="I726" s="12">
        <v>1</v>
      </c>
      <c r="J726" s="12">
        <v>180</v>
      </c>
      <c r="K726" s="12">
        <v>60.84</v>
      </c>
      <c r="L726" s="12">
        <v>10951.199999999999</v>
      </c>
      <c r="M726" s="12">
        <v>-995.46</v>
      </c>
      <c r="N726" s="12">
        <v>0</v>
      </c>
      <c r="O726" s="12">
        <v>1294.2464689999999</v>
      </c>
      <c r="P726" s="12">
        <v>11249.986468999999</v>
      </c>
    </row>
    <row r="727" spans="1:16" ht="14.5" x14ac:dyDescent="0.25">
      <c r="A727" s="10">
        <v>45876</v>
      </c>
      <c r="B727" s="2" t="str">
        <f t="shared" si="22"/>
        <v>Aug-2025</v>
      </c>
      <c r="C727" s="2" t="str">
        <f t="shared" si="23"/>
        <v>Q2</v>
      </c>
      <c r="D727" s="2" t="s">
        <v>28</v>
      </c>
      <c r="E727" s="11" t="s">
        <v>213</v>
      </c>
      <c r="F727" s="11" t="s">
        <v>18</v>
      </c>
      <c r="G727" s="11" t="s">
        <v>503</v>
      </c>
      <c r="H727" s="11" t="s">
        <v>172</v>
      </c>
      <c r="I727" s="12">
        <v>1</v>
      </c>
      <c r="J727" s="12">
        <v>180</v>
      </c>
      <c r="K727" s="12">
        <v>101.41</v>
      </c>
      <c r="L727" s="12">
        <v>18253.8</v>
      </c>
      <c r="M727" s="12">
        <v>-1659.27</v>
      </c>
      <c r="N727" s="12">
        <v>0</v>
      </c>
      <c r="O727" s="12">
        <v>2157.2893490000001</v>
      </c>
      <c r="P727" s="12">
        <v>18751.819349000001</v>
      </c>
    </row>
    <row r="728" spans="1:16" ht="14.5" x14ac:dyDescent="0.25">
      <c r="A728" s="10">
        <v>45876</v>
      </c>
      <c r="B728" s="2" t="str">
        <f t="shared" si="22"/>
        <v>Aug-2025</v>
      </c>
      <c r="C728" s="2" t="str">
        <f t="shared" si="23"/>
        <v>Q2</v>
      </c>
      <c r="D728" s="2" t="s">
        <v>28</v>
      </c>
      <c r="E728" s="11" t="s">
        <v>213</v>
      </c>
      <c r="F728" s="11" t="s">
        <v>18</v>
      </c>
      <c r="G728" s="11" t="s">
        <v>503</v>
      </c>
      <c r="H728" s="11" t="s">
        <v>52</v>
      </c>
      <c r="I728" s="12">
        <v>2</v>
      </c>
      <c r="J728" s="12">
        <v>360</v>
      </c>
      <c r="K728" s="12">
        <v>70.989999999999995</v>
      </c>
      <c r="L728" s="12">
        <v>25556.400000000001</v>
      </c>
      <c r="M728" s="12">
        <v>-2323.08</v>
      </c>
      <c r="N728" s="12">
        <v>0</v>
      </c>
      <c r="O728" s="12">
        <v>3020.3322279999998</v>
      </c>
      <c r="P728" s="12">
        <v>26253.652227999999</v>
      </c>
    </row>
    <row r="729" spans="1:16" ht="14.5" x14ac:dyDescent="0.25">
      <c r="A729" s="10">
        <v>45877</v>
      </c>
      <c r="B729" s="2" t="str">
        <f t="shared" si="22"/>
        <v>Aug-2025</v>
      </c>
      <c r="C729" s="2" t="str">
        <f t="shared" si="23"/>
        <v>Q2</v>
      </c>
      <c r="D729" s="2" t="s">
        <v>28</v>
      </c>
      <c r="E729" s="11" t="s">
        <v>214</v>
      </c>
      <c r="F729" s="11" t="s">
        <v>151</v>
      </c>
      <c r="G729" s="11" t="s">
        <v>503</v>
      </c>
      <c r="H729" s="11" t="s">
        <v>177</v>
      </c>
      <c r="I729" s="12">
        <v>4.67</v>
      </c>
      <c r="J729" s="12">
        <v>560</v>
      </c>
      <c r="K729" s="12">
        <v>86.73</v>
      </c>
      <c r="L729" s="12">
        <v>48568.799999999996</v>
      </c>
      <c r="M729" s="12">
        <v>0</v>
      </c>
      <c r="N729" s="12">
        <v>0</v>
      </c>
      <c r="O729" s="12">
        <v>6313.9440179999992</v>
      </c>
      <c r="P729" s="12">
        <v>54882.744017999998</v>
      </c>
    </row>
    <row r="730" spans="1:16" ht="14.5" x14ac:dyDescent="0.25">
      <c r="A730" s="10">
        <v>45877</v>
      </c>
      <c r="B730" s="2" t="str">
        <f t="shared" si="22"/>
        <v>Aug-2025</v>
      </c>
      <c r="C730" s="2" t="str">
        <f t="shared" si="23"/>
        <v>Q2</v>
      </c>
      <c r="D730" s="2" t="s">
        <v>28</v>
      </c>
      <c r="E730" s="11" t="s">
        <v>214</v>
      </c>
      <c r="F730" s="11" t="s">
        <v>151</v>
      </c>
      <c r="G730" s="11" t="s">
        <v>503</v>
      </c>
      <c r="H730" s="11" t="s">
        <v>179</v>
      </c>
      <c r="I730" s="12">
        <v>3.11</v>
      </c>
      <c r="J730" s="12">
        <v>560</v>
      </c>
      <c r="K730" s="12">
        <v>117.7</v>
      </c>
      <c r="L730" s="12">
        <v>65912</v>
      </c>
      <c r="M730" s="12">
        <v>0</v>
      </c>
      <c r="N730" s="12">
        <v>0</v>
      </c>
      <c r="O730" s="12">
        <v>8568.5600240000003</v>
      </c>
      <c r="P730" s="12">
        <v>74480.560024000006</v>
      </c>
    </row>
    <row r="731" spans="1:16" ht="14.5" x14ac:dyDescent="0.25">
      <c r="A731" s="10">
        <v>45877</v>
      </c>
      <c r="B731" s="2" t="str">
        <f t="shared" si="22"/>
        <v>Aug-2025</v>
      </c>
      <c r="C731" s="2" t="str">
        <f t="shared" si="23"/>
        <v>Q2</v>
      </c>
      <c r="D731" s="2" t="s">
        <v>28</v>
      </c>
      <c r="E731" s="11" t="s">
        <v>214</v>
      </c>
      <c r="F731" s="11" t="s">
        <v>151</v>
      </c>
      <c r="G731" s="11" t="s">
        <v>508</v>
      </c>
      <c r="H731" s="11" t="s">
        <v>178</v>
      </c>
      <c r="I731" s="12">
        <v>3.83</v>
      </c>
      <c r="J731" s="12">
        <v>230</v>
      </c>
      <c r="K731" s="12">
        <v>136.28</v>
      </c>
      <c r="L731" s="12">
        <v>31344.400000000001</v>
      </c>
      <c r="M731" s="12">
        <v>0</v>
      </c>
      <c r="N731" s="12">
        <v>0</v>
      </c>
      <c r="O731" s="12">
        <v>4074.772011</v>
      </c>
      <c r="P731" s="12">
        <v>35419.172011000002</v>
      </c>
    </row>
    <row r="732" spans="1:16" ht="14.5" x14ac:dyDescent="0.25">
      <c r="A732" s="10">
        <v>45877</v>
      </c>
      <c r="B732" s="2" t="str">
        <f t="shared" si="22"/>
        <v>Aug-2025</v>
      </c>
      <c r="C732" s="2" t="str">
        <f t="shared" si="23"/>
        <v>Q2</v>
      </c>
      <c r="D732" s="2" t="s">
        <v>28</v>
      </c>
      <c r="E732" s="11" t="s">
        <v>214</v>
      </c>
      <c r="F732" s="11" t="s">
        <v>151</v>
      </c>
      <c r="G732" s="11" t="s">
        <v>505</v>
      </c>
      <c r="H732" s="11" t="s">
        <v>40</v>
      </c>
      <c r="I732" s="12">
        <v>7</v>
      </c>
      <c r="J732" s="12">
        <v>1260</v>
      </c>
      <c r="K732" s="12">
        <v>86.73</v>
      </c>
      <c r="L732" s="12">
        <v>109279.79999999999</v>
      </c>
      <c r="M732" s="12">
        <v>0</v>
      </c>
      <c r="N732" s="12">
        <v>0</v>
      </c>
      <c r="O732" s="12">
        <v>14206.374040000001</v>
      </c>
      <c r="P732" s="12">
        <v>123486.17404</v>
      </c>
    </row>
    <row r="733" spans="1:16" ht="14.5" x14ac:dyDescent="0.25">
      <c r="A733" s="10">
        <v>45877</v>
      </c>
      <c r="B733" s="2" t="str">
        <f t="shared" si="22"/>
        <v>Aug-2025</v>
      </c>
      <c r="C733" s="2" t="str">
        <f t="shared" si="23"/>
        <v>Q2</v>
      </c>
      <c r="D733" s="2" t="s">
        <v>28</v>
      </c>
      <c r="E733" s="11" t="s">
        <v>214</v>
      </c>
      <c r="F733" s="11" t="s">
        <v>151</v>
      </c>
      <c r="G733" s="11" t="s">
        <v>505</v>
      </c>
      <c r="H733" s="11" t="s">
        <v>167</v>
      </c>
      <c r="I733" s="12">
        <v>1.56</v>
      </c>
      <c r="J733" s="12">
        <v>280</v>
      </c>
      <c r="K733" s="12">
        <v>83.63</v>
      </c>
      <c r="L733" s="12">
        <v>23416.399999999998</v>
      </c>
      <c r="M733" s="12">
        <v>0</v>
      </c>
      <c r="N733" s="12">
        <v>0</v>
      </c>
      <c r="O733" s="12">
        <v>3044.1320089999999</v>
      </c>
      <c r="P733" s="12">
        <v>26460.532008999999</v>
      </c>
    </row>
    <row r="734" spans="1:16" ht="14.5" x14ac:dyDescent="0.25">
      <c r="A734" s="10">
        <v>45877</v>
      </c>
      <c r="B734" s="2" t="str">
        <f t="shared" si="22"/>
        <v>Aug-2025</v>
      </c>
      <c r="C734" s="2" t="str">
        <f t="shared" si="23"/>
        <v>Q2</v>
      </c>
      <c r="D734" s="2" t="s">
        <v>28</v>
      </c>
      <c r="E734" s="11" t="s">
        <v>214</v>
      </c>
      <c r="F734" s="11" t="s">
        <v>151</v>
      </c>
      <c r="G734" s="11" t="s">
        <v>503</v>
      </c>
      <c r="H734" s="11" t="s">
        <v>44</v>
      </c>
      <c r="I734" s="12">
        <v>5.44</v>
      </c>
      <c r="J734" s="12">
        <v>980</v>
      </c>
      <c r="K734" s="12">
        <v>142.47999999999999</v>
      </c>
      <c r="L734" s="12">
        <v>139630.39999999999</v>
      </c>
      <c r="M734" s="12">
        <v>0</v>
      </c>
      <c r="N734" s="12">
        <v>0</v>
      </c>
      <c r="O734" s="12">
        <v>18151.952051</v>
      </c>
      <c r="P734" s="12">
        <v>157782.35205099999</v>
      </c>
    </row>
    <row r="735" spans="1:16" ht="14.5" x14ac:dyDescent="0.25">
      <c r="A735" s="10">
        <v>45877</v>
      </c>
      <c r="B735" s="2" t="str">
        <f t="shared" si="22"/>
        <v>Aug-2025</v>
      </c>
      <c r="C735" s="2" t="str">
        <f t="shared" si="23"/>
        <v>Q2</v>
      </c>
      <c r="D735" s="2" t="s">
        <v>28</v>
      </c>
      <c r="E735" s="11" t="s">
        <v>214</v>
      </c>
      <c r="F735" s="11" t="s">
        <v>151</v>
      </c>
      <c r="G735" s="11" t="s">
        <v>503</v>
      </c>
      <c r="H735" s="11" t="s">
        <v>45</v>
      </c>
      <c r="I735" s="12">
        <v>14</v>
      </c>
      <c r="J735" s="12">
        <v>2520</v>
      </c>
      <c r="K735" s="12">
        <v>58.85</v>
      </c>
      <c r="L735" s="12">
        <v>148302</v>
      </c>
      <c r="M735" s="12">
        <v>0</v>
      </c>
      <c r="N735" s="12">
        <v>0</v>
      </c>
      <c r="O735" s="12">
        <v>19279.260053999998</v>
      </c>
      <c r="P735" s="12">
        <v>167581.26005400001</v>
      </c>
    </row>
    <row r="736" spans="1:16" ht="14.5" x14ac:dyDescent="0.25">
      <c r="A736" s="10">
        <v>45877</v>
      </c>
      <c r="B736" s="2" t="str">
        <f t="shared" si="22"/>
        <v>Aug-2025</v>
      </c>
      <c r="C736" s="2" t="str">
        <f t="shared" si="23"/>
        <v>Q2</v>
      </c>
      <c r="D736" s="2" t="s">
        <v>28</v>
      </c>
      <c r="E736" s="11" t="s">
        <v>214</v>
      </c>
      <c r="F736" s="11" t="s">
        <v>151</v>
      </c>
      <c r="G736" s="11" t="s">
        <v>506</v>
      </c>
      <c r="H736" s="11" t="s">
        <v>58</v>
      </c>
      <c r="I736" s="12">
        <v>6.17</v>
      </c>
      <c r="J736" s="12">
        <v>444</v>
      </c>
      <c r="K736" s="12">
        <v>136.28</v>
      </c>
      <c r="L736" s="12">
        <v>60508.32</v>
      </c>
      <c r="M736" s="12">
        <v>0</v>
      </c>
      <c r="N736" s="12">
        <v>0</v>
      </c>
      <c r="O736" s="12">
        <v>7866.0816219999997</v>
      </c>
      <c r="P736" s="12">
        <v>68374.401622000005</v>
      </c>
    </row>
    <row r="737" spans="1:16" ht="14.5" x14ac:dyDescent="0.25">
      <c r="A737" s="10">
        <v>45877</v>
      </c>
      <c r="B737" s="2" t="str">
        <f t="shared" si="22"/>
        <v>Aug-2025</v>
      </c>
      <c r="C737" s="2" t="str">
        <f t="shared" si="23"/>
        <v>Q2</v>
      </c>
      <c r="D737" s="2" t="s">
        <v>28</v>
      </c>
      <c r="E737" s="11" t="s">
        <v>214</v>
      </c>
      <c r="F737" s="11" t="s">
        <v>151</v>
      </c>
      <c r="G737" s="11" t="s">
        <v>503</v>
      </c>
      <c r="H737" s="11" t="s">
        <v>57</v>
      </c>
      <c r="I737" s="12">
        <v>14</v>
      </c>
      <c r="J737" s="12">
        <v>2520</v>
      </c>
      <c r="K737" s="12">
        <v>111.5</v>
      </c>
      <c r="L737" s="12">
        <v>280980</v>
      </c>
      <c r="M737" s="12">
        <v>0</v>
      </c>
      <c r="N737" s="12">
        <v>0</v>
      </c>
      <c r="O737" s="12">
        <v>36527.400102</v>
      </c>
      <c r="P737" s="12">
        <v>317507.40010199999</v>
      </c>
    </row>
    <row r="738" spans="1:16" ht="14.5" x14ac:dyDescent="0.25">
      <c r="A738" s="10">
        <v>45877</v>
      </c>
      <c r="B738" s="2" t="str">
        <f t="shared" si="22"/>
        <v>Aug-2025</v>
      </c>
      <c r="C738" s="2" t="str">
        <f t="shared" si="23"/>
        <v>Q2</v>
      </c>
      <c r="D738" s="2" t="s">
        <v>28</v>
      </c>
      <c r="E738" s="11" t="s">
        <v>214</v>
      </c>
      <c r="F738" s="11" t="s">
        <v>151</v>
      </c>
      <c r="G738" s="11" t="s">
        <v>506</v>
      </c>
      <c r="H738" s="11" t="s">
        <v>189</v>
      </c>
      <c r="I738" s="12">
        <v>7</v>
      </c>
      <c r="J738" s="12">
        <v>700</v>
      </c>
      <c r="K738" s="12">
        <v>65.040000000000006</v>
      </c>
      <c r="L738" s="12">
        <v>45528</v>
      </c>
      <c r="M738" s="12">
        <v>0</v>
      </c>
      <c r="N738" s="12">
        <v>0</v>
      </c>
      <c r="O738" s="12">
        <v>5918.6400169999997</v>
      </c>
      <c r="P738" s="12">
        <v>51446.640016999998</v>
      </c>
    </row>
    <row r="739" spans="1:16" ht="14.5" x14ac:dyDescent="0.25">
      <c r="A739" s="10">
        <v>45877</v>
      </c>
      <c r="B739" s="2" t="str">
        <f t="shared" si="22"/>
        <v>Aug-2025</v>
      </c>
      <c r="C739" s="2" t="str">
        <f t="shared" si="23"/>
        <v>Q2</v>
      </c>
      <c r="D739" s="2" t="s">
        <v>28</v>
      </c>
      <c r="E739" s="11" t="s">
        <v>214</v>
      </c>
      <c r="F739" s="11" t="s">
        <v>151</v>
      </c>
      <c r="G739" s="11" t="s">
        <v>505</v>
      </c>
      <c r="H739" s="11" t="s">
        <v>56</v>
      </c>
      <c r="I739" s="12">
        <v>7.5</v>
      </c>
      <c r="J739" s="12">
        <v>900</v>
      </c>
      <c r="K739" s="12">
        <v>52.65</v>
      </c>
      <c r="L739" s="12">
        <v>47385.000000000007</v>
      </c>
      <c r="M739" s="12">
        <v>0</v>
      </c>
      <c r="N739" s="12">
        <v>0</v>
      </c>
      <c r="O739" s="12">
        <v>6160.0500170000005</v>
      </c>
      <c r="P739" s="12">
        <v>53545.050017000001</v>
      </c>
    </row>
    <row r="740" spans="1:16" ht="14.5" x14ac:dyDescent="0.25">
      <c r="A740" s="10">
        <v>45877</v>
      </c>
      <c r="B740" s="2" t="str">
        <f t="shared" ref="B740:B802" si="24">+TEXT(A740,"MMM-yyy")</f>
        <v>Aug-2025</v>
      </c>
      <c r="C740" s="2" t="str">
        <f t="shared" ref="C740:C802" si="25">"Q" &amp; CHOOSE(MONTH(A740),4,4,4,1,1,1,2,2,2,3,3,3)</f>
        <v>Q2</v>
      </c>
      <c r="D740" s="2" t="s">
        <v>28</v>
      </c>
      <c r="E740" s="11" t="s">
        <v>214</v>
      </c>
      <c r="F740" s="11" t="s">
        <v>151</v>
      </c>
      <c r="G740" s="11" t="s">
        <v>503</v>
      </c>
      <c r="H740" s="11" t="s">
        <v>190</v>
      </c>
      <c r="I740" s="12">
        <v>7</v>
      </c>
      <c r="J740" s="12">
        <v>1260</v>
      </c>
      <c r="K740" s="12">
        <v>77.430000000000007</v>
      </c>
      <c r="L740" s="12">
        <v>97561.8</v>
      </c>
      <c r="M740" s="12">
        <v>0</v>
      </c>
      <c r="N740" s="12">
        <v>0</v>
      </c>
      <c r="O740" s="12">
        <v>12683.034036000001</v>
      </c>
      <c r="P740" s="12">
        <v>110244.834036</v>
      </c>
    </row>
    <row r="741" spans="1:16" ht="14.5" x14ac:dyDescent="0.25">
      <c r="A741" s="10">
        <v>45879</v>
      </c>
      <c r="B741" s="2" t="str">
        <f t="shared" si="24"/>
        <v>Aug-2025</v>
      </c>
      <c r="C741" s="2" t="str">
        <f t="shared" si="25"/>
        <v>Q2</v>
      </c>
      <c r="D741" s="2" t="s">
        <v>28</v>
      </c>
      <c r="E741" s="11" t="s">
        <v>215</v>
      </c>
      <c r="F741" s="11" t="s">
        <v>38</v>
      </c>
      <c r="G741" s="11" t="s">
        <v>504</v>
      </c>
      <c r="H741" s="11" t="s">
        <v>68</v>
      </c>
      <c r="I741" s="12">
        <v>0.03</v>
      </c>
      <c r="J741" s="12">
        <v>1</v>
      </c>
      <c r="K741" s="12">
        <v>281.58</v>
      </c>
      <c r="L741" s="12">
        <v>281.58</v>
      </c>
      <c r="M741" s="12">
        <v>-25.6</v>
      </c>
      <c r="N741" s="12">
        <v>0</v>
      </c>
      <c r="O741" s="12">
        <v>33.28</v>
      </c>
      <c r="P741" s="12">
        <v>289.26</v>
      </c>
    </row>
    <row r="742" spans="1:16" ht="14.5" x14ac:dyDescent="0.25">
      <c r="A742" s="10">
        <v>45879</v>
      </c>
      <c r="B742" s="2" t="str">
        <f t="shared" si="24"/>
        <v>Aug-2025</v>
      </c>
      <c r="C742" s="2" t="str">
        <f t="shared" si="25"/>
        <v>Q2</v>
      </c>
      <c r="D742" s="2" t="s">
        <v>28</v>
      </c>
      <c r="E742" s="11" t="s">
        <v>216</v>
      </c>
      <c r="F742" s="11" t="s">
        <v>14</v>
      </c>
      <c r="G742" s="11" t="s">
        <v>507</v>
      </c>
      <c r="H742" s="11" t="s">
        <v>60</v>
      </c>
      <c r="I742" s="12">
        <v>3</v>
      </c>
      <c r="J742" s="12">
        <v>180</v>
      </c>
      <c r="K742" s="12">
        <v>98.03</v>
      </c>
      <c r="L742" s="12">
        <v>17645.400000000001</v>
      </c>
      <c r="M742" s="12">
        <v>-1603.97</v>
      </c>
      <c r="N742" s="12">
        <v>0</v>
      </c>
      <c r="O742" s="12">
        <v>2085.385925</v>
      </c>
      <c r="P742" s="12">
        <v>18126.815924999999</v>
      </c>
    </row>
    <row r="743" spans="1:16" ht="14.5" x14ac:dyDescent="0.25">
      <c r="A743" s="10">
        <v>45879</v>
      </c>
      <c r="B743" s="2" t="str">
        <f t="shared" si="24"/>
        <v>Aug-2025</v>
      </c>
      <c r="C743" s="2" t="str">
        <f t="shared" si="25"/>
        <v>Q2</v>
      </c>
      <c r="D743" s="2" t="s">
        <v>28</v>
      </c>
      <c r="E743" s="11" t="s">
        <v>216</v>
      </c>
      <c r="F743" s="11" t="s">
        <v>14</v>
      </c>
      <c r="G743" s="11" t="s">
        <v>505</v>
      </c>
      <c r="H743" s="11" t="s">
        <v>56</v>
      </c>
      <c r="I743" s="12">
        <v>1</v>
      </c>
      <c r="J743" s="12">
        <v>120</v>
      </c>
      <c r="K743" s="12">
        <v>57.46</v>
      </c>
      <c r="L743" s="12">
        <v>6895.2</v>
      </c>
      <c r="M743" s="12">
        <v>-626.77</v>
      </c>
      <c r="N743" s="12">
        <v>0</v>
      </c>
      <c r="O743" s="12">
        <v>814.89590999999996</v>
      </c>
      <c r="P743" s="12">
        <v>7083.3259099999996</v>
      </c>
    </row>
    <row r="744" spans="1:16" ht="14.5" x14ac:dyDescent="0.25">
      <c r="A744" s="10">
        <v>45879</v>
      </c>
      <c r="B744" s="2" t="str">
        <f t="shared" si="24"/>
        <v>Aug-2025</v>
      </c>
      <c r="C744" s="2" t="str">
        <f t="shared" si="25"/>
        <v>Q2</v>
      </c>
      <c r="D744" s="2" t="s">
        <v>28</v>
      </c>
      <c r="E744" s="11" t="s">
        <v>216</v>
      </c>
      <c r="F744" s="11" t="s">
        <v>14</v>
      </c>
      <c r="G744" s="11" t="s">
        <v>505</v>
      </c>
      <c r="H744" s="11" t="s">
        <v>40</v>
      </c>
      <c r="I744" s="12">
        <v>1</v>
      </c>
      <c r="J744" s="12">
        <v>180</v>
      </c>
      <c r="K744" s="12">
        <v>94.65</v>
      </c>
      <c r="L744" s="12">
        <v>17037</v>
      </c>
      <c r="M744" s="12">
        <v>-1548.6599999999999</v>
      </c>
      <c r="N744" s="12">
        <v>0</v>
      </c>
      <c r="O744" s="12">
        <v>2013.484224</v>
      </c>
      <c r="P744" s="12">
        <v>17501.824224</v>
      </c>
    </row>
    <row r="745" spans="1:16" ht="14.5" x14ac:dyDescent="0.25">
      <c r="A745" s="10">
        <v>45879</v>
      </c>
      <c r="B745" s="2" t="str">
        <f t="shared" si="24"/>
        <v>Aug-2025</v>
      </c>
      <c r="C745" s="2" t="str">
        <f t="shared" si="25"/>
        <v>Q2</v>
      </c>
      <c r="D745" s="2" t="s">
        <v>28</v>
      </c>
      <c r="E745" s="11" t="s">
        <v>216</v>
      </c>
      <c r="F745" s="11" t="s">
        <v>14</v>
      </c>
      <c r="G745" s="11" t="s">
        <v>506</v>
      </c>
      <c r="H745" s="11" t="s">
        <v>181</v>
      </c>
      <c r="I745" s="12">
        <v>1</v>
      </c>
      <c r="J745" s="12">
        <v>100</v>
      </c>
      <c r="K745" s="12">
        <v>98.03</v>
      </c>
      <c r="L745" s="12">
        <v>9803</v>
      </c>
      <c r="M745" s="12">
        <v>-891.08999999999992</v>
      </c>
      <c r="N745" s="12">
        <v>0</v>
      </c>
      <c r="O745" s="12">
        <v>1158.5483140000001</v>
      </c>
      <c r="P745" s="12">
        <v>10070.458314</v>
      </c>
    </row>
    <row r="746" spans="1:16" ht="14.5" x14ac:dyDescent="0.25">
      <c r="A746" s="10">
        <v>45879</v>
      </c>
      <c r="B746" s="2" t="str">
        <f t="shared" si="24"/>
        <v>Aug-2025</v>
      </c>
      <c r="C746" s="2" t="str">
        <f t="shared" si="25"/>
        <v>Q2</v>
      </c>
      <c r="D746" s="2" t="s">
        <v>28</v>
      </c>
      <c r="E746" s="11" t="s">
        <v>216</v>
      </c>
      <c r="F746" s="11" t="s">
        <v>14</v>
      </c>
      <c r="G746" s="11" t="s">
        <v>503</v>
      </c>
      <c r="H746" s="11" t="s">
        <v>41</v>
      </c>
      <c r="I746" s="12">
        <v>1</v>
      </c>
      <c r="J746" s="12">
        <v>180</v>
      </c>
      <c r="K746" s="12">
        <v>60.84</v>
      </c>
      <c r="L746" s="12">
        <v>10951.199999999999</v>
      </c>
      <c r="M746" s="12">
        <v>-995.46</v>
      </c>
      <c r="N746" s="12">
        <v>0</v>
      </c>
      <c r="O746" s="12">
        <v>1294.246216</v>
      </c>
      <c r="P746" s="12">
        <v>11249.986215999999</v>
      </c>
    </row>
    <row r="747" spans="1:16" ht="14.5" x14ac:dyDescent="0.25">
      <c r="A747" s="10">
        <v>45879</v>
      </c>
      <c r="B747" s="2" t="str">
        <f t="shared" si="24"/>
        <v>Aug-2025</v>
      </c>
      <c r="C747" s="2" t="str">
        <f t="shared" si="25"/>
        <v>Q2</v>
      </c>
      <c r="D747" s="2" t="s">
        <v>28</v>
      </c>
      <c r="E747" s="11" t="s">
        <v>216</v>
      </c>
      <c r="F747" s="11" t="s">
        <v>14</v>
      </c>
      <c r="G747" s="11" t="s">
        <v>507</v>
      </c>
      <c r="H747" s="11" t="s">
        <v>90</v>
      </c>
      <c r="I747" s="12">
        <v>1</v>
      </c>
      <c r="J747" s="12">
        <v>120</v>
      </c>
      <c r="K747" s="12">
        <v>57.46</v>
      </c>
      <c r="L747" s="12">
        <v>6895.2</v>
      </c>
      <c r="M747" s="12">
        <v>-626.77</v>
      </c>
      <c r="N747" s="12">
        <v>0</v>
      </c>
      <c r="O747" s="12">
        <v>814.89590999999996</v>
      </c>
      <c r="P747" s="12">
        <v>7083.3259099999996</v>
      </c>
    </row>
    <row r="748" spans="1:16" ht="14.5" x14ac:dyDescent="0.25">
      <c r="A748" s="10">
        <v>45879</v>
      </c>
      <c r="B748" s="2" t="str">
        <f t="shared" si="24"/>
        <v>Aug-2025</v>
      </c>
      <c r="C748" s="2" t="str">
        <f t="shared" si="25"/>
        <v>Q2</v>
      </c>
      <c r="D748" s="2" t="s">
        <v>28</v>
      </c>
      <c r="E748" s="11" t="s">
        <v>216</v>
      </c>
      <c r="F748" s="11" t="s">
        <v>14</v>
      </c>
      <c r="G748" s="11" t="s">
        <v>503</v>
      </c>
      <c r="H748" s="11" t="s">
        <v>59</v>
      </c>
      <c r="I748" s="12">
        <v>2</v>
      </c>
      <c r="J748" s="12">
        <v>360</v>
      </c>
      <c r="K748" s="12">
        <v>64.23</v>
      </c>
      <c r="L748" s="12">
        <v>23122.799999999999</v>
      </c>
      <c r="M748" s="12">
        <v>-2101.8599999999997</v>
      </c>
      <c r="N748" s="12">
        <v>0</v>
      </c>
      <c r="O748" s="12">
        <v>2732.722233</v>
      </c>
      <c r="P748" s="12">
        <v>23753.662232999999</v>
      </c>
    </row>
    <row r="749" spans="1:16" ht="14.5" x14ac:dyDescent="0.25">
      <c r="A749" s="10">
        <v>45879</v>
      </c>
      <c r="B749" s="2" t="str">
        <f t="shared" si="24"/>
        <v>Aug-2025</v>
      </c>
      <c r="C749" s="2" t="str">
        <f t="shared" si="25"/>
        <v>Q2</v>
      </c>
      <c r="D749" s="2" t="s">
        <v>28</v>
      </c>
      <c r="E749" s="11" t="s">
        <v>216</v>
      </c>
      <c r="F749" s="11" t="s">
        <v>14</v>
      </c>
      <c r="G749" s="11" t="s">
        <v>505</v>
      </c>
      <c r="H749" s="11" t="s">
        <v>168</v>
      </c>
      <c r="I749" s="12">
        <v>0.88</v>
      </c>
      <c r="J749" s="12">
        <v>70</v>
      </c>
      <c r="K749" s="12">
        <v>229.86</v>
      </c>
      <c r="L749" s="12">
        <v>16090.2</v>
      </c>
      <c r="M749" s="12">
        <v>-1462.6</v>
      </c>
      <c r="N749" s="12">
        <v>0</v>
      </c>
      <c r="O749" s="12">
        <v>1901.588023</v>
      </c>
      <c r="P749" s="12">
        <v>16529.188022999999</v>
      </c>
    </row>
    <row r="750" spans="1:16" ht="14.5" x14ac:dyDescent="0.25">
      <c r="A750" s="10">
        <v>45879</v>
      </c>
      <c r="B750" s="2" t="str">
        <f t="shared" si="24"/>
        <v>Aug-2025</v>
      </c>
      <c r="C750" s="2" t="str">
        <f t="shared" si="25"/>
        <v>Q2</v>
      </c>
      <c r="D750" s="2" t="s">
        <v>28</v>
      </c>
      <c r="E750" s="11" t="s">
        <v>216</v>
      </c>
      <c r="F750" s="11" t="s">
        <v>14</v>
      </c>
      <c r="G750" s="11" t="s">
        <v>505</v>
      </c>
      <c r="H750" s="11" t="s">
        <v>55</v>
      </c>
      <c r="I750" s="12">
        <v>1</v>
      </c>
      <c r="J750" s="12">
        <v>120</v>
      </c>
      <c r="K750" s="12">
        <v>152.11000000000001</v>
      </c>
      <c r="L750" s="12">
        <v>18253.2</v>
      </c>
      <c r="M750" s="12">
        <v>-1659.2199999999998</v>
      </c>
      <c r="N750" s="12">
        <v>0</v>
      </c>
      <c r="O750" s="12">
        <v>2157.2174260000002</v>
      </c>
      <c r="P750" s="12">
        <v>18751.197425999999</v>
      </c>
    </row>
    <row r="751" spans="1:16" ht="14.5" x14ac:dyDescent="0.25">
      <c r="A751" s="10">
        <v>45879</v>
      </c>
      <c r="B751" s="2" t="str">
        <f t="shared" si="24"/>
        <v>Aug-2025</v>
      </c>
      <c r="C751" s="2" t="str">
        <f t="shared" si="25"/>
        <v>Q2</v>
      </c>
      <c r="D751" s="2" t="s">
        <v>28</v>
      </c>
      <c r="E751" s="11" t="s">
        <v>216</v>
      </c>
      <c r="F751" s="11" t="s">
        <v>14</v>
      </c>
      <c r="G751" s="11" t="s">
        <v>503</v>
      </c>
      <c r="H751" s="11" t="s">
        <v>52</v>
      </c>
      <c r="I751" s="12">
        <v>1</v>
      </c>
      <c r="J751" s="12">
        <v>180</v>
      </c>
      <c r="K751" s="12">
        <v>70.989999999999995</v>
      </c>
      <c r="L751" s="12">
        <v>12778.2</v>
      </c>
      <c r="M751" s="12">
        <v>-1161.54</v>
      </c>
      <c r="N751" s="12">
        <v>0</v>
      </c>
      <c r="O751" s="12">
        <v>1510.1658179999999</v>
      </c>
      <c r="P751" s="12">
        <v>13126.825817999999</v>
      </c>
    </row>
    <row r="752" spans="1:16" ht="14.5" x14ac:dyDescent="0.25">
      <c r="A752" s="10">
        <v>45879</v>
      </c>
      <c r="B752" s="2" t="str">
        <f t="shared" si="24"/>
        <v>Aug-2025</v>
      </c>
      <c r="C752" s="2" t="str">
        <f t="shared" si="25"/>
        <v>Q2</v>
      </c>
      <c r="D752" s="2" t="s">
        <v>28</v>
      </c>
      <c r="E752" s="11" t="s">
        <v>217</v>
      </c>
      <c r="F752" s="11" t="s">
        <v>75</v>
      </c>
      <c r="G752" s="11" t="s">
        <v>503</v>
      </c>
      <c r="H752" s="11" t="s">
        <v>41</v>
      </c>
      <c r="I752" s="12">
        <v>-0.61</v>
      </c>
      <c r="J752" s="12">
        <v>-110</v>
      </c>
      <c r="K752" s="12">
        <v>60.84</v>
      </c>
      <c r="L752" s="12">
        <v>-6692.4000000000005</v>
      </c>
      <c r="M752" s="12">
        <v>256.99</v>
      </c>
      <c r="N752" s="12">
        <v>0</v>
      </c>
      <c r="O752" s="12">
        <v>-836.60323600000004</v>
      </c>
      <c r="P752" s="12">
        <v>-7272.0132359999998</v>
      </c>
    </row>
    <row r="753" spans="1:16" ht="14.5" x14ac:dyDescent="0.25">
      <c r="A753" s="10">
        <v>45879</v>
      </c>
      <c r="B753" s="2" t="str">
        <f t="shared" si="24"/>
        <v>Aug-2025</v>
      </c>
      <c r="C753" s="2" t="str">
        <f t="shared" si="25"/>
        <v>Q2</v>
      </c>
      <c r="D753" s="2" t="s">
        <v>28</v>
      </c>
      <c r="E753" s="11" t="s">
        <v>217</v>
      </c>
      <c r="F753" s="11" t="s">
        <v>75</v>
      </c>
      <c r="G753" s="11" t="s">
        <v>503</v>
      </c>
      <c r="H753" s="11" t="s">
        <v>44</v>
      </c>
      <c r="I753" s="12">
        <v>-0.61</v>
      </c>
      <c r="J753" s="12">
        <v>-109</v>
      </c>
      <c r="K753" s="12">
        <v>155.49</v>
      </c>
      <c r="L753" s="12">
        <v>-16948.41</v>
      </c>
      <c r="M753" s="12">
        <v>650.82000000000005</v>
      </c>
      <c r="N753" s="12">
        <v>0</v>
      </c>
      <c r="O753" s="12">
        <v>-2118.6865379999999</v>
      </c>
      <c r="P753" s="12">
        <v>-18416.276537999998</v>
      </c>
    </row>
    <row r="754" spans="1:16" ht="14.5" x14ac:dyDescent="0.25">
      <c r="A754" s="10">
        <v>45879</v>
      </c>
      <c r="B754" s="2" t="str">
        <f t="shared" si="24"/>
        <v>Aug-2025</v>
      </c>
      <c r="C754" s="2" t="str">
        <f t="shared" si="25"/>
        <v>Q2</v>
      </c>
      <c r="D754" s="2" t="s">
        <v>28</v>
      </c>
      <c r="E754" s="11" t="s">
        <v>217</v>
      </c>
      <c r="F754" s="11" t="s">
        <v>75</v>
      </c>
      <c r="G754" s="11" t="s">
        <v>505</v>
      </c>
      <c r="H754" s="11" t="s">
        <v>50</v>
      </c>
      <c r="I754" s="12">
        <v>-0.1</v>
      </c>
      <c r="J754" s="12">
        <v>-8</v>
      </c>
      <c r="K754" s="12">
        <v>169.01</v>
      </c>
      <c r="L754" s="12">
        <v>-1352.08</v>
      </c>
      <c r="M754" s="12">
        <v>51.92</v>
      </c>
      <c r="N754" s="12">
        <v>0</v>
      </c>
      <c r="O754" s="12">
        <v>-169.02078699999998</v>
      </c>
      <c r="P754" s="12">
        <v>-1469.180787</v>
      </c>
    </row>
    <row r="755" spans="1:16" ht="14.5" x14ac:dyDescent="0.25">
      <c r="A755" s="10">
        <v>45879</v>
      </c>
      <c r="B755" s="2" t="str">
        <f t="shared" si="24"/>
        <v>Aug-2025</v>
      </c>
      <c r="C755" s="2" t="str">
        <f t="shared" si="25"/>
        <v>Q2</v>
      </c>
      <c r="D755" s="2" t="s">
        <v>28</v>
      </c>
      <c r="E755" s="11" t="s">
        <v>217</v>
      </c>
      <c r="F755" s="11" t="s">
        <v>75</v>
      </c>
      <c r="G755" s="11" t="s">
        <v>507</v>
      </c>
      <c r="H755" s="11" t="s">
        <v>60</v>
      </c>
      <c r="I755" s="12">
        <v>-0.33</v>
      </c>
      <c r="J755" s="12">
        <v>-20</v>
      </c>
      <c r="K755" s="12">
        <v>98.03</v>
      </c>
      <c r="L755" s="12">
        <v>-1960.6</v>
      </c>
      <c r="M755" s="12">
        <v>75.290000000000006</v>
      </c>
      <c r="N755" s="12">
        <v>0</v>
      </c>
      <c r="O755" s="12">
        <v>-245.090281</v>
      </c>
      <c r="P755" s="12">
        <v>-2130.4002810000002</v>
      </c>
    </row>
    <row r="756" spans="1:16" ht="14.5" x14ac:dyDescent="0.25">
      <c r="A756" s="10">
        <v>45879</v>
      </c>
      <c r="B756" s="2" t="str">
        <f t="shared" si="24"/>
        <v>Aug-2025</v>
      </c>
      <c r="C756" s="2" t="str">
        <f t="shared" si="25"/>
        <v>Q2</v>
      </c>
      <c r="D756" s="2" t="s">
        <v>28</v>
      </c>
      <c r="E756" s="11" t="s">
        <v>217</v>
      </c>
      <c r="F756" s="11" t="s">
        <v>75</v>
      </c>
      <c r="G756" s="11" t="s">
        <v>504</v>
      </c>
      <c r="H756" s="11" t="s">
        <v>68</v>
      </c>
      <c r="I756" s="12">
        <v>-0.13</v>
      </c>
      <c r="J756" s="12">
        <v>-5</v>
      </c>
      <c r="K756" s="12">
        <v>260.27999999999997</v>
      </c>
      <c r="L756" s="12">
        <v>-1301.4000000000001</v>
      </c>
      <c r="M756" s="12">
        <v>49.97</v>
      </c>
      <c r="N756" s="12">
        <v>0</v>
      </c>
      <c r="O756" s="12">
        <v>-162.68588800000001</v>
      </c>
      <c r="P756" s="12">
        <v>-1414.115888</v>
      </c>
    </row>
    <row r="757" spans="1:16" ht="14.5" x14ac:dyDescent="0.25">
      <c r="A757" s="10">
        <v>45879</v>
      </c>
      <c r="B757" s="2" t="str">
        <f t="shared" si="24"/>
        <v>Aug-2025</v>
      </c>
      <c r="C757" s="2" t="str">
        <f t="shared" si="25"/>
        <v>Q2</v>
      </c>
      <c r="D757" s="2" t="s">
        <v>28</v>
      </c>
      <c r="E757" s="11" t="s">
        <v>217</v>
      </c>
      <c r="F757" s="11" t="s">
        <v>75</v>
      </c>
      <c r="G757" s="11" t="s">
        <v>504</v>
      </c>
      <c r="H757" s="11" t="s">
        <v>67</v>
      </c>
      <c r="I757" s="12">
        <v>-0.1</v>
      </c>
      <c r="J757" s="12">
        <v>-4</v>
      </c>
      <c r="K757" s="12">
        <v>459.72</v>
      </c>
      <c r="L757" s="12">
        <v>-1838.88</v>
      </c>
      <c r="M757" s="12">
        <v>70.61</v>
      </c>
      <c r="N757" s="12">
        <v>0</v>
      </c>
      <c r="O757" s="12">
        <v>-229.87508199999999</v>
      </c>
      <c r="P757" s="12">
        <v>-1998.145082</v>
      </c>
    </row>
    <row r="758" spans="1:16" ht="14.5" x14ac:dyDescent="0.25">
      <c r="A758" s="10">
        <v>45879</v>
      </c>
      <c r="B758" s="2" t="str">
        <f t="shared" si="24"/>
        <v>Aug-2025</v>
      </c>
      <c r="C758" s="2" t="str">
        <f t="shared" si="25"/>
        <v>Q2</v>
      </c>
      <c r="D758" s="2" t="s">
        <v>28</v>
      </c>
      <c r="E758" s="11" t="s">
        <v>217</v>
      </c>
      <c r="F758" s="11" t="s">
        <v>75</v>
      </c>
      <c r="G758" s="11" t="s">
        <v>503</v>
      </c>
      <c r="H758" s="11" t="s">
        <v>45</v>
      </c>
      <c r="I758" s="12">
        <v>-2.0299999999999998</v>
      </c>
      <c r="J758" s="12">
        <v>-365</v>
      </c>
      <c r="K758" s="12">
        <v>64.23</v>
      </c>
      <c r="L758" s="12">
        <v>-23443.95</v>
      </c>
      <c r="M758" s="12">
        <v>900.24999999999989</v>
      </c>
      <c r="N758" s="12">
        <v>0</v>
      </c>
      <c r="O758" s="12">
        <v>-2930.6807760000002</v>
      </c>
      <c r="P758" s="12">
        <v>-25474.380776000002</v>
      </c>
    </row>
    <row r="759" spans="1:16" ht="14.5" x14ac:dyDescent="0.25">
      <c r="A759" s="10">
        <v>45879</v>
      </c>
      <c r="B759" s="2" t="str">
        <f t="shared" si="24"/>
        <v>Aug-2025</v>
      </c>
      <c r="C759" s="2" t="str">
        <f t="shared" si="25"/>
        <v>Q2</v>
      </c>
      <c r="D759" s="2" t="s">
        <v>28</v>
      </c>
      <c r="E759" s="11" t="s">
        <v>217</v>
      </c>
      <c r="F759" s="11" t="s">
        <v>75</v>
      </c>
      <c r="G759" s="11" t="s">
        <v>507</v>
      </c>
      <c r="H759" s="11" t="s">
        <v>90</v>
      </c>
      <c r="I759" s="12">
        <v>-1.0900000000000001</v>
      </c>
      <c r="J759" s="12">
        <v>-131</v>
      </c>
      <c r="K759" s="12">
        <v>57.46</v>
      </c>
      <c r="L759" s="12">
        <v>-7527.2599999999993</v>
      </c>
      <c r="M759" s="12">
        <v>289.05</v>
      </c>
      <c r="N759" s="12">
        <v>0</v>
      </c>
      <c r="O759" s="12">
        <v>-940.96722799999998</v>
      </c>
      <c r="P759" s="12">
        <v>-8179.1772279999996</v>
      </c>
    </row>
    <row r="760" spans="1:16" ht="14.5" x14ac:dyDescent="0.25">
      <c r="A760" s="10">
        <v>45879</v>
      </c>
      <c r="B760" s="2" t="str">
        <f t="shared" si="24"/>
        <v>Aug-2025</v>
      </c>
      <c r="C760" s="2" t="str">
        <f t="shared" si="25"/>
        <v>Q2</v>
      </c>
      <c r="D760" s="2" t="s">
        <v>28</v>
      </c>
      <c r="E760" s="11" t="s">
        <v>217</v>
      </c>
      <c r="F760" s="11" t="s">
        <v>75</v>
      </c>
      <c r="G760" s="11" t="s">
        <v>506</v>
      </c>
      <c r="H760" s="11" t="s">
        <v>39</v>
      </c>
      <c r="I760" s="12">
        <v>-0.25</v>
      </c>
      <c r="J760" s="12">
        <v>-18</v>
      </c>
      <c r="K760" s="12">
        <v>131.83000000000001</v>
      </c>
      <c r="L760" s="12">
        <v>-2372.94</v>
      </c>
      <c r="M760" s="12">
        <v>91.12</v>
      </c>
      <c r="N760" s="12">
        <v>0</v>
      </c>
      <c r="O760" s="12">
        <v>-296.63657699999999</v>
      </c>
      <c r="P760" s="12">
        <v>-2578.4565769999999</v>
      </c>
    </row>
    <row r="761" spans="1:16" ht="14.5" x14ac:dyDescent="0.25">
      <c r="A761" s="10">
        <v>45879</v>
      </c>
      <c r="B761" s="2" t="str">
        <f t="shared" si="24"/>
        <v>Aug-2025</v>
      </c>
      <c r="C761" s="2" t="str">
        <f t="shared" si="25"/>
        <v>Q2</v>
      </c>
      <c r="D761" s="2" t="s">
        <v>28</v>
      </c>
      <c r="E761" s="11" t="s">
        <v>217</v>
      </c>
      <c r="F761" s="11" t="s">
        <v>75</v>
      </c>
      <c r="G761" s="11" t="s">
        <v>506</v>
      </c>
      <c r="H761" s="11" t="s">
        <v>54</v>
      </c>
      <c r="I761" s="12">
        <v>-0.06</v>
      </c>
      <c r="J761" s="12">
        <v>-3</v>
      </c>
      <c r="K761" s="12">
        <v>310.99</v>
      </c>
      <c r="L761" s="12">
        <v>-932.96999999999991</v>
      </c>
      <c r="M761" s="12">
        <v>35.83</v>
      </c>
      <c r="N761" s="12">
        <v>0</v>
      </c>
      <c r="O761" s="12">
        <v>-116.628191</v>
      </c>
      <c r="P761" s="12">
        <v>-1013.768191</v>
      </c>
    </row>
    <row r="762" spans="1:16" ht="14.5" x14ac:dyDescent="0.25">
      <c r="A762" s="10">
        <v>45879</v>
      </c>
      <c r="B762" s="2" t="str">
        <f t="shared" si="24"/>
        <v>Aug-2025</v>
      </c>
      <c r="C762" s="2" t="str">
        <f t="shared" si="25"/>
        <v>Q2</v>
      </c>
      <c r="D762" s="2" t="s">
        <v>28</v>
      </c>
      <c r="E762" s="11" t="s">
        <v>217</v>
      </c>
      <c r="F762" s="11" t="s">
        <v>75</v>
      </c>
      <c r="G762" s="11" t="s">
        <v>506</v>
      </c>
      <c r="H762" s="11" t="s">
        <v>58</v>
      </c>
      <c r="I762" s="12">
        <v>-0.22</v>
      </c>
      <c r="J762" s="12">
        <v>-16</v>
      </c>
      <c r="K762" s="12">
        <v>148.72999999999999</v>
      </c>
      <c r="L762" s="12">
        <v>-2379.6799999999998</v>
      </c>
      <c r="M762" s="12">
        <v>91.38</v>
      </c>
      <c r="N762" s="12">
        <v>0</v>
      </c>
      <c r="O762" s="12">
        <v>-297.47897699999999</v>
      </c>
      <c r="P762" s="12">
        <v>-2585.7789769999999</v>
      </c>
    </row>
    <row r="763" spans="1:16" ht="14.5" x14ac:dyDescent="0.25">
      <c r="A763" s="10">
        <v>45879</v>
      </c>
      <c r="B763" s="2" t="str">
        <f t="shared" si="24"/>
        <v>Aug-2025</v>
      </c>
      <c r="C763" s="2" t="str">
        <f t="shared" si="25"/>
        <v>Q2</v>
      </c>
      <c r="D763" s="2" t="s">
        <v>28</v>
      </c>
      <c r="E763" s="11" t="s">
        <v>217</v>
      </c>
      <c r="F763" s="11" t="s">
        <v>75</v>
      </c>
      <c r="G763" s="11" t="s">
        <v>505</v>
      </c>
      <c r="H763" s="11" t="s">
        <v>40</v>
      </c>
      <c r="I763" s="12">
        <v>-1.99</v>
      </c>
      <c r="J763" s="12">
        <v>-359</v>
      </c>
      <c r="K763" s="12">
        <v>94.65</v>
      </c>
      <c r="L763" s="12">
        <v>-33979.35</v>
      </c>
      <c r="M763" s="12">
        <v>1304.81</v>
      </c>
      <c r="N763" s="12">
        <v>0</v>
      </c>
      <c r="O763" s="12">
        <v>-4247.689875</v>
      </c>
      <c r="P763" s="12">
        <v>-36922.229874999997</v>
      </c>
    </row>
    <row r="764" spans="1:16" ht="14.5" x14ac:dyDescent="0.25">
      <c r="A764" s="10">
        <v>45879</v>
      </c>
      <c r="B764" s="2" t="str">
        <f t="shared" si="24"/>
        <v>Aug-2025</v>
      </c>
      <c r="C764" s="2" t="str">
        <f t="shared" si="25"/>
        <v>Q2</v>
      </c>
      <c r="D764" s="2" t="s">
        <v>28</v>
      </c>
      <c r="E764" s="11" t="s">
        <v>217</v>
      </c>
      <c r="F764" s="11" t="s">
        <v>75</v>
      </c>
      <c r="G764" s="11" t="s">
        <v>503</v>
      </c>
      <c r="H764" s="11" t="s">
        <v>51</v>
      </c>
      <c r="I764" s="12">
        <v>-0.82</v>
      </c>
      <c r="J764" s="12">
        <v>-147</v>
      </c>
      <c r="K764" s="12">
        <v>64.23</v>
      </c>
      <c r="L764" s="12">
        <v>-9441.81</v>
      </c>
      <c r="M764" s="12">
        <v>362.57</v>
      </c>
      <c r="N764" s="12">
        <v>0</v>
      </c>
      <c r="O764" s="12">
        <v>-1180.3011100000001</v>
      </c>
      <c r="P764" s="12">
        <v>-10259.54111</v>
      </c>
    </row>
    <row r="765" spans="1:16" ht="14.5" x14ac:dyDescent="0.25">
      <c r="A765" s="10">
        <v>45879</v>
      </c>
      <c r="B765" s="2" t="str">
        <f t="shared" si="24"/>
        <v>Aug-2025</v>
      </c>
      <c r="C765" s="2" t="str">
        <f t="shared" si="25"/>
        <v>Q2</v>
      </c>
      <c r="D765" s="2" t="s">
        <v>28</v>
      </c>
      <c r="E765" s="11" t="s">
        <v>217</v>
      </c>
      <c r="F765" s="11" t="s">
        <v>75</v>
      </c>
      <c r="G765" s="11" t="s">
        <v>504</v>
      </c>
      <c r="H765" s="11" t="s">
        <v>66</v>
      </c>
      <c r="I765" s="12">
        <v>-0.05</v>
      </c>
      <c r="J765" s="12">
        <v>-5</v>
      </c>
      <c r="K765" s="12">
        <v>108.17</v>
      </c>
      <c r="L765" s="12">
        <v>-540.85</v>
      </c>
      <c r="M765" s="12">
        <v>20.77</v>
      </c>
      <c r="N765" s="12">
        <v>0</v>
      </c>
      <c r="O765" s="12">
        <v>-67.610395000000011</v>
      </c>
      <c r="P765" s="12">
        <v>-587.69039499999997</v>
      </c>
    </row>
    <row r="766" spans="1:16" ht="14.5" x14ac:dyDescent="0.25">
      <c r="A766" s="10">
        <v>45879</v>
      </c>
      <c r="B766" s="2" t="str">
        <f t="shared" si="24"/>
        <v>Aug-2025</v>
      </c>
      <c r="C766" s="2" t="str">
        <f t="shared" si="25"/>
        <v>Q2</v>
      </c>
      <c r="D766" s="2" t="s">
        <v>28</v>
      </c>
      <c r="E766" s="11" t="s">
        <v>217</v>
      </c>
      <c r="F766" s="11" t="s">
        <v>75</v>
      </c>
      <c r="G766" s="11" t="s">
        <v>504</v>
      </c>
      <c r="H766" s="11" t="s">
        <v>69</v>
      </c>
      <c r="I766" s="12">
        <v>-0.05</v>
      </c>
      <c r="J766" s="12">
        <v>-5</v>
      </c>
      <c r="K766" s="12">
        <v>189.3</v>
      </c>
      <c r="L766" s="12">
        <v>-946.5</v>
      </c>
      <c r="M766" s="12">
        <v>36.35</v>
      </c>
      <c r="N766" s="12">
        <v>0</v>
      </c>
      <c r="O766" s="12">
        <v>-118.319491</v>
      </c>
      <c r="P766" s="12">
        <v>-1028.4694910000001</v>
      </c>
    </row>
    <row r="767" spans="1:16" ht="14.5" x14ac:dyDescent="0.25">
      <c r="A767" s="10">
        <v>45879</v>
      </c>
      <c r="B767" s="2" t="str">
        <f t="shared" si="24"/>
        <v>Aug-2025</v>
      </c>
      <c r="C767" s="2" t="str">
        <f t="shared" si="25"/>
        <v>Q2</v>
      </c>
      <c r="D767" s="2" t="s">
        <v>28</v>
      </c>
      <c r="E767" s="11" t="s">
        <v>217</v>
      </c>
      <c r="F767" s="11" t="s">
        <v>75</v>
      </c>
      <c r="G767" s="11" t="s">
        <v>503</v>
      </c>
      <c r="H767" s="11" t="s">
        <v>59</v>
      </c>
      <c r="I767" s="12">
        <v>-1.25</v>
      </c>
      <c r="J767" s="12">
        <v>-225</v>
      </c>
      <c r="K767" s="12">
        <v>64.23</v>
      </c>
      <c r="L767" s="12">
        <v>-14451.75</v>
      </c>
      <c r="M767" s="12">
        <v>554.95000000000005</v>
      </c>
      <c r="N767" s="12">
        <v>0</v>
      </c>
      <c r="O767" s="12">
        <v>-1806.583862</v>
      </c>
      <c r="P767" s="12">
        <v>-15703.383862000001</v>
      </c>
    </row>
    <row r="768" spans="1:16" ht="14.5" x14ac:dyDescent="0.25">
      <c r="A768" s="10">
        <v>45879</v>
      </c>
      <c r="B768" s="2" t="str">
        <f t="shared" si="24"/>
        <v>Aug-2025</v>
      </c>
      <c r="C768" s="2" t="str">
        <f t="shared" si="25"/>
        <v>Q2</v>
      </c>
      <c r="D768" s="2" t="s">
        <v>28</v>
      </c>
      <c r="E768" s="11" t="s">
        <v>217</v>
      </c>
      <c r="F768" s="11" t="s">
        <v>75</v>
      </c>
      <c r="G768" s="11" t="s">
        <v>505</v>
      </c>
      <c r="H768" s="11" t="s">
        <v>56</v>
      </c>
      <c r="I768" s="12">
        <v>-1.29</v>
      </c>
      <c r="J768" s="12">
        <v>-155</v>
      </c>
      <c r="K768" s="12">
        <v>57.46</v>
      </c>
      <c r="L768" s="12">
        <v>-8906.2999999999993</v>
      </c>
      <c r="M768" s="12">
        <v>342</v>
      </c>
      <c r="N768" s="12">
        <v>0</v>
      </c>
      <c r="O768" s="12">
        <v>-1113.358915</v>
      </c>
      <c r="P768" s="12">
        <v>-9677.658915</v>
      </c>
    </row>
    <row r="769" spans="1:16" ht="14.5" x14ac:dyDescent="0.25">
      <c r="A769" s="10">
        <v>45879</v>
      </c>
      <c r="B769" s="2" t="str">
        <f t="shared" si="24"/>
        <v>Aug-2025</v>
      </c>
      <c r="C769" s="2" t="str">
        <f t="shared" si="25"/>
        <v>Q2</v>
      </c>
      <c r="D769" s="2" t="s">
        <v>28</v>
      </c>
      <c r="E769" s="11" t="s">
        <v>217</v>
      </c>
      <c r="F769" s="11" t="s">
        <v>75</v>
      </c>
      <c r="G769" s="11" t="s">
        <v>505</v>
      </c>
      <c r="H769" s="11" t="s">
        <v>55</v>
      </c>
      <c r="I769" s="12">
        <v>-2.13</v>
      </c>
      <c r="J769" s="12">
        <v>-255</v>
      </c>
      <c r="K769" s="12">
        <v>152.11000000000001</v>
      </c>
      <c r="L769" s="12">
        <v>-38788.050000000003</v>
      </c>
      <c r="M769" s="12">
        <v>1489.4599999999998</v>
      </c>
      <c r="N769" s="12">
        <v>0</v>
      </c>
      <c r="O769" s="12">
        <v>-4848.8163290000002</v>
      </c>
      <c r="P769" s="12">
        <v>-42147.406328999998</v>
      </c>
    </row>
    <row r="770" spans="1:16" ht="14.5" x14ac:dyDescent="0.25">
      <c r="A770" s="10">
        <v>45879</v>
      </c>
      <c r="B770" s="2" t="str">
        <f t="shared" si="24"/>
        <v>Aug-2025</v>
      </c>
      <c r="C770" s="2" t="str">
        <f t="shared" si="25"/>
        <v>Q2</v>
      </c>
      <c r="D770" s="2" t="s">
        <v>28</v>
      </c>
      <c r="E770" s="11" t="s">
        <v>217</v>
      </c>
      <c r="F770" s="11" t="s">
        <v>75</v>
      </c>
      <c r="G770" s="11" t="s">
        <v>503</v>
      </c>
      <c r="H770" s="11" t="s">
        <v>52</v>
      </c>
      <c r="I770" s="12">
        <v>-0.32</v>
      </c>
      <c r="J770" s="12">
        <v>-57</v>
      </c>
      <c r="K770" s="12">
        <v>70.989999999999995</v>
      </c>
      <c r="L770" s="12">
        <v>-4046.43</v>
      </c>
      <c r="M770" s="12">
        <v>155.38</v>
      </c>
      <c r="N770" s="12">
        <v>0</v>
      </c>
      <c r="O770" s="12">
        <v>-505.83646099999999</v>
      </c>
      <c r="P770" s="12">
        <v>-4396.8864610000001</v>
      </c>
    </row>
    <row r="771" spans="1:16" ht="14.5" x14ac:dyDescent="0.25">
      <c r="A771" s="10">
        <v>45879</v>
      </c>
      <c r="B771" s="2" t="str">
        <f t="shared" si="24"/>
        <v>Aug-2025</v>
      </c>
      <c r="C771" s="2" t="str">
        <f t="shared" si="25"/>
        <v>Q2</v>
      </c>
      <c r="D771" s="2" t="s">
        <v>28</v>
      </c>
      <c r="E771" s="11" t="s">
        <v>218</v>
      </c>
      <c r="F771" s="11" t="s">
        <v>75</v>
      </c>
      <c r="G771" s="11" t="s">
        <v>504</v>
      </c>
      <c r="H771" s="11" t="s">
        <v>61</v>
      </c>
      <c r="I771" s="12">
        <v>-0.13</v>
      </c>
      <c r="J771" s="12">
        <v>-5</v>
      </c>
      <c r="K771" s="12">
        <v>309.39999999999998</v>
      </c>
      <c r="L771" s="12">
        <v>-1547</v>
      </c>
      <c r="M771" s="12">
        <v>59.4</v>
      </c>
      <c r="N771" s="12">
        <v>0</v>
      </c>
      <c r="O771" s="12">
        <v>0</v>
      </c>
      <c r="P771" s="12">
        <v>-1487.6</v>
      </c>
    </row>
    <row r="772" spans="1:16" ht="14.5" x14ac:dyDescent="0.25">
      <c r="A772" s="10">
        <v>45879</v>
      </c>
      <c r="B772" s="2" t="str">
        <f t="shared" si="24"/>
        <v>Aug-2025</v>
      </c>
      <c r="C772" s="2" t="str">
        <f t="shared" si="25"/>
        <v>Q2</v>
      </c>
      <c r="D772" s="2" t="s">
        <v>28</v>
      </c>
      <c r="E772" s="11" t="s">
        <v>218</v>
      </c>
      <c r="F772" s="11" t="s">
        <v>75</v>
      </c>
      <c r="G772" s="11" t="s">
        <v>504</v>
      </c>
      <c r="H772" s="11" t="s">
        <v>53</v>
      </c>
      <c r="I772" s="12">
        <v>-0.05</v>
      </c>
      <c r="J772" s="12">
        <v>-5</v>
      </c>
      <c r="K772" s="12">
        <v>129.87</v>
      </c>
      <c r="L772" s="12">
        <v>-649.35</v>
      </c>
      <c r="M772" s="12">
        <v>24.94</v>
      </c>
      <c r="N772" s="12">
        <v>0</v>
      </c>
      <c r="O772" s="12">
        <v>0</v>
      </c>
      <c r="P772" s="12">
        <v>-624.41</v>
      </c>
    </row>
    <row r="773" spans="1:16" ht="14.5" x14ac:dyDescent="0.25">
      <c r="A773" s="10">
        <v>45881</v>
      </c>
      <c r="B773" s="2" t="str">
        <f t="shared" si="24"/>
        <v>Aug-2025</v>
      </c>
      <c r="C773" s="2" t="str">
        <f t="shared" si="25"/>
        <v>Q2</v>
      </c>
      <c r="D773" s="2" t="s">
        <v>28</v>
      </c>
      <c r="E773" s="11" t="s">
        <v>219</v>
      </c>
      <c r="F773" s="11" t="s">
        <v>14</v>
      </c>
      <c r="G773" s="11" t="s">
        <v>507</v>
      </c>
      <c r="H773" s="11" t="s">
        <v>60</v>
      </c>
      <c r="I773" s="12">
        <v>0.17</v>
      </c>
      <c r="J773" s="12">
        <v>10</v>
      </c>
      <c r="K773" s="12">
        <v>0</v>
      </c>
      <c r="L773" s="12">
        <v>0</v>
      </c>
      <c r="M773" s="12" t="s">
        <v>113</v>
      </c>
      <c r="N773" s="12" t="s">
        <v>113</v>
      </c>
      <c r="O773" s="12" t="s">
        <v>113</v>
      </c>
      <c r="P773" s="12">
        <v>0</v>
      </c>
    </row>
    <row r="774" spans="1:16" ht="14.5" x14ac:dyDescent="0.25">
      <c r="A774" s="10">
        <v>45881</v>
      </c>
      <c r="B774" s="2" t="str">
        <f t="shared" si="24"/>
        <v>Aug-2025</v>
      </c>
      <c r="C774" s="2" t="str">
        <f t="shared" si="25"/>
        <v>Q2</v>
      </c>
      <c r="D774" s="2" t="s">
        <v>28</v>
      </c>
      <c r="E774" s="11" t="s">
        <v>219</v>
      </c>
      <c r="F774" s="11" t="s">
        <v>14</v>
      </c>
      <c r="G774" s="11" t="s">
        <v>504</v>
      </c>
      <c r="H774" s="11" t="s">
        <v>53</v>
      </c>
      <c r="I774" s="12">
        <v>0.2</v>
      </c>
      <c r="J774" s="12">
        <v>20</v>
      </c>
      <c r="K774" s="12">
        <v>129.87</v>
      </c>
      <c r="L774" s="12">
        <v>2597.4</v>
      </c>
      <c r="M774" s="12">
        <v>-236.1</v>
      </c>
      <c r="N774" s="12">
        <v>0</v>
      </c>
      <c r="O774" s="12">
        <v>0</v>
      </c>
      <c r="P774" s="12">
        <v>2361.3000000000002</v>
      </c>
    </row>
    <row r="775" spans="1:16" ht="14.5" x14ac:dyDescent="0.25">
      <c r="A775" s="10">
        <v>45881</v>
      </c>
      <c r="B775" s="2" t="str">
        <f t="shared" si="24"/>
        <v>Aug-2025</v>
      </c>
      <c r="C775" s="2" t="str">
        <f t="shared" si="25"/>
        <v>Q2</v>
      </c>
      <c r="D775" s="2" t="s">
        <v>28</v>
      </c>
      <c r="E775" s="11" t="s">
        <v>219</v>
      </c>
      <c r="F775" s="11" t="s">
        <v>14</v>
      </c>
      <c r="G775" s="11" t="s">
        <v>505</v>
      </c>
      <c r="H775" s="11" t="s">
        <v>43</v>
      </c>
      <c r="I775" s="12">
        <v>0.25</v>
      </c>
      <c r="J775" s="12">
        <v>10</v>
      </c>
      <c r="K775" s="12">
        <v>0</v>
      </c>
      <c r="L775" s="12">
        <v>0</v>
      </c>
      <c r="M775" s="12" t="s">
        <v>113</v>
      </c>
      <c r="N775" s="12" t="s">
        <v>113</v>
      </c>
      <c r="O775" s="12" t="s">
        <v>113</v>
      </c>
      <c r="P775" s="12">
        <v>0</v>
      </c>
    </row>
    <row r="776" spans="1:16" ht="14.5" x14ac:dyDescent="0.25">
      <c r="A776" s="10">
        <v>45881</v>
      </c>
      <c r="B776" s="2" t="str">
        <f t="shared" si="24"/>
        <v>Aug-2025</v>
      </c>
      <c r="C776" s="2" t="str">
        <f t="shared" si="25"/>
        <v>Q2</v>
      </c>
      <c r="D776" s="2" t="s">
        <v>28</v>
      </c>
      <c r="E776" s="11" t="s">
        <v>219</v>
      </c>
      <c r="F776" s="11" t="s">
        <v>14</v>
      </c>
      <c r="G776" s="11" t="s">
        <v>503</v>
      </c>
      <c r="H776" s="11" t="s">
        <v>47</v>
      </c>
      <c r="I776" s="12">
        <v>0.08</v>
      </c>
      <c r="J776" s="12">
        <v>10</v>
      </c>
      <c r="K776" s="12">
        <v>0</v>
      </c>
      <c r="L776" s="12">
        <v>0</v>
      </c>
      <c r="M776" s="12" t="s">
        <v>113</v>
      </c>
      <c r="N776" s="12" t="s">
        <v>113</v>
      </c>
      <c r="O776" s="12" t="s">
        <v>113</v>
      </c>
      <c r="P776" s="12">
        <v>0</v>
      </c>
    </row>
    <row r="777" spans="1:16" ht="14.5" x14ac:dyDescent="0.25">
      <c r="A777" s="10">
        <v>45881</v>
      </c>
      <c r="B777" s="2" t="str">
        <f t="shared" si="24"/>
        <v>Aug-2025</v>
      </c>
      <c r="C777" s="2" t="str">
        <f t="shared" si="25"/>
        <v>Q2</v>
      </c>
      <c r="D777" s="2" t="s">
        <v>28</v>
      </c>
      <c r="E777" s="11" t="s">
        <v>219</v>
      </c>
      <c r="F777" s="11" t="s">
        <v>14</v>
      </c>
      <c r="G777" s="11" t="s">
        <v>505</v>
      </c>
      <c r="H777" s="11" t="s">
        <v>56</v>
      </c>
      <c r="I777" s="12">
        <v>0.08</v>
      </c>
      <c r="J777" s="12">
        <v>10</v>
      </c>
      <c r="K777" s="12">
        <v>0</v>
      </c>
      <c r="L777" s="12">
        <v>0</v>
      </c>
      <c r="M777" s="12" t="s">
        <v>113</v>
      </c>
      <c r="N777" s="12" t="s">
        <v>113</v>
      </c>
      <c r="O777" s="12" t="s">
        <v>113</v>
      </c>
      <c r="P777" s="12">
        <v>0</v>
      </c>
    </row>
    <row r="778" spans="1:16" ht="14.5" x14ac:dyDescent="0.25">
      <c r="A778" s="10">
        <v>45881</v>
      </c>
      <c r="B778" s="2" t="str">
        <f t="shared" si="24"/>
        <v>Aug-2025</v>
      </c>
      <c r="C778" s="2" t="str">
        <f t="shared" si="25"/>
        <v>Q2</v>
      </c>
      <c r="D778" s="2" t="s">
        <v>28</v>
      </c>
      <c r="E778" s="11" t="s">
        <v>219</v>
      </c>
      <c r="F778" s="11" t="s">
        <v>14</v>
      </c>
      <c r="G778" s="11" t="s">
        <v>504</v>
      </c>
      <c r="H778" s="11" t="s">
        <v>53</v>
      </c>
      <c r="I778" s="12">
        <v>0.1</v>
      </c>
      <c r="J778" s="12">
        <v>10</v>
      </c>
      <c r="K778" s="12">
        <v>0</v>
      </c>
      <c r="L778" s="12">
        <v>0</v>
      </c>
      <c r="M778" s="12" t="s">
        <v>113</v>
      </c>
      <c r="N778" s="12" t="s">
        <v>113</v>
      </c>
      <c r="O778" s="12" t="s">
        <v>113</v>
      </c>
      <c r="P778" s="12">
        <v>0</v>
      </c>
    </row>
    <row r="779" spans="1:16" ht="14.5" x14ac:dyDescent="0.25">
      <c r="A779" s="10">
        <v>45881</v>
      </c>
      <c r="B779" s="2" t="str">
        <f t="shared" si="24"/>
        <v>Aug-2025</v>
      </c>
      <c r="C779" s="2" t="str">
        <f t="shared" si="25"/>
        <v>Q2</v>
      </c>
      <c r="D779" s="2" t="s">
        <v>28</v>
      </c>
      <c r="E779" s="11" t="s">
        <v>219</v>
      </c>
      <c r="F779" s="11" t="s">
        <v>14</v>
      </c>
      <c r="G779" s="11" t="s">
        <v>503</v>
      </c>
      <c r="H779" s="11" t="s">
        <v>46</v>
      </c>
      <c r="I779" s="12">
        <v>0.08</v>
      </c>
      <c r="J779" s="12">
        <v>10</v>
      </c>
      <c r="K779" s="12">
        <v>0</v>
      </c>
      <c r="L779" s="12">
        <v>0</v>
      </c>
      <c r="M779" s="12" t="s">
        <v>113</v>
      </c>
      <c r="N779" s="12" t="s">
        <v>113</v>
      </c>
      <c r="O779" s="12" t="s">
        <v>113</v>
      </c>
      <c r="P779" s="12">
        <v>0</v>
      </c>
    </row>
    <row r="780" spans="1:16" ht="14.5" x14ac:dyDescent="0.25">
      <c r="A780" s="10">
        <v>45883</v>
      </c>
      <c r="B780" s="2" t="str">
        <f t="shared" si="24"/>
        <v>Aug-2025</v>
      </c>
      <c r="C780" s="2" t="str">
        <f t="shared" si="25"/>
        <v>Q2</v>
      </c>
      <c r="D780" s="2" t="s">
        <v>28</v>
      </c>
      <c r="E780" s="11" t="s">
        <v>220</v>
      </c>
      <c r="F780" s="11" t="s">
        <v>104</v>
      </c>
      <c r="G780" s="11" t="s">
        <v>506</v>
      </c>
      <c r="H780" s="11" t="s">
        <v>58</v>
      </c>
      <c r="I780" s="12">
        <v>0.11</v>
      </c>
      <c r="J780" s="12">
        <v>8</v>
      </c>
      <c r="K780" s="12">
        <v>155.75</v>
      </c>
      <c r="L780" s="12">
        <v>1246</v>
      </c>
      <c r="M780" s="12">
        <v>0</v>
      </c>
      <c r="N780" s="12">
        <v>0</v>
      </c>
      <c r="O780" s="12">
        <v>161.98014599999999</v>
      </c>
      <c r="P780" s="12">
        <v>1407.9801460000001</v>
      </c>
    </row>
    <row r="781" spans="1:16" ht="14.5" x14ac:dyDescent="0.25">
      <c r="A781" s="10">
        <v>45883</v>
      </c>
      <c r="B781" s="2" t="str">
        <f t="shared" si="24"/>
        <v>Aug-2025</v>
      </c>
      <c r="C781" s="2" t="str">
        <f t="shared" si="25"/>
        <v>Q2</v>
      </c>
      <c r="D781" s="2" t="s">
        <v>28</v>
      </c>
      <c r="E781" s="11" t="s">
        <v>220</v>
      </c>
      <c r="F781" s="11" t="s">
        <v>104</v>
      </c>
      <c r="G781" s="11" t="s">
        <v>507</v>
      </c>
      <c r="H781" s="11" t="s">
        <v>60</v>
      </c>
      <c r="I781" s="12">
        <v>0.17</v>
      </c>
      <c r="J781" s="12">
        <v>10</v>
      </c>
      <c r="K781" s="12">
        <v>102.65</v>
      </c>
      <c r="L781" s="12">
        <v>1026.5</v>
      </c>
      <c r="M781" s="12">
        <v>0</v>
      </c>
      <c r="N781" s="12">
        <v>0</v>
      </c>
      <c r="O781" s="12">
        <v>133.44512</v>
      </c>
      <c r="P781" s="12">
        <v>1159.9451200000001</v>
      </c>
    </row>
    <row r="782" spans="1:16" ht="14.5" x14ac:dyDescent="0.25">
      <c r="A782" s="10">
        <v>45883</v>
      </c>
      <c r="B782" s="2" t="str">
        <f t="shared" si="24"/>
        <v>Aug-2025</v>
      </c>
      <c r="C782" s="2" t="str">
        <f t="shared" si="25"/>
        <v>Q2</v>
      </c>
      <c r="D782" s="2" t="s">
        <v>28</v>
      </c>
      <c r="E782" s="11" t="s">
        <v>220</v>
      </c>
      <c r="F782" s="11" t="s">
        <v>104</v>
      </c>
      <c r="G782" s="11" t="s">
        <v>505</v>
      </c>
      <c r="H782" s="11" t="s">
        <v>56</v>
      </c>
      <c r="I782" s="12">
        <v>0.16</v>
      </c>
      <c r="J782" s="12">
        <v>19</v>
      </c>
      <c r="K782" s="12">
        <v>60.18</v>
      </c>
      <c r="L782" s="12">
        <v>1143.42</v>
      </c>
      <c r="M782" s="12">
        <v>0</v>
      </c>
      <c r="N782" s="12">
        <v>0</v>
      </c>
      <c r="O782" s="12">
        <v>148.644734</v>
      </c>
      <c r="P782" s="12">
        <v>1292.064734</v>
      </c>
    </row>
    <row r="783" spans="1:16" ht="14.5" x14ac:dyDescent="0.25">
      <c r="A783" s="10">
        <v>45884</v>
      </c>
      <c r="B783" s="2" t="str">
        <f t="shared" si="24"/>
        <v>Aug-2025</v>
      </c>
      <c r="C783" s="2" t="str">
        <f t="shared" si="25"/>
        <v>Q2</v>
      </c>
      <c r="D783" s="2" t="s">
        <v>28</v>
      </c>
      <c r="E783" s="11" t="s">
        <v>221</v>
      </c>
      <c r="F783" s="11" t="s">
        <v>14</v>
      </c>
      <c r="G783" s="11" t="s">
        <v>505</v>
      </c>
      <c r="H783" s="11" t="s">
        <v>167</v>
      </c>
      <c r="I783" s="12">
        <v>1</v>
      </c>
      <c r="J783" s="12">
        <v>180</v>
      </c>
      <c r="K783" s="12">
        <v>91.27</v>
      </c>
      <c r="L783" s="12">
        <v>16428.599999999999</v>
      </c>
      <c r="M783" s="12">
        <v>-1493.36</v>
      </c>
      <c r="N783" s="12">
        <v>0</v>
      </c>
      <c r="O783" s="12">
        <v>1941.580749</v>
      </c>
      <c r="P783" s="12">
        <v>16876.820748999999</v>
      </c>
    </row>
    <row r="784" spans="1:16" ht="14.5" x14ac:dyDescent="0.25">
      <c r="A784" s="10">
        <v>45884</v>
      </c>
      <c r="B784" s="2" t="str">
        <f t="shared" si="24"/>
        <v>Aug-2025</v>
      </c>
      <c r="C784" s="2" t="str">
        <f t="shared" si="25"/>
        <v>Q2</v>
      </c>
      <c r="D784" s="2" t="s">
        <v>28</v>
      </c>
      <c r="E784" s="11" t="s">
        <v>221</v>
      </c>
      <c r="F784" s="11" t="s">
        <v>14</v>
      </c>
      <c r="G784" s="11" t="s">
        <v>503</v>
      </c>
      <c r="H784" s="11" t="s">
        <v>51</v>
      </c>
      <c r="I784" s="12">
        <v>1</v>
      </c>
      <c r="J784" s="12">
        <v>180</v>
      </c>
      <c r="K784" s="12">
        <v>64.23</v>
      </c>
      <c r="L784" s="12">
        <v>11561.4</v>
      </c>
      <c r="M784" s="12">
        <v>-1050.9299999999998</v>
      </c>
      <c r="N784" s="12">
        <v>0</v>
      </c>
      <c r="O784" s="12">
        <v>1366.3607830000001</v>
      </c>
      <c r="P784" s="12">
        <v>11876.830782999999</v>
      </c>
    </row>
    <row r="785" spans="1:16" ht="14.5" x14ac:dyDescent="0.25">
      <c r="A785" s="10">
        <v>45884</v>
      </c>
      <c r="B785" s="2" t="str">
        <f t="shared" si="24"/>
        <v>Aug-2025</v>
      </c>
      <c r="C785" s="2" t="str">
        <f t="shared" si="25"/>
        <v>Q2</v>
      </c>
      <c r="D785" s="2" t="s">
        <v>28</v>
      </c>
      <c r="E785" s="11" t="s">
        <v>221</v>
      </c>
      <c r="F785" s="11" t="s">
        <v>14</v>
      </c>
      <c r="G785" s="11" t="s">
        <v>506</v>
      </c>
      <c r="H785" s="11" t="s">
        <v>39</v>
      </c>
      <c r="I785" s="12">
        <v>0.5</v>
      </c>
      <c r="J785" s="12">
        <v>36</v>
      </c>
      <c r="K785" s="12">
        <v>131.83000000000001</v>
      </c>
      <c r="L785" s="12">
        <v>4745.88</v>
      </c>
      <c r="M785" s="12">
        <v>-431.4</v>
      </c>
      <c r="N785" s="12">
        <v>0</v>
      </c>
      <c r="O785" s="12">
        <v>560.88227000000006</v>
      </c>
      <c r="P785" s="12">
        <v>4875.3622699999996</v>
      </c>
    </row>
    <row r="786" spans="1:16" ht="14.5" x14ac:dyDescent="0.25">
      <c r="A786" s="10">
        <v>45884</v>
      </c>
      <c r="B786" s="2" t="str">
        <f t="shared" si="24"/>
        <v>Aug-2025</v>
      </c>
      <c r="C786" s="2" t="str">
        <f t="shared" si="25"/>
        <v>Q2</v>
      </c>
      <c r="D786" s="2" t="s">
        <v>28</v>
      </c>
      <c r="E786" s="11" t="s">
        <v>221</v>
      </c>
      <c r="F786" s="11" t="s">
        <v>14</v>
      </c>
      <c r="G786" s="11" t="s">
        <v>503</v>
      </c>
      <c r="H786" s="11" t="s">
        <v>45</v>
      </c>
      <c r="I786" s="12">
        <v>1</v>
      </c>
      <c r="J786" s="12">
        <v>180</v>
      </c>
      <c r="K786" s="12">
        <v>64.23</v>
      </c>
      <c r="L786" s="12">
        <v>11561.4</v>
      </c>
      <c r="M786" s="12">
        <v>-1050.9299999999998</v>
      </c>
      <c r="N786" s="12">
        <v>0</v>
      </c>
      <c r="O786" s="12">
        <v>1366.3607830000001</v>
      </c>
      <c r="P786" s="12">
        <v>11876.830782999999</v>
      </c>
    </row>
    <row r="787" spans="1:16" ht="14.5" x14ac:dyDescent="0.25">
      <c r="A787" s="10">
        <v>45884</v>
      </c>
      <c r="B787" s="2" t="str">
        <f t="shared" si="24"/>
        <v>Aug-2025</v>
      </c>
      <c r="C787" s="2" t="str">
        <f t="shared" si="25"/>
        <v>Q2</v>
      </c>
      <c r="D787" s="2" t="s">
        <v>28</v>
      </c>
      <c r="E787" s="11" t="s">
        <v>221</v>
      </c>
      <c r="F787" s="11" t="s">
        <v>14</v>
      </c>
      <c r="G787" s="11" t="s">
        <v>507</v>
      </c>
      <c r="H787" s="11" t="s">
        <v>60</v>
      </c>
      <c r="I787" s="12">
        <v>3</v>
      </c>
      <c r="J787" s="12">
        <v>180</v>
      </c>
      <c r="K787" s="12">
        <v>98.03</v>
      </c>
      <c r="L787" s="12">
        <v>17645.400000000001</v>
      </c>
      <c r="M787" s="12">
        <v>-1603.97</v>
      </c>
      <c r="N787" s="12">
        <v>0</v>
      </c>
      <c r="O787" s="12">
        <v>2085.3854160000001</v>
      </c>
      <c r="P787" s="12">
        <v>18126.815416000001</v>
      </c>
    </row>
    <row r="788" spans="1:16" ht="14.5" x14ac:dyDescent="0.25">
      <c r="A788" s="10">
        <v>45886</v>
      </c>
      <c r="B788" s="2" t="str">
        <f t="shared" si="24"/>
        <v>Aug-2025</v>
      </c>
      <c r="C788" s="2" t="str">
        <f t="shared" si="25"/>
        <v>Q2</v>
      </c>
      <c r="D788" s="2" t="s">
        <v>28</v>
      </c>
      <c r="E788" s="11" t="s">
        <v>222</v>
      </c>
      <c r="F788" s="11" t="s">
        <v>38</v>
      </c>
      <c r="G788" s="11" t="s">
        <v>503</v>
      </c>
      <c r="H788" s="11" t="s">
        <v>179</v>
      </c>
      <c r="I788" s="12">
        <v>1.1100000000000001</v>
      </c>
      <c r="J788" s="12">
        <v>200</v>
      </c>
      <c r="K788" s="12">
        <v>101.02</v>
      </c>
      <c r="L788" s="12">
        <v>20204</v>
      </c>
      <c r="M788" s="12">
        <v>0</v>
      </c>
      <c r="N788" s="12">
        <v>0</v>
      </c>
      <c r="O788" s="12">
        <v>2626.5200000000004</v>
      </c>
      <c r="P788" s="12">
        <v>22830.52</v>
      </c>
    </row>
    <row r="789" spans="1:16" ht="14.5" x14ac:dyDescent="0.25">
      <c r="A789" s="10">
        <v>45886</v>
      </c>
      <c r="B789" s="2" t="str">
        <f t="shared" si="24"/>
        <v>Aug-2025</v>
      </c>
      <c r="C789" s="2" t="str">
        <f t="shared" si="25"/>
        <v>Q2</v>
      </c>
      <c r="D789" s="2" t="s">
        <v>28</v>
      </c>
      <c r="E789" s="11" t="s">
        <v>222</v>
      </c>
      <c r="F789" s="11" t="s">
        <v>38</v>
      </c>
      <c r="G789" s="11" t="s">
        <v>505</v>
      </c>
      <c r="H789" s="11" t="s">
        <v>56</v>
      </c>
      <c r="I789" s="12">
        <v>1.67</v>
      </c>
      <c r="J789" s="12">
        <v>200</v>
      </c>
      <c r="K789" s="12">
        <v>45.2</v>
      </c>
      <c r="L789" s="12">
        <v>9040</v>
      </c>
      <c r="M789" s="12">
        <v>0</v>
      </c>
      <c r="N789" s="12">
        <v>0</v>
      </c>
      <c r="O789" s="12">
        <v>1175.2</v>
      </c>
      <c r="P789" s="12">
        <v>10215.200000000001</v>
      </c>
    </row>
    <row r="790" spans="1:16" ht="14.5" x14ac:dyDescent="0.25">
      <c r="A790" s="10">
        <v>45886</v>
      </c>
      <c r="B790" s="2" t="str">
        <f t="shared" si="24"/>
        <v>Aug-2025</v>
      </c>
      <c r="C790" s="2" t="str">
        <f t="shared" si="25"/>
        <v>Q2</v>
      </c>
      <c r="D790" s="2" t="s">
        <v>28</v>
      </c>
      <c r="E790" s="11" t="s">
        <v>222</v>
      </c>
      <c r="F790" s="11" t="s">
        <v>38</v>
      </c>
      <c r="G790" s="11" t="s">
        <v>507</v>
      </c>
      <c r="H790" s="11" t="s">
        <v>60</v>
      </c>
      <c r="I790" s="12">
        <v>3.33</v>
      </c>
      <c r="J790" s="12">
        <v>200</v>
      </c>
      <c r="K790" s="12">
        <v>80.3</v>
      </c>
      <c r="L790" s="12">
        <v>16060.000000000002</v>
      </c>
      <c r="M790" s="12">
        <v>0</v>
      </c>
      <c r="N790" s="12">
        <v>0</v>
      </c>
      <c r="O790" s="12">
        <v>2087.8000000000002</v>
      </c>
      <c r="P790" s="12">
        <v>18147.8</v>
      </c>
    </row>
    <row r="791" spans="1:16" ht="14.5" x14ac:dyDescent="0.25">
      <c r="A791" s="10">
        <v>45886</v>
      </c>
      <c r="B791" s="2" t="str">
        <f t="shared" si="24"/>
        <v>Aug-2025</v>
      </c>
      <c r="C791" s="2" t="str">
        <f t="shared" si="25"/>
        <v>Q2</v>
      </c>
      <c r="D791" s="2" t="s">
        <v>28</v>
      </c>
      <c r="E791" s="11" t="s">
        <v>222</v>
      </c>
      <c r="F791" s="11" t="s">
        <v>38</v>
      </c>
      <c r="G791" s="11" t="s">
        <v>503</v>
      </c>
      <c r="H791" s="11" t="s">
        <v>46</v>
      </c>
      <c r="I791" s="12">
        <v>1.67</v>
      </c>
      <c r="J791" s="12">
        <v>200</v>
      </c>
      <c r="K791" s="12">
        <v>95.71</v>
      </c>
      <c r="L791" s="12">
        <v>19142</v>
      </c>
      <c r="M791" s="12">
        <v>0</v>
      </c>
      <c r="N791" s="12">
        <v>0</v>
      </c>
      <c r="O791" s="12">
        <v>2488.46</v>
      </c>
      <c r="P791" s="12">
        <v>21630.46</v>
      </c>
    </row>
    <row r="792" spans="1:16" ht="14.5" x14ac:dyDescent="0.25">
      <c r="A792" s="10">
        <v>45886</v>
      </c>
      <c r="B792" s="2" t="str">
        <f t="shared" si="24"/>
        <v>Aug-2025</v>
      </c>
      <c r="C792" s="2" t="str">
        <f t="shared" si="25"/>
        <v>Q2</v>
      </c>
      <c r="D792" s="2" t="s">
        <v>28</v>
      </c>
      <c r="E792" s="11" t="s">
        <v>222</v>
      </c>
      <c r="F792" s="11" t="s">
        <v>38</v>
      </c>
      <c r="G792" s="11" t="s">
        <v>503</v>
      </c>
      <c r="H792" s="11" t="s">
        <v>48</v>
      </c>
      <c r="I792" s="12">
        <v>1.1100000000000001</v>
      </c>
      <c r="J792" s="12">
        <v>200</v>
      </c>
      <c r="K792" s="12">
        <v>106.9</v>
      </c>
      <c r="L792" s="12">
        <v>21380</v>
      </c>
      <c r="M792" s="12">
        <v>0</v>
      </c>
      <c r="N792" s="12">
        <v>0</v>
      </c>
      <c r="O792" s="12">
        <v>2779.3999999999996</v>
      </c>
      <c r="P792" s="12">
        <v>24159.4</v>
      </c>
    </row>
    <row r="793" spans="1:16" ht="14.5" x14ac:dyDescent="0.25">
      <c r="A793" s="10">
        <v>45886</v>
      </c>
      <c r="B793" s="2" t="str">
        <f t="shared" si="24"/>
        <v>Aug-2025</v>
      </c>
      <c r="C793" s="2" t="str">
        <f t="shared" si="25"/>
        <v>Q2</v>
      </c>
      <c r="D793" s="2" t="s">
        <v>28</v>
      </c>
      <c r="E793" s="11" t="s">
        <v>222</v>
      </c>
      <c r="F793" s="11" t="s">
        <v>38</v>
      </c>
      <c r="G793" s="11" t="s">
        <v>503</v>
      </c>
      <c r="H793" s="11" t="s">
        <v>166</v>
      </c>
      <c r="I793" s="12">
        <v>1.67</v>
      </c>
      <c r="J793" s="12">
        <v>200</v>
      </c>
      <c r="K793" s="12">
        <v>50.51</v>
      </c>
      <c r="L793" s="12">
        <v>10102</v>
      </c>
      <c r="M793" s="12">
        <v>0</v>
      </c>
      <c r="N793" s="12">
        <v>0</v>
      </c>
      <c r="O793" s="12">
        <v>1313.2600000000002</v>
      </c>
      <c r="P793" s="12">
        <v>11415.26</v>
      </c>
    </row>
    <row r="794" spans="1:16" ht="14.5" x14ac:dyDescent="0.25">
      <c r="A794" s="10">
        <v>45886</v>
      </c>
      <c r="B794" s="2" t="str">
        <f t="shared" si="24"/>
        <v>Aug-2025</v>
      </c>
      <c r="C794" s="2" t="str">
        <f t="shared" si="25"/>
        <v>Q2</v>
      </c>
      <c r="D794" s="2" t="s">
        <v>28</v>
      </c>
      <c r="E794" s="11" t="s">
        <v>222</v>
      </c>
      <c r="F794" s="11" t="s">
        <v>38</v>
      </c>
      <c r="G794" s="11" t="s">
        <v>503</v>
      </c>
      <c r="H794" s="11" t="s">
        <v>41</v>
      </c>
      <c r="I794" s="12">
        <v>1.1100000000000001</v>
      </c>
      <c r="J794" s="12">
        <v>200</v>
      </c>
      <c r="K794" s="12">
        <v>49.84</v>
      </c>
      <c r="L794" s="12">
        <v>9968</v>
      </c>
      <c r="M794" s="12">
        <v>0</v>
      </c>
      <c r="N794" s="12">
        <v>0</v>
      </c>
      <c r="O794" s="12">
        <v>1295.8399999999999</v>
      </c>
      <c r="P794" s="12">
        <v>11263.84</v>
      </c>
    </row>
    <row r="795" spans="1:16" ht="14.5" x14ac:dyDescent="0.25">
      <c r="A795" s="10">
        <v>45886</v>
      </c>
      <c r="B795" s="2" t="str">
        <f t="shared" si="24"/>
        <v>Aug-2025</v>
      </c>
      <c r="C795" s="2" t="str">
        <f t="shared" si="25"/>
        <v>Q2</v>
      </c>
      <c r="D795" s="2" t="s">
        <v>28</v>
      </c>
      <c r="E795" s="11" t="s">
        <v>223</v>
      </c>
      <c r="F795" s="11" t="s">
        <v>104</v>
      </c>
      <c r="G795" s="11" t="s">
        <v>507</v>
      </c>
      <c r="H795" s="11" t="s">
        <v>90</v>
      </c>
      <c r="I795" s="12">
        <v>-7.0000000000000007E-2</v>
      </c>
      <c r="J795" s="12">
        <v>-8</v>
      </c>
      <c r="K795" s="12">
        <v>60.18</v>
      </c>
      <c r="L795" s="12">
        <v>-481.44</v>
      </c>
      <c r="M795" s="12">
        <v>0</v>
      </c>
      <c r="N795" s="12">
        <v>0</v>
      </c>
      <c r="O795" s="12">
        <v>-62.59</v>
      </c>
      <c r="P795" s="12">
        <v>-544.03</v>
      </c>
    </row>
    <row r="796" spans="1:16" ht="14.5" x14ac:dyDescent="0.25">
      <c r="A796" s="10">
        <v>45889</v>
      </c>
      <c r="B796" s="2" t="str">
        <f t="shared" si="24"/>
        <v>Aug-2025</v>
      </c>
      <c r="C796" s="2" t="str">
        <f t="shared" si="25"/>
        <v>Q2</v>
      </c>
      <c r="D796" s="2" t="s">
        <v>28</v>
      </c>
      <c r="E796" s="11" t="s">
        <v>224</v>
      </c>
      <c r="F796" s="11" t="s">
        <v>95</v>
      </c>
      <c r="G796" s="11" t="s">
        <v>503</v>
      </c>
      <c r="H796" s="11" t="s">
        <v>51</v>
      </c>
      <c r="I796" s="12">
        <v>1</v>
      </c>
      <c r="J796" s="12">
        <v>180</v>
      </c>
      <c r="K796" s="12">
        <v>64.23</v>
      </c>
      <c r="L796" s="12">
        <v>11561.4</v>
      </c>
      <c r="M796" s="12">
        <v>-1050.9299999999998</v>
      </c>
      <c r="N796" s="12">
        <v>0</v>
      </c>
      <c r="O796" s="12">
        <v>1366.361024</v>
      </c>
      <c r="P796" s="12">
        <v>11876.831023999999</v>
      </c>
    </row>
    <row r="797" spans="1:16" ht="14.5" x14ac:dyDescent="0.25">
      <c r="A797" s="10">
        <v>45889</v>
      </c>
      <c r="B797" s="2" t="str">
        <f t="shared" si="24"/>
        <v>Aug-2025</v>
      </c>
      <c r="C797" s="2" t="str">
        <f t="shared" si="25"/>
        <v>Q2</v>
      </c>
      <c r="D797" s="2" t="s">
        <v>28</v>
      </c>
      <c r="E797" s="11" t="s">
        <v>224</v>
      </c>
      <c r="F797" s="11" t="s">
        <v>95</v>
      </c>
      <c r="G797" s="11" t="s">
        <v>503</v>
      </c>
      <c r="H797" s="11" t="s">
        <v>59</v>
      </c>
      <c r="I797" s="12">
        <v>1</v>
      </c>
      <c r="J797" s="12">
        <v>180</v>
      </c>
      <c r="K797" s="12">
        <v>64.23</v>
      </c>
      <c r="L797" s="12">
        <v>11561.4</v>
      </c>
      <c r="M797" s="12">
        <v>-1050.9299999999998</v>
      </c>
      <c r="N797" s="12">
        <v>0</v>
      </c>
      <c r="O797" s="12">
        <v>1366.361024</v>
      </c>
      <c r="P797" s="12">
        <v>11876.831023999999</v>
      </c>
    </row>
    <row r="798" spans="1:16" ht="14.5" x14ac:dyDescent="0.25">
      <c r="A798" s="10">
        <v>45889</v>
      </c>
      <c r="B798" s="2" t="str">
        <f t="shared" si="24"/>
        <v>Aug-2025</v>
      </c>
      <c r="C798" s="2" t="str">
        <f t="shared" si="25"/>
        <v>Q2</v>
      </c>
      <c r="D798" s="2" t="s">
        <v>28</v>
      </c>
      <c r="E798" s="11" t="s">
        <v>224</v>
      </c>
      <c r="F798" s="11" t="s">
        <v>95</v>
      </c>
      <c r="G798" s="11" t="s">
        <v>503</v>
      </c>
      <c r="H798" s="11" t="s">
        <v>46</v>
      </c>
      <c r="I798" s="12">
        <v>1</v>
      </c>
      <c r="J798" s="12">
        <v>120</v>
      </c>
      <c r="K798" s="12">
        <v>121.69</v>
      </c>
      <c r="L798" s="12">
        <v>14602.800000000001</v>
      </c>
      <c r="M798" s="12">
        <v>-1327.39</v>
      </c>
      <c r="N798" s="12">
        <v>0</v>
      </c>
      <c r="O798" s="12">
        <v>1725.8032040000001</v>
      </c>
      <c r="P798" s="12">
        <v>15001.213204</v>
      </c>
    </row>
    <row r="799" spans="1:16" ht="14.5" x14ac:dyDescent="0.25">
      <c r="A799" s="10">
        <v>45889</v>
      </c>
      <c r="B799" s="2" t="str">
        <f t="shared" si="24"/>
        <v>Aug-2025</v>
      </c>
      <c r="C799" s="2" t="str">
        <f t="shared" si="25"/>
        <v>Q2</v>
      </c>
      <c r="D799" s="2" t="s">
        <v>28</v>
      </c>
      <c r="E799" s="11" t="s">
        <v>224</v>
      </c>
      <c r="F799" s="11" t="s">
        <v>95</v>
      </c>
      <c r="G799" s="11" t="s">
        <v>503</v>
      </c>
      <c r="H799" s="11" t="s">
        <v>47</v>
      </c>
      <c r="I799" s="12">
        <v>1</v>
      </c>
      <c r="J799" s="12">
        <v>120</v>
      </c>
      <c r="K799" s="12">
        <v>121.69</v>
      </c>
      <c r="L799" s="12">
        <v>14602.800000000001</v>
      </c>
      <c r="M799" s="12">
        <v>-1327.39</v>
      </c>
      <c r="N799" s="12">
        <v>0</v>
      </c>
      <c r="O799" s="12">
        <v>1725.8032040000001</v>
      </c>
      <c r="P799" s="12">
        <v>15001.213204</v>
      </c>
    </row>
    <row r="800" spans="1:16" ht="14.5" x14ac:dyDescent="0.25">
      <c r="A800" s="10">
        <v>45889</v>
      </c>
      <c r="B800" s="2" t="str">
        <f t="shared" si="24"/>
        <v>Aug-2025</v>
      </c>
      <c r="C800" s="2" t="str">
        <f t="shared" si="25"/>
        <v>Q2</v>
      </c>
      <c r="D800" s="2" t="s">
        <v>28</v>
      </c>
      <c r="E800" s="11" t="s">
        <v>224</v>
      </c>
      <c r="F800" s="11" t="s">
        <v>95</v>
      </c>
      <c r="G800" s="11" t="s">
        <v>503</v>
      </c>
      <c r="H800" s="11" t="s">
        <v>44</v>
      </c>
      <c r="I800" s="12">
        <v>0.5</v>
      </c>
      <c r="J800" s="12">
        <v>90</v>
      </c>
      <c r="K800" s="12">
        <v>155.49</v>
      </c>
      <c r="L800" s="12">
        <v>13994.1</v>
      </c>
      <c r="M800" s="12">
        <v>-1272.0600000000002</v>
      </c>
      <c r="N800" s="12">
        <v>0</v>
      </c>
      <c r="O800" s="12">
        <v>1653.865108</v>
      </c>
      <c r="P800" s="12">
        <v>14375.905108000001</v>
      </c>
    </row>
    <row r="801" spans="1:16" ht="14.5" x14ac:dyDescent="0.25">
      <c r="A801" s="10">
        <v>45889</v>
      </c>
      <c r="B801" s="2" t="str">
        <f t="shared" si="24"/>
        <v>Aug-2025</v>
      </c>
      <c r="C801" s="2" t="str">
        <f t="shared" si="25"/>
        <v>Q2</v>
      </c>
      <c r="D801" s="2" t="s">
        <v>28</v>
      </c>
      <c r="E801" s="11" t="s">
        <v>224</v>
      </c>
      <c r="F801" s="11" t="s">
        <v>95</v>
      </c>
      <c r="G801" s="11" t="s">
        <v>503</v>
      </c>
      <c r="H801" s="11" t="s">
        <v>166</v>
      </c>
      <c r="I801" s="12">
        <v>1</v>
      </c>
      <c r="J801" s="12">
        <v>120</v>
      </c>
      <c r="K801" s="12">
        <v>64.23</v>
      </c>
      <c r="L801" s="12">
        <v>7707.5999999999995</v>
      </c>
      <c r="M801" s="12">
        <v>-700.62</v>
      </c>
      <c r="N801" s="12">
        <v>0</v>
      </c>
      <c r="O801" s="12">
        <v>910.90734899999995</v>
      </c>
      <c r="P801" s="12">
        <v>7917.8873489999996</v>
      </c>
    </row>
    <row r="802" spans="1:16" ht="14.5" x14ac:dyDescent="0.25">
      <c r="A802" s="10">
        <v>45889</v>
      </c>
      <c r="B802" s="2" t="str">
        <f t="shared" si="24"/>
        <v>Aug-2025</v>
      </c>
      <c r="C802" s="2" t="str">
        <f t="shared" si="25"/>
        <v>Q2</v>
      </c>
      <c r="D802" s="2" t="s">
        <v>28</v>
      </c>
      <c r="E802" s="11" t="s">
        <v>224</v>
      </c>
      <c r="F802" s="11" t="s">
        <v>95</v>
      </c>
      <c r="G802" s="11" t="s">
        <v>505</v>
      </c>
      <c r="H802" s="11" t="s">
        <v>50</v>
      </c>
      <c r="I802" s="12">
        <v>1</v>
      </c>
      <c r="J802" s="12">
        <v>80</v>
      </c>
      <c r="K802" s="12">
        <v>169.01</v>
      </c>
      <c r="L802" s="12">
        <v>13520.8</v>
      </c>
      <c r="M802" s="12">
        <v>-1229.04</v>
      </c>
      <c r="N802" s="12">
        <v>0</v>
      </c>
      <c r="O802" s="12">
        <v>1597.928711</v>
      </c>
      <c r="P802" s="12">
        <v>13889.688711000001</v>
      </c>
    </row>
    <row r="803" spans="1:16" ht="14.5" x14ac:dyDescent="0.25">
      <c r="A803" s="10">
        <v>45889</v>
      </c>
      <c r="B803" s="2" t="str">
        <f t="shared" ref="B803:B866" si="26">+TEXT(A803,"MMM-yyy")</f>
        <v>Aug-2025</v>
      </c>
      <c r="C803" s="2" t="str">
        <f t="shared" ref="C803:C866" si="27">"Q" &amp; CHOOSE(MONTH(A803),4,4,4,1,1,1,2,2,2,3,3,3)</f>
        <v>Q2</v>
      </c>
      <c r="D803" s="2" t="s">
        <v>28</v>
      </c>
      <c r="E803" s="11" t="s">
        <v>224</v>
      </c>
      <c r="F803" s="11" t="s">
        <v>95</v>
      </c>
      <c r="G803" s="11" t="s">
        <v>503</v>
      </c>
      <c r="H803" s="11" t="s">
        <v>177</v>
      </c>
      <c r="I803" s="12">
        <v>1</v>
      </c>
      <c r="J803" s="12">
        <v>120</v>
      </c>
      <c r="K803" s="12">
        <v>94.65</v>
      </c>
      <c r="L803" s="12">
        <v>11358</v>
      </c>
      <c r="M803" s="12">
        <v>-1032.44</v>
      </c>
      <c r="N803" s="12">
        <v>0</v>
      </c>
      <c r="O803" s="12">
        <v>1342.3227259999999</v>
      </c>
      <c r="P803" s="12">
        <v>11667.882726</v>
      </c>
    </row>
    <row r="804" spans="1:16" ht="14.5" x14ac:dyDescent="0.25">
      <c r="A804" s="10">
        <v>45889</v>
      </c>
      <c r="B804" s="2" t="str">
        <f t="shared" si="26"/>
        <v>Aug-2025</v>
      </c>
      <c r="C804" s="2" t="str">
        <f t="shared" si="27"/>
        <v>Q2</v>
      </c>
      <c r="D804" s="2" t="s">
        <v>28</v>
      </c>
      <c r="E804" s="11" t="s">
        <v>224</v>
      </c>
      <c r="F804" s="11" t="s">
        <v>95</v>
      </c>
      <c r="G804" s="11" t="s">
        <v>505</v>
      </c>
      <c r="H804" s="11" t="s">
        <v>49</v>
      </c>
      <c r="I804" s="12">
        <v>1</v>
      </c>
      <c r="J804" s="12">
        <v>180</v>
      </c>
      <c r="K804" s="12">
        <v>182.53</v>
      </c>
      <c r="L804" s="12">
        <v>32855.4</v>
      </c>
      <c r="M804" s="12">
        <v>-2986.56</v>
      </c>
      <c r="N804" s="12">
        <v>0</v>
      </c>
      <c r="O804" s="12">
        <v>3882.9489850000004</v>
      </c>
      <c r="P804" s="12">
        <v>33751.788984999999</v>
      </c>
    </row>
    <row r="805" spans="1:16" ht="14.5" x14ac:dyDescent="0.25">
      <c r="A805" s="10">
        <v>45889</v>
      </c>
      <c r="B805" s="2" t="str">
        <f t="shared" si="26"/>
        <v>Aug-2025</v>
      </c>
      <c r="C805" s="2" t="str">
        <f t="shared" si="27"/>
        <v>Q2</v>
      </c>
      <c r="D805" s="2" t="s">
        <v>28</v>
      </c>
      <c r="E805" s="11" t="s">
        <v>224</v>
      </c>
      <c r="F805" s="11" t="s">
        <v>95</v>
      </c>
      <c r="G805" s="11" t="s">
        <v>505</v>
      </c>
      <c r="H805" s="11" t="s">
        <v>56</v>
      </c>
      <c r="I805" s="12">
        <v>1</v>
      </c>
      <c r="J805" s="12">
        <v>120</v>
      </c>
      <c r="K805" s="12">
        <v>57.46</v>
      </c>
      <c r="L805" s="12">
        <v>6895.2</v>
      </c>
      <c r="M805" s="12">
        <v>-626.77</v>
      </c>
      <c r="N805" s="12">
        <v>0</v>
      </c>
      <c r="O805" s="12">
        <v>814.89585499999998</v>
      </c>
      <c r="P805" s="12">
        <v>7083.325855</v>
      </c>
    </row>
    <row r="806" spans="1:16" ht="14.5" x14ac:dyDescent="0.25">
      <c r="A806" s="10">
        <v>45889</v>
      </c>
      <c r="B806" s="2" t="str">
        <f t="shared" si="26"/>
        <v>Aug-2025</v>
      </c>
      <c r="C806" s="2" t="str">
        <f t="shared" si="27"/>
        <v>Q2</v>
      </c>
      <c r="D806" s="2" t="s">
        <v>28</v>
      </c>
      <c r="E806" s="11" t="s">
        <v>224</v>
      </c>
      <c r="F806" s="11" t="s">
        <v>95</v>
      </c>
      <c r="G806" s="11" t="s">
        <v>503</v>
      </c>
      <c r="H806" s="11" t="s">
        <v>48</v>
      </c>
      <c r="I806" s="12">
        <v>1</v>
      </c>
      <c r="J806" s="12">
        <v>180</v>
      </c>
      <c r="K806" s="12">
        <v>135.21</v>
      </c>
      <c r="L806" s="12">
        <v>24337.8</v>
      </c>
      <c r="M806" s="12">
        <v>-2212.31</v>
      </c>
      <c r="N806" s="12">
        <v>0</v>
      </c>
      <c r="O806" s="12">
        <v>2876.3135400000001</v>
      </c>
      <c r="P806" s="12">
        <v>25001.803540000001</v>
      </c>
    </row>
    <row r="807" spans="1:16" ht="14.5" x14ac:dyDescent="0.25">
      <c r="A807" s="10">
        <v>45889</v>
      </c>
      <c r="B807" s="2" t="str">
        <f t="shared" si="26"/>
        <v>Aug-2025</v>
      </c>
      <c r="C807" s="2" t="str">
        <f t="shared" si="27"/>
        <v>Q2</v>
      </c>
      <c r="D807" s="2" t="s">
        <v>28</v>
      </c>
      <c r="E807" s="11" t="s">
        <v>224</v>
      </c>
      <c r="F807" s="11" t="s">
        <v>95</v>
      </c>
      <c r="G807" s="11" t="s">
        <v>503</v>
      </c>
      <c r="H807" s="11" t="s">
        <v>57</v>
      </c>
      <c r="I807" s="12">
        <v>1</v>
      </c>
      <c r="J807" s="12">
        <v>180</v>
      </c>
      <c r="K807" s="12">
        <v>121.69</v>
      </c>
      <c r="L807" s="12">
        <v>21904.199999999997</v>
      </c>
      <c r="M807" s="12">
        <v>-1991.09</v>
      </c>
      <c r="N807" s="12">
        <v>0</v>
      </c>
      <c r="O807" s="12">
        <v>2588.7041560000002</v>
      </c>
      <c r="P807" s="12">
        <v>22501.814156</v>
      </c>
    </row>
    <row r="808" spans="1:16" ht="14.5" x14ac:dyDescent="0.25">
      <c r="A808" s="10">
        <v>45889</v>
      </c>
      <c r="B808" s="2" t="str">
        <f t="shared" si="26"/>
        <v>Aug-2025</v>
      </c>
      <c r="C808" s="2" t="str">
        <f t="shared" si="27"/>
        <v>Q2</v>
      </c>
      <c r="D808" s="2" t="s">
        <v>28</v>
      </c>
      <c r="E808" s="11" t="s">
        <v>224</v>
      </c>
      <c r="F808" s="11" t="s">
        <v>95</v>
      </c>
      <c r="G808" s="11" t="s">
        <v>503</v>
      </c>
      <c r="H808" s="11" t="s">
        <v>45</v>
      </c>
      <c r="I808" s="12">
        <v>1</v>
      </c>
      <c r="J808" s="12">
        <v>180</v>
      </c>
      <c r="K808" s="12">
        <v>64.23</v>
      </c>
      <c r="L808" s="12">
        <v>11561.4</v>
      </c>
      <c r="M808" s="12">
        <v>-1050.9299999999998</v>
      </c>
      <c r="N808" s="12">
        <v>0</v>
      </c>
      <c r="O808" s="12">
        <v>1366.361024</v>
      </c>
      <c r="P808" s="12">
        <v>11876.831023999999</v>
      </c>
    </row>
    <row r="809" spans="1:16" ht="14.5" x14ac:dyDescent="0.25">
      <c r="A809" s="10">
        <v>45889</v>
      </c>
      <c r="B809" s="2" t="str">
        <f t="shared" si="26"/>
        <v>Aug-2025</v>
      </c>
      <c r="C809" s="2" t="str">
        <f t="shared" si="27"/>
        <v>Q2</v>
      </c>
      <c r="D809" s="2" t="s">
        <v>28</v>
      </c>
      <c r="E809" s="11" t="s">
        <v>224</v>
      </c>
      <c r="F809" s="11" t="s">
        <v>95</v>
      </c>
      <c r="G809" s="11" t="s">
        <v>505</v>
      </c>
      <c r="H809" s="11" t="s">
        <v>40</v>
      </c>
      <c r="I809" s="12">
        <v>1</v>
      </c>
      <c r="J809" s="12">
        <v>180</v>
      </c>
      <c r="K809" s="12">
        <v>94.65</v>
      </c>
      <c r="L809" s="12">
        <v>17037</v>
      </c>
      <c r="M809" s="12">
        <v>-1548.6599999999999</v>
      </c>
      <c r="N809" s="12">
        <v>0</v>
      </c>
      <c r="O809" s="12">
        <v>2013.4840879999999</v>
      </c>
      <c r="P809" s="12">
        <v>17501.824088000001</v>
      </c>
    </row>
    <row r="810" spans="1:16" ht="14.5" x14ac:dyDescent="0.25">
      <c r="A810" s="10">
        <v>45894</v>
      </c>
      <c r="B810" s="2" t="str">
        <f t="shared" si="26"/>
        <v>Aug-2025</v>
      </c>
      <c r="C810" s="2" t="str">
        <f t="shared" si="27"/>
        <v>Q2</v>
      </c>
      <c r="D810" s="2" t="s">
        <v>28</v>
      </c>
      <c r="E810" s="11" t="s">
        <v>225</v>
      </c>
      <c r="F810" s="11" t="s">
        <v>104</v>
      </c>
      <c r="G810" s="11" t="s">
        <v>503</v>
      </c>
      <c r="H810" s="11" t="s">
        <v>59</v>
      </c>
      <c r="I810" s="12">
        <v>0.22</v>
      </c>
      <c r="J810" s="12">
        <v>39</v>
      </c>
      <c r="K810" s="12">
        <v>67.260000000000005</v>
      </c>
      <c r="L810" s="12">
        <v>2623.14</v>
      </c>
      <c r="M810" s="12">
        <v>0</v>
      </c>
      <c r="N810" s="12">
        <v>0</v>
      </c>
      <c r="O810" s="12">
        <v>341.00771899999995</v>
      </c>
      <c r="P810" s="12">
        <v>2964.1477190000001</v>
      </c>
    </row>
    <row r="811" spans="1:16" ht="14.5" x14ac:dyDescent="0.25">
      <c r="A811" s="10">
        <v>45894</v>
      </c>
      <c r="B811" s="2" t="str">
        <f t="shared" si="26"/>
        <v>Aug-2025</v>
      </c>
      <c r="C811" s="2" t="str">
        <f t="shared" si="27"/>
        <v>Q2</v>
      </c>
      <c r="D811" s="2" t="s">
        <v>28</v>
      </c>
      <c r="E811" s="11" t="s">
        <v>225</v>
      </c>
      <c r="F811" s="11" t="s">
        <v>104</v>
      </c>
      <c r="G811" s="11" t="s">
        <v>503</v>
      </c>
      <c r="H811" s="11" t="s">
        <v>51</v>
      </c>
      <c r="I811" s="12">
        <v>0.09</v>
      </c>
      <c r="J811" s="12">
        <v>17</v>
      </c>
      <c r="K811" s="12">
        <v>67.260000000000005</v>
      </c>
      <c r="L811" s="12">
        <v>1143.42</v>
      </c>
      <c r="M811" s="12">
        <v>0</v>
      </c>
      <c r="N811" s="12">
        <v>0</v>
      </c>
      <c r="O811" s="12">
        <v>148.64439000000002</v>
      </c>
      <c r="P811" s="12">
        <v>1292.06439</v>
      </c>
    </row>
    <row r="812" spans="1:16" ht="14.5" x14ac:dyDescent="0.25">
      <c r="A812" s="10">
        <v>45894</v>
      </c>
      <c r="B812" s="2" t="str">
        <f t="shared" si="26"/>
        <v>Aug-2025</v>
      </c>
      <c r="C812" s="2" t="str">
        <f t="shared" si="27"/>
        <v>Q2</v>
      </c>
      <c r="D812" s="2" t="s">
        <v>28</v>
      </c>
      <c r="E812" s="11" t="s">
        <v>225</v>
      </c>
      <c r="F812" s="11" t="s">
        <v>104</v>
      </c>
      <c r="G812" s="11" t="s">
        <v>503</v>
      </c>
      <c r="H812" s="11" t="s">
        <v>41</v>
      </c>
      <c r="I812" s="12">
        <v>0.11</v>
      </c>
      <c r="J812" s="12">
        <v>19</v>
      </c>
      <c r="K812" s="12">
        <v>63.72</v>
      </c>
      <c r="L812" s="12">
        <v>1210.68</v>
      </c>
      <c r="M812" s="12">
        <v>0</v>
      </c>
      <c r="N812" s="12">
        <v>0</v>
      </c>
      <c r="O812" s="12">
        <v>157.38817799999998</v>
      </c>
      <c r="P812" s="12">
        <v>1368.068178</v>
      </c>
    </row>
    <row r="813" spans="1:16" ht="14.5" x14ac:dyDescent="0.25">
      <c r="A813" s="10">
        <v>45894</v>
      </c>
      <c r="B813" s="2" t="str">
        <f t="shared" si="26"/>
        <v>Aug-2025</v>
      </c>
      <c r="C813" s="2" t="str">
        <f t="shared" si="27"/>
        <v>Q2</v>
      </c>
      <c r="D813" s="2" t="s">
        <v>28</v>
      </c>
      <c r="E813" s="11" t="s">
        <v>225</v>
      </c>
      <c r="F813" s="11" t="s">
        <v>104</v>
      </c>
      <c r="G813" s="11" t="s">
        <v>503</v>
      </c>
      <c r="H813" s="11" t="s">
        <v>45</v>
      </c>
      <c r="I813" s="12">
        <v>0.26</v>
      </c>
      <c r="J813" s="12">
        <v>47</v>
      </c>
      <c r="K813" s="12">
        <v>67.260000000000005</v>
      </c>
      <c r="L813" s="12">
        <v>3161.22</v>
      </c>
      <c r="M813" s="12">
        <v>0</v>
      </c>
      <c r="N813" s="12">
        <v>0</v>
      </c>
      <c r="O813" s="12">
        <v>410.95802099999997</v>
      </c>
      <c r="P813" s="12">
        <v>3572.1780210000002</v>
      </c>
    </row>
    <row r="814" spans="1:16" ht="14.5" x14ac:dyDescent="0.25">
      <c r="A814" s="10">
        <v>45894</v>
      </c>
      <c r="B814" s="2" t="str">
        <f t="shared" si="26"/>
        <v>Aug-2025</v>
      </c>
      <c r="C814" s="2" t="str">
        <f t="shared" si="27"/>
        <v>Q2</v>
      </c>
      <c r="D814" s="2" t="s">
        <v>28</v>
      </c>
      <c r="E814" s="11" t="s">
        <v>225</v>
      </c>
      <c r="F814" s="11" t="s">
        <v>104</v>
      </c>
      <c r="G814" s="11" t="s">
        <v>503</v>
      </c>
      <c r="H814" s="11" t="s">
        <v>52</v>
      </c>
      <c r="I814" s="12">
        <v>0.03</v>
      </c>
      <c r="J814" s="12">
        <v>5</v>
      </c>
      <c r="K814" s="12">
        <v>74.34</v>
      </c>
      <c r="L814" s="12">
        <v>371.7</v>
      </c>
      <c r="M814" s="12">
        <v>0</v>
      </c>
      <c r="N814" s="12">
        <v>0</v>
      </c>
      <c r="O814" s="12">
        <v>48.320931999999999</v>
      </c>
      <c r="P814" s="12">
        <v>420.02093200000002</v>
      </c>
    </row>
    <row r="815" spans="1:16" ht="14.5" x14ac:dyDescent="0.25">
      <c r="A815" s="10">
        <v>45894</v>
      </c>
      <c r="B815" s="2" t="str">
        <f t="shared" si="26"/>
        <v>Aug-2025</v>
      </c>
      <c r="C815" s="2" t="str">
        <f t="shared" si="27"/>
        <v>Q2</v>
      </c>
      <c r="D815" s="2" t="s">
        <v>28</v>
      </c>
      <c r="E815" s="11" t="s">
        <v>225</v>
      </c>
      <c r="F815" s="11" t="s">
        <v>104</v>
      </c>
      <c r="G815" s="11" t="s">
        <v>505</v>
      </c>
      <c r="H815" s="11" t="s">
        <v>40</v>
      </c>
      <c r="I815" s="12">
        <v>0.22</v>
      </c>
      <c r="J815" s="12">
        <v>39</v>
      </c>
      <c r="K815" s="12">
        <v>99.12</v>
      </c>
      <c r="L815" s="12">
        <v>3865.68</v>
      </c>
      <c r="M815" s="12">
        <v>0</v>
      </c>
      <c r="N815" s="12">
        <v>0</v>
      </c>
      <c r="O815" s="12">
        <v>502.53769199999999</v>
      </c>
      <c r="P815" s="12">
        <v>4368.2176920000002</v>
      </c>
    </row>
    <row r="816" spans="1:16" ht="14.5" x14ac:dyDescent="0.25">
      <c r="A816" s="10">
        <v>45894</v>
      </c>
      <c r="B816" s="2" t="str">
        <f t="shared" si="26"/>
        <v>Aug-2025</v>
      </c>
      <c r="C816" s="2" t="str">
        <f t="shared" si="27"/>
        <v>Q2</v>
      </c>
      <c r="D816" s="2" t="s">
        <v>28</v>
      </c>
      <c r="E816" s="11" t="s">
        <v>225</v>
      </c>
      <c r="F816" s="11" t="s">
        <v>104</v>
      </c>
      <c r="G816" s="11" t="s">
        <v>507</v>
      </c>
      <c r="H816" s="11" t="s">
        <v>60</v>
      </c>
      <c r="I816" s="12">
        <v>0.57999999999999996</v>
      </c>
      <c r="J816" s="12">
        <v>35</v>
      </c>
      <c r="K816" s="12">
        <v>102.65</v>
      </c>
      <c r="L816" s="12">
        <v>3592.75</v>
      </c>
      <c r="M816" s="12">
        <v>0</v>
      </c>
      <c r="N816" s="12">
        <v>0</v>
      </c>
      <c r="O816" s="12">
        <v>467.05684200000002</v>
      </c>
      <c r="P816" s="12">
        <v>4059.806842</v>
      </c>
    </row>
    <row r="817" spans="1:16" ht="14.5" x14ac:dyDescent="0.25">
      <c r="A817" s="10">
        <v>45894</v>
      </c>
      <c r="B817" s="2" t="str">
        <f t="shared" si="26"/>
        <v>Aug-2025</v>
      </c>
      <c r="C817" s="2" t="str">
        <f t="shared" si="27"/>
        <v>Q2</v>
      </c>
      <c r="D817" s="2" t="s">
        <v>28</v>
      </c>
      <c r="E817" s="11" t="s">
        <v>225</v>
      </c>
      <c r="F817" s="11" t="s">
        <v>104</v>
      </c>
      <c r="G817" s="11" t="s">
        <v>505</v>
      </c>
      <c r="H817" s="11" t="s">
        <v>56</v>
      </c>
      <c r="I817" s="12">
        <v>0.43</v>
      </c>
      <c r="J817" s="12">
        <v>52</v>
      </c>
      <c r="K817" s="12">
        <v>60.18</v>
      </c>
      <c r="L817" s="12">
        <v>3129.36</v>
      </c>
      <c r="M817" s="12">
        <v>0</v>
      </c>
      <c r="N817" s="12">
        <v>0</v>
      </c>
      <c r="O817" s="12">
        <v>406.81622599999997</v>
      </c>
      <c r="P817" s="12">
        <v>3536.176226</v>
      </c>
    </row>
    <row r="818" spans="1:16" ht="14.5" x14ac:dyDescent="0.25">
      <c r="A818" s="10">
        <v>45900</v>
      </c>
      <c r="B818" s="2" t="str">
        <f t="shared" si="26"/>
        <v>Aug-2025</v>
      </c>
      <c r="C818" s="2" t="str">
        <f t="shared" si="27"/>
        <v>Q2</v>
      </c>
      <c r="D818" s="2" t="s">
        <v>28</v>
      </c>
      <c r="E818" s="11" t="s">
        <v>226</v>
      </c>
      <c r="F818" s="11" t="s">
        <v>13</v>
      </c>
      <c r="G818" s="11" t="s">
        <v>503</v>
      </c>
      <c r="H818" s="11" t="s">
        <v>42</v>
      </c>
      <c r="I818" s="12">
        <v>1</v>
      </c>
      <c r="J818" s="12">
        <v>120</v>
      </c>
      <c r="K818" s="12">
        <v>141.97</v>
      </c>
      <c r="L818" s="12">
        <v>17036.400000000001</v>
      </c>
      <c r="M818" s="12">
        <v>-1548.61</v>
      </c>
      <c r="N818" s="12">
        <v>0</v>
      </c>
      <c r="O818" s="12">
        <v>2013.4126860000001</v>
      </c>
      <c r="P818" s="12">
        <v>17501.202686000001</v>
      </c>
    </row>
    <row r="819" spans="1:16" ht="14.5" x14ac:dyDescent="0.25">
      <c r="A819" s="10">
        <v>45900</v>
      </c>
      <c r="B819" s="2" t="str">
        <f t="shared" si="26"/>
        <v>Aug-2025</v>
      </c>
      <c r="C819" s="2" t="str">
        <f t="shared" si="27"/>
        <v>Q2</v>
      </c>
      <c r="D819" s="2" t="s">
        <v>28</v>
      </c>
      <c r="E819" s="11" t="s">
        <v>226</v>
      </c>
      <c r="F819" s="11" t="s">
        <v>13</v>
      </c>
      <c r="G819" s="11" t="s">
        <v>503</v>
      </c>
      <c r="H819" s="11" t="s">
        <v>48</v>
      </c>
      <c r="I819" s="12">
        <v>1</v>
      </c>
      <c r="J819" s="12">
        <v>180</v>
      </c>
      <c r="K819" s="12">
        <v>135.21</v>
      </c>
      <c r="L819" s="12">
        <v>24337.8</v>
      </c>
      <c r="M819" s="12">
        <v>-2212.31</v>
      </c>
      <c r="N819" s="12">
        <v>0</v>
      </c>
      <c r="O819" s="12">
        <v>2876.3136800000002</v>
      </c>
      <c r="P819" s="12">
        <v>25001.803680000001</v>
      </c>
    </row>
    <row r="820" spans="1:16" ht="14.5" x14ac:dyDescent="0.25">
      <c r="A820" s="10">
        <v>45900</v>
      </c>
      <c r="B820" s="2" t="str">
        <f t="shared" si="26"/>
        <v>Aug-2025</v>
      </c>
      <c r="C820" s="2" t="str">
        <f t="shared" si="27"/>
        <v>Q2</v>
      </c>
      <c r="D820" s="2" t="s">
        <v>28</v>
      </c>
      <c r="E820" s="11" t="s">
        <v>226</v>
      </c>
      <c r="F820" s="11" t="s">
        <v>13</v>
      </c>
      <c r="G820" s="11" t="s">
        <v>503</v>
      </c>
      <c r="H820" s="11" t="s">
        <v>173</v>
      </c>
      <c r="I820" s="12">
        <v>1</v>
      </c>
      <c r="J820" s="12">
        <v>120</v>
      </c>
      <c r="K820" s="12">
        <v>84.51</v>
      </c>
      <c r="L820" s="12">
        <v>10141.199999999999</v>
      </c>
      <c r="M820" s="12">
        <v>-921.84</v>
      </c>
      <c r="N820" s="12">
        <v>0</v>
      </c>
      <c r="O820" s="12">
        <v>1198.5167920000001</v>
      </c>
      <c r="P820" s="12">
        <v>10417.876791999999</v>
      </c>
    </row>
    <row r="821" spans="1:16" ht="14.5" x14ac:dyDescent="0.25">
      <c r="A821" s="10">
        <v>45900</v>
      </c>
      <c r="B821" s="2" t="str">
        <f t="shared" si="26"/>
        <v>Aug-2025</v>
      </c>
      <c r="C821" s="2" t="str">
        <f t="shared" si="27"/>
        <v>Q2</v>
      </c>
      <c r="D821" s="2" t="s">
        <v>28</v>
      </c>
      <c r="E821" s="11" t="s">
        <v>226</v>
      </c>
      <c r="F821" s="11" t="s">
        <v>13</v>
      </c>
      <c r="G821" s="11" t="s">
        <v>505</v>
      </c>
      <c r="H821" s="11" t="s">
        <v>167</v>
      </c>
      <c r="I821" s="12">
        <v>1</v>
      </c>
      <c r="J821" s="12">
        <v>180</v>
      </c>
      <c r="K821" s="12">
        <v>91.27</v>
      </c>
      <c r="L821" s="12">
        <v>16428.599999999999</v>
      </c>
      <c r="M821" s="12">
        <v>-1493.36</v>
      </c>
      <c r="N821" s="12">
        <v>0</v>
      </c>
      <c r="O821" s="12">
        <v>1941.581187</v>
      </c>
      <c r="P821" s="12">
        <v>16876.821187000001</v>
      </c>
    </row>
    <row r="822" spans="1:16" ht="14.5" x14ac:dyDescent="0.25">
      <c r="A822" s="10">
        <v>45900</v>
      </c>
      <c r="B822" s="2" t="str">
        <f t="shared" si="26"/>
        <v>Aug-2025</v>
      </c>
      <c r="C822" s="2" t="str">
        <f t="shared" si="27"/>
        <v>Q2</v>
      </c>
      <c r="D822" s="2" t="s">
        <v>28</v>
      </c>
      <c r="E822" s="11" t="s">
        <v>226</v>
      </c>
      <c r="F822" s="11" t="s">
        <v>13</v>
      </c>
      <c r="G822" s="11" t="s">
        <v>505</v>
      </c>
      <c r="H822" s="11" t="s">
        <v>55</v>
      </c>
      <c r="I822" s="12">
        <v>1</v>
      </c>
      <c r="J822" s="12">
        <v>120</v>
      </c>
      <c r="K822" s="12">
        <v>152.11000000000001</v>
      </c>
      <c r="L822" s="12">
        <v>18253.2</v>
      </c>
      <c r="M822" s="12">
        <v>-1659.2199999999998</v>
      </c>
      <c r="N822" s="12">
        <v>0</v>
      </c>
      <c r="O822" s="12">
        <v>2157.2173849999999</v>
      </c>
      <c r="P822" s="12">
        <v>18751.197384999999</v>
      </c>
    </row>
    <row r="823" spans="1:16" ht="14.5" x14ac:dyDescent="0.25">
      <c r="A823" s="10">
        <v>45900</v>
      </c>
      <c r="B823" s="2" t="str">
        <f t="shared" si="26"/>
        <v>Aug-2025</v>
      </c>
      <c r="C823" s="2" t="str">
        <f t="shared" si="27"/>
        <v>Q2</v>
      </c>
      <c r="D823" s="2" t="s">
        <v>28</v>
      </c>
      <c r="E823" s="11" t="s">
        <v>226</v>
      </c>
      <c r="F823" s="11" t="s">
        <v>13</v>
      </c>
      <c r="G823" s="11" t="s">
        <v>503</v>
      </c>
      <c r="H823" s="11" t="s">
        <v>177</v>
      </c>
      <c r="I823" s="12">
        <v>1</v>
      </c>
      <c r="J823" s="12">
        <v>120</v>
      </c>
      <c r="K823" s="12">
        <v>94.65</v>
      </c>
      <c r="L823" s="12">
        <v>11358</v>
      </c>
      <c r="M823" s="12">
        <v>-1032.44</v>
      </c>
      <c r="N823" s="12">
        <v>0</v>
      </c>
      <c r="O823" s="12">
        <v>1342.3227909999998</v>
      </c>
      <c r="P823" s="12">
        <v>11667.882791</v>
      </c>
    </row>
    <row r="824" spans="1:16" ht="14.5" x14ac:dyDescent="0.25">
      <c r="A824" s="10">
        <v>45900</v>
      </c>
      <c r="B824" s="2" t="str">
        <f t="shared" si="26"/>
        <v>Aug-2025</v>
      </c>
      <c r="C824" s="2" t="str">
        <f t="shared" si="27"/>
        <v>Q2</v>
      </c>
      <c r="D824" s="2" t="s">
        <v>28</v>
      </c>
      <c r="E824" s="11" t="s">
        <v>226</v>
      </c>
      <c r="F824" s="11" t="s">
        <v>13</v>
      </c>
      <c r="G824" s="11" t="s">
        <v>503</v>
      </c>
      <c r="H824" s="11" t="s">
        <v>52</v>
      </c>
      <c r="I824" s="12">
        <v>1</v>
      </c>
      <c r="J824" s="12">
        <v>180</v>
      </c>
      <c r="K824" s="12">
        <v>70.989999999999995</v>
      </c>
      <c r="L824" s="12">
        <v>12778.2</v>
      </c>
      <c r="M824" s="12">
        <v>-1161.54</v>
      </c>
      <c r="N824" s="12">
        <v>0</v>
      </c>
      <c r="O824" s="12">
        <v>1510.16579</v>
      </c>
      <c r="P824" s="12">
        <v>13126.825790000001</v>
      </c>
    </row>
    <row r="825" spans="1:16" ht="14.5" x14ac:dyDescent="0.25">
      <c r="A825" s="10">
        <v>45900</v>
      </c>
      <c r="B825" s="2" t="str">
        <f t="shared" si="26"/>
        <v>Aug-2025</v>
      </c>
      <c r="C825" s="2" t="str">
        <f t="shared" si="27"/>
        <v>Q2</v>
      </c>
      <c r="D825" s="2" t="s">
        <v>28</v>
      </c>
      <c r="E825" s="11" t="s">
        <v>226</v>
      </c>
      <c r="F825" s="11" t="s">
        <v>13</v>
      </c>
      <c r="G825" s="11" t="s">
        <v>503</v>
      </c>
      <c r="H825" s="11" t="s">
        <v>179</v>
      </c>
      <c r="I825" s="12">
        <v>1</v>
      </c>
      <c r="J825" s="12">
        <v>180</v>
      </c>
      <c r="K825" s="12">
        <v>128.44999999999999</v>
      </c>
      <c r="L825" s="12">
        <v>23121.000000000004</v>
      </c>
      <c r="M825" s="12">
        <v>-2101.6999999999998</v>
      </c>
      <c r="N825" s="12">
        <v>0</v>
      </c>
      <c r="O825" s="12">
        <v>2732.5089810000004</v>
      </c>
      <c r="P825" s="12">
        <v>23751.808980999998</v>
      </c>
    </row>
    <row r="826" spans="1:16" ht="14.5" x14ac:dyDescent="0.25">
      <c r="A826" s="10">
        <v>45900</v>
      </c>
      <c r="B826" s="2" t="str">
        <f t="shared" si="26"/>
        <v>Aug-2025</v>
      </c>
      <c r="C826" s="2" t="str">
        <f t="shared" si="27"/>
        <v>Q2</v>
      </c>
      <c r="D826" s="2" t="s">
        <v>28</v>
      </c>
      <c r="E826" s="11" t="s">
        <v>226</v>
      </c>
      <c r="F826" s="11" t="s">
        <v>13</v>
      </c>
      <c r="G826" s="11" t="s">
        <v>503</v>
      </c>
      <c r="H826" s="11" t="s">
        <v>166</v>
      </c>
      <c r="I826" s="12">
        <v>1</v>
      </c>
      <c r="J826" s="12">
        <v>120</v>
      </c>
      <c r="K826" s="12">
        <v>64.23</v>
      </c>
      <c r="L826" s="12">
        <v>7707.5999999999995</v>
      </c>
      <c r="M826" s="12">
        <v>-700.62</v>
      </c>
      <c r="N826" s="12">
        <v>0</v>
      </c>
      <c r="O826" s="12">
        <v>910.90739399999995</v>
      </c>
      <c r="P826" s="12">
        <v>7917.8873940000003</v>
      </c>
    </row>
    <row r="827" spans="1:16" ht="14.5" x14ac:dyDescent="0.25">
      <c r="A827" s="10">
        <v>45900</v>
      </c>
      <c r="B827" s="2" t="str">
        <f t="shared" si="26"/>
        <v>Aug-2025</v>
      </c>
      <c r="C827" s="2" t="str">
        <f t="shared" si="27"/>
        <v>Q2</v>
      </c>
      <c r="D827" s="2" t="s">
        <v>28</v>
      </c>
      <c r="E827" s="11" t="s">
        <v>226</v>
      </c>
      <c r="F827" s="11" t="s">
        <v>13</v>
      </c>
      <c r="G827" s="11" t="s">
        <v>505</v>
      </c>
      <c r="H827" s="11" t="s">
        <v>168</v>
      </c>
      <c r="I827" s="12">
        <v>1</v>
      </c>
      <c r="J827" s="12">
        <v>80</v>
      </c>
      <c r="K827" s="12">
        <v>229.86</v>
      </c>
      <c r="L827" s="12">
        <v>18388.8</v>
      </c>
      <c r="M827" s="12">
        <v>-1671.54</v>
      </c>
      <c r="N827" s="12">
        <v>0</v>
      </c>
      <c r="O827" s="12">
        <v>2173.2437850000001</v>
      </c>
      <c r="P827" s="12">
        <v>18890.503785000001</v>
      </c>
    </row>
    <row r="828" spans="1:16" ht="14.5" x14ac:dyDescent="0.25">
      <c r="A828" s="10">
        <v>45900</v>
      </c>
      <c r="B828" s="2" t="str">
        <f t="shared" si="26"/>
        <v>Aug-2025</v>
      </c>
      <c r="C828" s="2" t="str">
        <f t="shared" si="27"/>
        <v>Q2</v>
      </c>
      <c r="D828" s="2" t="s">
        <v>28</v>
      </c>
      <c r="E828" s="11" t="s">
        <v>226</v>
      </c>
      <c r="F828" s="11" t="s">
        <v>13</v>
      </c>
      <c r="G828" s="11" t="s">
        <v>505</v>
      </c>
      <c r="H828" s="11" t="s">
        <v>40</v>
      </c>
      <c r="I828" s="12">
        <v>1</v>
      </c>
      <c r="J828" s="12">
        <v>180</v>
      </c>
      <c r="K828" s="12">
        <v>94.65</v>
      </c>
      <c r="L828" s="12">
        <v>17037</v>
      </c>
      <c r="M828" s="12">
        <v>-1548.6599999999999</v>
      </c>
      <c r="N828" s="12">
        <v>0</v>
      </c>
      <c r="O828" s="12">
        <v>2013.4841860000001</v>
      </c>
      <c r="P828" s="12">
        <v>17501.824186000002</v>
      </c>
    </row>
    <row r="829" spans="1:16" ht="14.5" x14ac:dyDescent="0.25">
      <c r="A829" s="10">
        <v>45900</v>
      </c>
      <c r="B829" s="2" t="str">
        <f t="shared" si="26"/>
        <v>Aug-2025</v>
      </c>
      <c r="C829" s="2" t="str">
        <f t="shared" si="27"/>
        <v>Q2</v>
      </c>
      <c r="D829" s="2" t="s">
        <v>28</v>
      </c>
      <c r="E829" s="11" t="s">
        <v>226</v>
      </c>
      <c r="F829" s="11" t="s">
        <v>13</v>
      </c>
      <c r="G829" s="11" t="s">
        <v>503</v>
      </c>
      <c r="H829" s="11" t="s">
        <v>190</v>
      </c>
      <c r="I829" s="12">
        <v>1</v>
      </c>
      <c r="J829" s="12">
        <v>180</v>
      </c>
      <c r="K829" s="12">
        <v>84.51</v>
      </c>
      <c r="L829" s="12">
        <v>15211.800000000001</v>
      </c>
      <c r="M829" s="12">
        <v>-1382.75</v>
      </c>
      <c r="N829" s="12">
        <v>0</v>
      </c>
      <c r="O829" s="12">
        <v>1797.7764880000002</v>
      </c>
      <c r="P829" s="12">
        <v>15626.826488000001</v>
      </c>
    </row>
    <row r="830" spans="1:16" ht="14.5" x14ac:dyDescent="0.25">
      <c r="A830" s="10">
        <v>45900</v>
      </c>
      <c r="B830" s="2" t="str">
        <f t="shared" si="26"/>
        <v>Aug-2025</v>
      </c>
      <c r="C830" s="2" t="str">
        <f t="shared" si="27"/>
        <v>Q2</v>
      </c>
      <c r="D830" s="2" t="s">
        <v>28</v>
      </c>
      <c r="E830" s="11" t="s">
        <v>226</v>
      </c>
      <c r="F830" s="11" t="s">
        <v>13</v>
      </c>
      <c r="G830" s="11" t="s">
        <v>505</v>
      </c>
      <c r="H830" s="11" t="s">
        <v>49</v>
      </c>
      <c r="I830" s="12">
        <v>1</v>
      </c>
      <c r="J830" s="12">
        <v>180</v>
      </c>
      <c r="K830" s="12">
        <v>182.53</v>
      </c>
      <c r="L830" s="12">
        <v>32855.4</v>
      </c>
      <c r="M830" s="12">
        <v>-2986.56</v>
      </c>
      <c r="N830" s="12">
        <v>0</v>
      </c>
      <c r="O830" s="12">
        <v>3882.9491730000004</v>
      </c>
      <c r="P830" s="12">
        <v>33751.789172999997</v>
      </c>
    </row>
    <row r="831" spans="1:16" ht="14.5" x14ac:dyDescent="0.25">
      <c r="A831" s="10">
        <v>45900</v>
      </c>
      <c r="B831" s="2" t="str">
        <f t="shared" si="26"/>
        <v>Aug-2025</v>
      </c>
      <c r="C831" s="2" t="str">
        <f t="shared" si="27"/>
        <v>Q2</v>
      </c>
      <c r="D831" s="2" t="s">
        <v>28</v>
      </c>
      <c r="E831" s="11" t="s">
        <v>226</v>
      </c>
      <c r="F831" s="11" t="s">
        <v>13</v>
      </c>
      <c r="G831" s="11" t="s">
        <v>505</v>
      </c>
      <c r="H831" s="11" t="s">
        <v>56</v>
      </c>
      <c r="I831" s="12">
        <v>1</v>
      </c>
      <c r="J831" s="12">
        <v>120</v>
      </c>
      <c r="K831" s="12">
        <v>57.46</v>
      </c>
      <c r="L831" s="12">
        <v>6895.2</v>
      </c>
      <c r="M831" s="12">
        <v>-626.77</v>
      </c>
      <c r="N831" s="12">
        <v>0</v>
      </c>
      <c r="O831" s="12">
        <v>814.895894</v>
      </c>
      <c r="P831" s="12">
        <v>7083.3258939999996</v>
      </c>
    </row>
    <row r="832" spans="1:16" ht="14.5" x14ac:dyDescent="0.25">
      <c r="A832" s="10">
        <v>45900</v>
      </c>
      <c r="B832" s="2" t="str">
        <f t="shared" si="26"/>
        <v>Aug-2025</v>
      </c>
      <c r="C832" s="2" t="str">
        <f t="shared" si="27"/>
        <v>Q2</v>
      </c>
      <c r="D832" s="2" t="s">
        <v>28</v>
      </c>
      <c r="E832" s="11" t="s">
        <v>226</v>
      </c>
      <c r="F832" s="11" t="s">
        <v>13</v>
      </c>
      <c r="G832" s="11" t="s">
        <v>503</v>
      </c>
      <c r="H832" s="11" t="s">
        <v>57</v>
      </c>
      <c r="I832" s="12">
        <v>1</v>
      </c>
      <c r="J832" s="12">
        <v>180</v>
      </c>
      <c r="K832" s="12">
        <v>121.69</v>
      </c>
      <c r="L832" s="12">
        <v>21904.199999999997</v>
      </c>
      <c r="M832" s="12">
        <v>-1991.09</v>
      </c>
      <c r="N832" s="12">
        <v>0</v>
      </c>
      <c r="O832" s="12">
        <v>2588.7042819999997</v>
      </c>
      <c r="P832" s="12">
        <v>22501.814281999999</v>
      </c>
    </row>
    <row r="833" spans="1:16" ht="14.5" x14ac:dyDescent="0.25">
      <c r="A833" s="10">
        <v>45900</v>
      </c>
      <c r="B833" s="2" t="str">
        <f t="shared" si="26"/>
        <v>Aug-2025</v>
      </c>
      <c r="C833" s="2" t="str">
        <f t="shared" si="27"/>
        <v>Q2</v>
      </c>
      <c r="D833" s="2" t="s">
        <v>28</v>
      </c>
      <c r="E833" s="11" t="s">
        <v>226</v>
      </c>
      <c r="F833" s="11" t="s">
        <v>13</v>
      </c>
      <c r="G833" s="11" t="s">
        <v>503</v>
      </c>
      <c r="H833" s="11" t="s">
        <v>45</v>
      </c>
      <c r="I833" s="12">
        <v>1</v>
      </c>
      <c r="J833" s="12">
        <v>180</v>
      </c>
      <c r="K833" s="12">
        <v>64.23</v>
      </c>
      <c r="L833" s="12">
        <v>11561.4</v>
      </c>
      <c r="M833" s="12">
        <v>-1050.9299999999998</v>
      </c>
      <c r="N833" s="12">
        <v>0</v>
      </c>
      <c r="O833" s="12">
        <v>1366.361091</v>
      </c>
      <c r="P833" s="12">
        <v>11876.831091</v>
      </c>
    </row>
    <row r="834" spans="1:16" ht="14.5" x14ac:dyDescent="0.25">
      <c r="A834" s="10">
        <v>45900</v>
      </c>
      <c r="B834" s="2" t="str">
        <f t="shared" si="26"/>
        <v>Aug-2025</v>
      </c>
      <c r="C834" s="2" t="str">
        <f t="shared" si="27"/>
        <v>Q2</v>
      </c>
      <c r="D834" s="2" t="s">
        <v>28</v>
      </c>
      <c r="E834" s="11" t="s">
        <v>226</v>
      </c>
      <c r="F834" s="11" t="s">
        <v>13</v>
      </c>
      <c r="G834" s="11" t="s">
        <v>503</v>
      </c>
      <c r="H834" s="11" t="s">
        <v>172</v>
      </c>
      <c r="I834" s="12">
        <v>1</v>
      </c>
      <c r="J834" s="12">
        <v>180</v>
      </c>
      <c r="K834" s="12">
        <v>101.41</v>
      </c>
      <c r="L834" s="12">
        <v>18253.8</v>
      </c>
      <c r="M834" s="12">
        <v>-1659.27</v>
      </c>
      <c r="N834" s="12">
        <v>0</v>
      </c>
      <c r="O834" s="12">
        <v>2157.2888849999999</v>
      </c>
      <c r="P834" s="12">
        <v>18751.818885000001</v>
      </c>
    </row>
    <row r="835" spans="1:16" ht="14.5" x14ac:dyDescent="0.25">
      <c r="A835" s="10">
        <v>45900</v>
      </c>
      <c r="B835" s="2" t="str">
        <f t="shared" si="26"/>
        <v>Aug-2025</v>
      </c>
      <c r="C835" s="2" t="str">
        <f t="shared" si="27"/>
        <v>Q2</v>
      </c>
      <c r="D835" s="2" t="s">
        <v>28</v>
      </c>
      <c r="E835" s="11" t="s">
        <v>226</v>
      </c>
      <c r="F835" s="11" t="s">
        <v>13</v>
      </c>
      <c r="G835" s="11" t="s">
        <v>507</v>
      </c>
      <c r="H835" s="11" t="s">
        <v>90</v>
      </c>
      <c r="I835" s="12">
        <v>1</v>
      </c>
      <c r="J835" s="12">
        <v>120</v>
      </c>
      <c r="K835" s="12">
        <v>57.46</v>
      </c>
      <c r="L835" s="12">
        <v>6895.2</v>
      </c>
      <c r="M835" s="12">
        <v>-626.77</v>
      </c>
      <c r="N835" s="12">
        <v>0</v>
      </c>
      <c r="O835" s="12">
        <v>814.895894</v>
      </c>
      <c r="P835" s="12">
        <v>7083.3258939999996</v>
      </c>
    </row>
    <row r="836" spans="1:16" ht="14.5" x14ac:dyDescent="0.25">
      <c r="A836" s="10">
        <v>45900</v>
      </c>
      <c r="B836" s="2" t="str">
        <f t="shared" si="26"/>
        <v>Aug-2025</v>
      </c>
      <c r="C836" s="2" t="str">
        <f t="shared" si="27"/>
        <v>Q2</v>
      </c>
      <c r="D836" s="2" t="s">
        <v>28</v>
      </c>
      <c r="E836" s="11" t="s">
        <v>226</v>
      </c>
      <c r="F836" s="11" t="s">
        <v>13</v>
      </c>
      <c r="G836" s="11" t="s">
        <v>506</v>
      </c>
      <c r="H836" s="11" t="s">
        <v>189</v>
      </c>
      <c r="I836" s="12">
        <v>1</v>
      </c>
      <c r="J836" s="12">
        <v>100</v>
      </c>
      <c r="K836" s="12">
        <v>70.989999999999995</v>
      </c>
      <c r="L836" s="12">
        <v>7099</v>
      </c>
      <c r="M836" s="12">
        <v>-645.29999999999995</v>
      </c>
      <c r="N836" s="12">
        <v>0</v>
      </c>
      <c r="O836" s="12">
        <v>838.98099400000001</v>
      </c>
      <c r="P836" s="12">
        <v>7292.6809940000003</v>
      </c>
    </row>
    <row r="837" spans="1:16" ht="14.5" x14ac:dyDescent="0.25">
      <c r="A837" s="10">
        <v>45900</v>
      </c>
      <c r="B837" s="2" t="str">
        <f t="shared" si="26"/>
        <v>Aug-2025</v>
      </c>
      <c r="C837" s="2" t="str">
        <f t="shared" si="27"/>
        <v>Q2</v>
      </c>
      <c r="D837" s="2" t="s">
        <v>28</v>
      </c>
      <c r="E837" s="11" t="s">
        <v>226</v>
      </c>
      <c r="F837" s="11" t="s">
        <v>13</v>
      </c>
      <c r="G837" s="11" t="s">
        <v>504</v>
      </c>
      <c r="H837" s="11" t="s">
        <v>66</v>
      </c>
      <c r="I837" s="12">
        <v>1</v>
      </c>
      <c r="J837" s="12">
        <v>100</v>
      </c>
      <c r="K837" s="12">
        <v>108.17</v>
      </c>
      <c r="L837" s="12">
        <v>10817</v>
      </c>
      <c r="M837" s="12">
        <v>-983.2700000000001</v>
      </c>
      <c r="N837" s="12">
        <v>0</v>
      </c>
      <c r="O837" s="12">
        <v>1278.3848910000002</v>
      </c>
      <c r="P837" s="12">
        <v>11112.114890999999</v>
      </c>
    </row>
    <row r="838" spans="1:16" ht="14.5" x14ac:dyDescent="0.25">
      <c r="A838" s="10">
        <v>45900</v>
      </c>
      <c r="B838" s="2" t="str">
        <f t="shared" si="26"/>
        <v>Aug-2025</v>
      </c>
      <c r="C838" s="2" t="str">
        <f t="shared" si="27"/>
        <v>Q2</v>
      </c>
      <c r="D838" s="2" t="s">
        <v>28</v>
      </c>
      <c r="E838" s="11" t="s">
        <v>226</v>
      </c>
      <c r="F838" s="11" t="s">
        <v>13</v>
      </c>
      <c r="G838" s="11" t="s">
        <v>506</v>
      </c>
      <c r="H838" s="11" t="s">
        <v>58</v>
      </c>
      <c r="I838" s="12">
        <v>1</v>
      </c>
      <c r="J838" s="12">
        <v>72</v>
      </c>
      <c r="K838" s="12">
        <v>148.74</v>
      </c>
      <c r="L838" s="12">
        <v>10709.279999999999</v>
      </c>
      <c r="M838" s="12">
        <v>-973.47</v>
      </c>
      <c r="N838" s="12">
        <v>0</v>
      </c>
      <c r="O838" s="12">
        <v>1265.655291</v>
      </c>
      <c r="P838" s="12">
        <v>11001.465291</v>
      </c>
    </row>
    <row r="839" spans="1:16" ht="14.5" x14ac:dyDescent="0.25">
      <c r="A839" s="10">
        <v>45900</v>
      </c>
      <c r="B839" s="2" t="str">
        <f t="shared" si="26"/>
        <v>Aug-2025</v>
      </c>
      <c r="C839" s="2" t="str">
        <f t="shared" si="27"/>
        <v>Q2</v>
      </c>
      <c r="D839" s="2" t="s">
        <v>28</v>
      </c>
      <c r="E839" s="11" t="s">
        <v>226</v>
      </c>
      <c r="F839" s="11" t="s">
        <v>13</v>
      </c>
      <c r="G839" s="11" t="s">
        <v>503</v>
      </c>
      <c r="H839" s="11" t="s">
        <v>41</v>
      </c>
      <c r="I839" s="12">
        <v>1</v>
      </c>
      <c r="J839" s="12">
        <v>180</v>
      </c>
      <c r="K839" s="12">
        <v>60.84</v>
      </c>
      <c r="L839" s="12">
        <v>10951.199999999999</v>
      </c>
      <c r="M839" s="12">
        <v>-995.46</v>
      </c>
      <c r="N839" s="12">
        <v>0</v>
      </c>
      <c r="O839" s="12">
        <v>1294.246191</v>
      </c>
      <c r="P839" s="12">
        <v>11249.986191</v>
      </c>
    </row>
    <row r="840" spans="1:16" ht="14.5" x14ac:dyDescent="0.25">
      <c r="A840" s="10">
        <v>45900</v>
      </c>
      <c r="B840" s="2" t="str">
        <f t="shared" si="26"/>
        <v>Aug-2025</v>
      </c>
      <c r="C840" s="2" t="str">
        <f t="shared" si="27"/>
        <v>Q2</v>
      </c>
      <c r="D840" s="2" t="s">
        <v>28</v>
      </c>
      <c r="E840" s="11" t="s">
        <v>226</v>
      </c>
      <c r="F840" s="11" t="s">
        <v>13</v>
      </c>
      <c r="G840" s="11" t="s">
        <v>503</v>
      </c>
      <c r="H840" s="11" t="s">
        <v>174</v>
      </c>
      <c r="I840" s="12">
        <v>1</v>
      </c>
      <c r="J840" s="12">
        <v>180</v>
      </c>
      <c r="K840" s="12">
        <v>87.89</v>
      </c>
      <c r="L840" s="12">
        <v>15820.199999999999</v>
      </c>
      <c r="M840" s="12">
        <v>-1438.0600000000002</v>
      </c>
      <c r="N840" s="12">
        <v>0</v>
      </c>
      <c r="O840" s="12">
        <v>1869.678187</v>
      </c>
      <c r="P840" s="12">
        <v>16251.818187000001</v>
      </c>
    </row>
    <row r="841" spans="1:16" ht="14.5" x14ac:dyDescent="0.25">
      <c r="A841" s="10">
        <v>45900</v>
      </c>
      <c r="B841" s="2" t="str">
        <f t="shared" si="26"/>
        <v>Aug-2025</v>
      </c>
      <c r="C841" s="2" t="str">
        <f t="shared" si="27"/>
        <v>Q2</v>
      </c>
      <c r="D841" s="2" t="s">
        <v>28</v>
      </c>
      <c r="E841" s="11" t="s">
        <v>226</v>
      </c>
      <c r="F841" s="11" t="s">
        <v>13</v>
      </c>
      <c r="G841" s="11" t="s">
        <v>503</v>
      </c>
      <c r="H841" s="11" t="s">
        <v>59</v>
      </c>
      <c r="I841" s="12">
        <v>1</v>
      </c>
      <c r="J841" s="12">
        <v>180</v>
      </c>
      <c r="K841" s="12">
        <v>64.23</v>
      </c>
      <c r="L841" s="12">
        <v>11561.4</v>
      </c>
      <c r="M841" s="12">
        <v>-1050.9299999999998</v>
      </c>
      <c r="N841" s="12">
        <v>0</v>
      </c>
      <c r="O841" s="12">
        <v>1366.361091</v>
      </c>
      <c r="P841" s="12">
        <v>11876.831091</v>
      </c>
    </row>
    <row r="842" spans="1:16" ht="14.5" x14ac:dyDescent="0.25">
      <c r="A842" s="10">
        <v>45900</v>
      </c>
      <c r="B842" s="2" t="str">
        <f t="shared" si="26"/>
        <v>Aug-2025</v>
      </c>
      <c r="C842" s="2" t="str">
        <f t="shared" si="27"/>
        <v>Q2</v>
      </c>
      <c r="D842" s="2" t="s">
        <v>28</v>
      </c>
      <c r="E842" s="11" t="s">
        <v>226</v>
      </c>
      <c r="F842" s="11" t="s">
        <v>13</v>
      </c>
      <c r="G842" s="11" t="s">
        <v>503</v>
      </c>
      <c r="H842" s="11" t="s">
        <v>175</v>
      </c>
      <c r="I842" s="12">
        <v>1</v>
      </c>
      <c r="J842" s="12">
        <v>120</v>
      </c>
      <c r="K842" s="12">
        <v>77.75</v>
      </c>
      <c r="L842" s="12">
        <v>9330</v>
      </c>
      <c r="M842" s="12">
        <v>-848.1</v>
      </c>
      <c r="N842" s="12">
        <v>0</v>
      </c>
      <c r="O842" s="12">
        <v>1102.646992</v>
      </c>
      <c r="P842" s="12">
        <v>9584.5469919999996</v>
      </c>
    </row>
    <row r="843" spans="1:16" ht="14.5" x14ac:dyDescent="0.25">
      <c r="A843" s="10">
        <v>45900</v>
      </c>
      <c r="B843" s="2" t="str">
        <f t="shared" si="26"/>
        <v>Aug-2025</v>
      </c>
      <c r="C843" s="2" t="str">
        <f t="shared" si="27"/>
        <v>Q2</v>
      </c>
      <c r="D843" s="2" t="s">
        <v>28</v>
      </c>
      <c r="E843" s="11" t="s">
        <v>227</v>
      </c>
      <c r="F843" s="11" t="s">
        <v>13</v>
      </c>
      <c r="G843" s="11" t="s">
        <v>504</v>
      </c>
      <c r="H843" s="11" t="s">
        <v>61</v>
      </c>
      <c r="I843" s="12">
        <v>1</v>
      </c>
      <c r="J843" s="12">
        <v>40</v>
      </c>
      <c r="K843" s="12">
        <v>336</v>
      </c>
      <c r="L843" s="12">
        <v>13440</v>
      </c>
      <c r="M843" s="12">
        <v>-1221.6999999999998</v>
      </c>
      <c r="N843" s="12">
        <v>0</v>
      </c>
      <c r="O843" s="12">
        <v>0</v>
      </c>
      <c r="P843" s="12">
        <v>12218.3</v>
      </c>
    </row>
    <row r="844" spans="1:16" ht="14.5" x14ac:dyDescent="0.25">
      <c r="A844" s="10">
        <v>45900</v>
      </c>
      <c r="B844" s="2" t="str">
        <f t="shared" si="26"/>
        <v>Aug-2025</v>
      </c>
      <c r="C844" s="2" t="str">
        <f t="shared" si="27"/>
        <v>Q2</v>
      </c>
      <c r="D844" s="2" t="s">
        <v>28</v>
      </c>
      <c r="E844" s="11" t="s">
        <v>227</v>
      </c>
      <c r="F844" s="11" t="s">
        <v>13</v>
      </c>
      <c r="G844" s="11" t="s">
        <v>504</v>
      </c>
      <c r="H844" s="11" t="s">
        <v>53</v>
      </c>
      <c r="I844" s="12">
        <v>1</v>
      </c>
      <c r="J844" s="12">
        <v>100</v>
      </c>
      <c r="K844" s="12">
        <v>138</v>
      </c>
      <c r="L844" s="12">
        <v>13800</v>
      </c>
      <c r="M844" s="12">
        <v>-1254.4199999999998</v>
      </c>
      <c r="N844" s="12">
        <v>0</v>
      </c>
      <c r="O844" s="12">
        <v>0</v>
      </c>
      <c r="P844" s="12">
        <v>12545.58</v>
      </c>
    </row>
    <row r="845" spans="1:16" ht="14.5" x14ac:dyDescent="0.25">
      <c r="A845" s="10">
        <v>45900</v>
      </c>
      <c r="B845" s="2" t="str">
        <f t="shared" si="26"/>
        <v>Aug-2025</v>
      </c>
      <c r="C845" s="2" t="str">
        <f t="shared" si="27"/>
        <v>Q2</v>
      </c>
      <c r="D845" s="2" t="s">
        <v>28</v>
      </c>
      <c r="E845" s="11" t="s">
        <v>228</v>
      </c>
      <c r="F845" s="11" t="s">
        <v>14</v>
      </c>
      <c r="G845" s="11" t="s">
        <v>506</v>
      </c>
      <c r="H845" s="11" t="s">
        <v>58</v>
      </c>
      <c r="I845" s="12">
        <v>4</v>
      </c>
      <c r="J845" s="12">
        <v>288</v>
      </c>
      <c r="K845" s="12">
        <v>148.74</v>
      </c>
      <c r="L845" s="12">
        <v>42837.119999999995</v>
      </c>
      <c r="M845" s="12">
        <v>-3893.8900000000003</v>
      </c>
      <c r="N845" s="12">
        <v>0</v>
      </c>
      <c r="O845" s="12">
        <v>5062.6203210000003</v>
      </c>
      <c r="P845" s="12">
        <v>44005.850320999998</v>
      </c>
    </row>
    <row r="846" spans="1:16" ht="14.5" x14ac:dyDescent="0.25">
      <c r="A846" s="10">
        <v>45900</v>
      </c>
      <c r="B846" s="2" t="str">
        <f t="shared" si="26"/>
        <v>Aug-2025</v>
      </c>
      <c r="C846" s="2" t="str">
        <f t="shared" si="27"/>
        <v>Q2</v>
      </c>
      <c r="D846" s="2" t="s">
        <v>28</v>
      </c>
      <c r="E846" s="11" t="s">
        <v>228</v>
      </c>
      <c r="F846" s="11" t="s">
        <v>14</v>
      </c>
      <c r="G846" s="11" t="s">
        <v>503</v>
      </c>
      <c r="H846" s="11" t="s">
        <v>174</v>
      </c>
      <c r="I846" s="12">
        <v>1</v>
      </c>
      <c r="J846" s="12">
        <v>180</v>
      </c>
      <c r="K846" s="12">
        <v>83.82</v>
      </c>
      <c r="L846" s="12">
        <v>15087.6</v>
      </c>
      <c r="M846" s="12">
        <v>0</v>
      </c>
      <c r="N846" s="12">
        <v>0</v>
      </c>
      <c r="O846" s="12">
        <v>1961.3881630000001</v>
      </c>
      <c r="P846" s="12">
        <v>17048.988163000002</v>
      </c>
    </row>
    <row r="847" spans="1:16" ht="14.5" x14ac:dyDescent="0.25">
      <c r="A847" s="10">
        <v>45900</v>
      </c>
      <c r="B847" s="2" t="str">
        <f t="shared" si="26"/>
        <v>Aug-2025</v>
      </c>
      <c r="C847" s="2" t="str">
        <f t="shared" si="27"/>
        <v>Q2</v>
      </c>
      <c r="D847" s="2" t="s">
        <v>28</v>
      </c>
      <c r="E847" s="11" t="s">
        <v>228</v>
      </c>
      <c r="F847" s="11" t="s">
        <v>14</v>
      </c>
      <c r="G847" s="11" t="s">
        <v>504</v>
      </c>
      <c r="H847" s="11" t="s">
        <v>66</v>
      </c>
      <c r="I847" s="12">
        <v>1</v>
      </c>
      <c r="J847" s="12">
        <v>100</v>
      </c>
      <c r="K847" s="12">
        <v>108.17</v>
      </c>
      <c r="L847" s="12">
        <v>10817</v>
      </c>
      <c r="M847" s="12">
        <v>-983.2700000000001</v>
      </c>
      <c r="N847" s="12">
        <v>0</v>
      </c>
      <c r="O847" s="12">
        <v>1278.385006</v>
      </c>
      <c r="P847" s="12">
        <v>11112.115006</v>
      </c>
    </row>
    <row r="848" spans="1:16" ht="14.5" x14ac:dyDescent="0.25">
      <c r="A848" s="10">
        <v>45900</v>
      </c>
      <c r="B848" s="2" t="str">
        <f t="shared" si="26"/>
        <v>Aug-2025</v>
      </c>
      <c r="C848" s="2" t="str">
        <f t="shared" si="27"/>
        <v>Q2</v>
      </c>
      <c r="D848" s="2" t="s">
        <v>28</v>
      </c>
      <c r="E848" s="11" t="s">
        <v>228</v>
      </c>
      <c r="F848" s="11" t="s">
        <v>14</v>
      </c>
      <c r="G848" s="11" t="s">
        <v>506</v>
      </c>
      <c r="H848" s="11" t="s">
        <v>189</v>
      </c>
      <c r="I848" s="12">
        <v>3</v>
      </c>
      <c r="J848" s="12">
        <v>300</v>
      </c>
      <c r="K848" s="12">
        <v>70.989999999999995</v>
      </c>
      <c r="L848" s="12">
        <v>21297.000000000004</v>
      </c>
      <c r="M848" s="12">
        <v>-1935.9</v>
      </c>
      <c r="N848" s="12">
        <v>0</v>
      </c>
      <c r="O848" s="12">
        <v>2516.9432089999996</v>
      </c>
      <c r="P848" s="12">
        <v>21878.043208999999</v>
      </c>
    </row>
    <row r="849" spans="1:16" ht="14.5" x14ac:dyDescent="0.25">
      <c r="A849" s="10">
        <v>45900</v>
      </c>
      <c r="B849" s="2" t="str">
        <f t="shared" si="26"/>
        <v>Aug-2025</v>
      </c>
      <c r="C849" s="2" t="str">
        <f t="shared" si="27"/>
        <v>Q2</v>
      </c>
      <c r="D849" s="2" t="s">
        <v>28</v>
      </c>
      <c r="E849" s="11" t="s">
        <v>228</v>
      </c>
      <c r="F849" s="11" t="s">
        <v>14</v>
      </c>
      <c r="G849" s="11" t="s">
        <v>503</v>
      </c>
      <c r="H849" s="11" t="s">
        <v>41</v>
      </c>
      <c r="I849" s="12">
        <v>1</v>
      </c>
      <c r="J849" s="12">
        <v>180</v>
      </c>
      <c r="K849" s="12">
        <v>60.84</v>
      </c>
      <c r="L849" s="12">
        <v>10951.199999999999</v>
      </c>
      <c r="M849" s="12">
        <v>-995.46</v>
      </c>
      <c r="N849" s="12">
        <v>0</v>
      </c>
      <c r="O849" s="12">
        <v>1294.2463080000002</v>
      </c>
      <c r="P849" s="12">
        <v>11249.986308</v>
      </c>
    </row>
    <row r="850" spans="1:16" ht="14.5" x14ac:dyDescent="0.25">
      <c r="A850" s="10">
        <v>45900</v>
      </c>
      <c r="B850" s="2" t="str">
        <f t="shared" si="26"/>
        <v>Aug-2025</v>
      </c>
      <c r="C850" s="2" t="str">
        <f t="shared" si="27"/>
        <v>Q2</v>
      </c>
      <c r="D850" s="2" t="s">
        <v>28</v>
      </c>
      <c r="E850" s="11" t="s">
        <v>228</v>
      </c>
      <c r="F850" s="11" t="s">
        <v>14</v>
      </c>
      <c r="G850" s="11" t="s">
        <v>504</v>
      </c>
      <c r="H850" s="11" t="s">
        <v>69</v>
      </c>
      <c r="I850" s="12">
        <v>1</v>
      </c>
      <c r="J850" s="12">
        <v>100</v>
      </c>
      <c r="K850" s="12">
        <v>162.26</v>
      </c>
      <c r="L850" s="12">
        <v>16226</v>
      </c>
      <c r="M850" s="12">
        <v>-1474.94</v>
      </c>
      <c r="N850" s="12">
        <v>0</v>
      </c>
      <c r="O850" s="12">
        <v>1917.63796</v>
      </c>
      <c r="P850" s="12">
        <v>16668.697960000001</v>
      </c>
    </row>
    <row r="851" spans="1:16" ht="14.5" x14ac:dyDescent="0.25">
      <c r="A851" s="10">
        <v>45900</v>
      </c>
      <c r="B851" s="2" t="str">
        <f t="shared" si="26"/>
        <v>Aug-2025</v>
      </c>
      <c r="C851" s="2" t="str">
        <f t="shared" si="27"/>
        <v>Q2</v>
      </c>
      <c r="D851" s="2" t="s">
        <v>28</v>
      </c>
      <c r="E851" s="11" t="s">
        <v>228</v>
      </c>
      <c r="F851" s="11" t="s">
        <v>14</v>
      </c>
      <c r="G851" s="11" t="s">
        <v>505</v>
      </c>
      <c r="H851" s="11" t="s">
        <v>56</v>
      </c>
      <c r="I851" s="12">
        <v>1</v>
      </c>
      <c r="J851" s="12">
        <v>120</v>
      </c>
      <c r="K851" s="12">
        <v>50.7</v>
      </c>
      <c r="L851" s="12">
        <v>6084</v>
      </c>
      <c r="M851" s="12">
        <v>-553.04</v>
      </c>
      <c r="N851" s="12">
        <v>0</v>
      </c>
      <c r="O851" s="12">
        <v>719.02485999999999</v>
      </c>
      <c r="P851" s="12">
        <v>6249.9848599999996</v>
      </c>
    </row>
    <row r="852" spans="1:16" ht="14.5" x14ac:dyDescent="0.25">
      <c r="A852" s="10">
        <v>45900</v>
      </c>
      <c r="B852" s="2" t="str">
        <f t="shared" si="26"/>
        <v>Aug-2025</v>
      </c>
      <c r="C852" s="2" t="str">
        <f t="shared" si="27"/>
        <v>Q2</v>
      </c>
      <c r="D852" s="2" t="s">
        <v>28</v>
      </c>
      <c r="E852" s="11" t="s">
        <v>228</v>
      </c>
      <c r="F852" s="11" t="s">
        <v>14</v>
      </c>
      <c r="G852" s="11" t="s">
        <v>506</v>
      </c>
      <c r="H852" s="11" t="s">
        <v>54</v>
      </c>
      <c r="I852" s="12">
        <v>5</v>
      </c>
      <c r="J852" s="12">
        <v>240</v>
      </c>
      <c r="K852" s="12">
        <v>310.99</v>
      </c>
      <c r="L852" s="12">
        <v>74637.600000000006</v>
      </c>
      <c r="M852" s="12">
        <v>-6784.56</v>
      </c>
      <c r="N852" s="12">
        <v>0</v>
      </c>
      <c r="O852" s="12">
        <v>8820.8959340000001</v>
      </c>
      <c r="P852" s="12">
        <v>76673.935933999994</v>
      </c>
    </row>
    <row r="853" spans="1:16" ht="14.5" x14ac:dyDescent="0.25">
      <c r="A853" s="10">
        <v>45900</v>
      </c>
      <c r="B853" s="2" t="str">
        <f t="shared" si="26"/>
        <v>Aug-2025</v>
      </c>
      <c r="C853" s="2" t="str">
        <f t="shared" si="27"/>
        <v>Q2</v>
      </c>
      <c r="D853" s="2" t="s">
        <v>28</v>
      </c>
      <c r="E853" s="11" t="s">
        <v>228</v>
      </c>
      <c r="F853" s="11" t="s">
        <v>14</v>
      </c>
      <c r="G853" s="11" t="s">
        <v>503</v>
      </c>
      <c r="H853" s="11" t="s">
        <v>45</v>
      </c>
      <c r="I853" s="12">
        <v>1</v>
      </c>
      <c r="J853" s="12">
        <v>180</v>
      </c>
      <c r="K853" s="12">
        <v>64.23</v>
      </c>
      <c r="L853" s="12">
        <v>11561.4</v>
      </c>
      <c r="M853" s="12">
        <v>-1050.9299999999998</v>
      </c>
      <c r="N853" s="12">
        <v>0</v>
      </c>
      <c r="O853" s="12">
        <v>1366.3612139999998</v>
      </c>
      <c r="P853" s="12">
        <v>11876.831214</v>
      </c>
    </row>
    <row r="854" spans="1:16" ht="14.5" x14ac:dyDescent="0.25">
      <c r="A854" s="10">
        <v>45900</v>
      </c>
      <c r="B854" s="2" t="str">
        <f t="shared" si="26"/>
        <v>Aug-2025</v>
      </c>
      <c r="C854" s="2" t="str">
        <f t="shared" si="27"/>
        <v>Q2</v>
      </c>
      <c r="D854" s="2" t="s">
        <v>28</v>
      </c>
      <c r="E854" s="11" t="s">
        <v>228</v>
      </c>
      <c r="F854" s="11" t="s">
        <v>14</v>
      </c>
      <c r="G854" s="11" t="s">
        <v>508</v>
      </c>
      <c r="H854" s="11" t="s">
        <v>178</v>
      </c>
      <c r="I854" s="12">
        <v>1.83</v>
      </c>
      <c r="J854" s="12">
        <v>110</v>
      </c>
      <c r="K854" s="12">
        <v>148.74</v>
      </c>
      <c r="L854" s="12">
        <v>16361.4</v>
      </c>
      <c r="M854" s="12">
        <v>-1487.25</v>
      </c>
      <c r="N854" s="12">
        <v>0</v>
      </c>
      <c r="O854" s="12">
        <v>1933.6396609999999</v>
      </c>
      <c r="P854" s="12">
        <v>16807.789660999999</v>
      </c>
    </row>
    <row r="855" spans="1:16" ht="14.5" x14ac:dyDescent="0.25">
      <c r="A855" s="10">
        <v>45900</v>
      </c>
      <c r="B855" s="2" t="str">
        <f t="shared" si="26"/>
        <v>Aug-2025</v>
      </c>
      <c r="C855" s="2" t="str">
        <f t="shared" si="27"/>
        <v>Q2</v>
      </c>
      <c r="D855" s="2" t="s">
        <v>28</v>
      </c>
      <c r="E855" s="11" t="s">
        <v>228</v>
      </c>
      <c r="F855" s="11" t="s">
        <v>14</v>
      </c>
      <c r="G855" s="11" t="s">
        <v>506</v>
      </c>
      <c r="H855" s="11" t="s">
        <v>39</v>
      </c>
      <c r="I855" s="12">
        <v>4</v>
      </c>
      <c r="J855" s="12">
        <v>288</v>
      </c>
      <c r="K855" s="12">
        <v>131.83000000000001</v>
      </c>
      <c r="L855" s="12">
        <v>37967.040000000001</v>
      </c>
      <c r="M855" s="12">
        <v>-3451.2</v>
      </c>
      <c r="N855" s="12">
        <v>0</v>
      </c>
      <c r="O855" s="12">
        <v>4487.0595729999995</v>
      </c>
      <c r="P855" s="12">
        <v>39002.899573000002</v>
      </c>
    </row>
    <row r="856" spans="1:16" ht="14.5" x14ac:dyDescent="0.25">
      <c r="A856" s="10">
        <v>45900</v>
      </c>
      <c r="B856" s="2" t="str">
        <f t="shared" si="26"/>
        <v>Aug-2025</v>
      </c>
      <c r="C856" s="2" t="str">
        <f t="shared" si="27"/>
        <v>Q2</v>
      </c>
      <c r="D856" s="2" t="s">
        <v>28</v>
      </c>
      <c r="E856" s="11" t="s">
        <v>228</v>
      </c>
      <c r="F856" s="11" t="s">
        <v>14</v>
      </c>
      <c r="G856" s="11" t="s">
        <v>506</v>
      </c>
      <c r="H856" s="11" t="s">
        <v>181</v>
      </c>
      <c r="I856" s="12">
        <v>3</v>
      </c>
      <c r="J856" s="12">
        <v>300</v>
      </c>
      <c r="K856" s="12">
        <v>98.03</v>
      </c>
      <c r="L856" s="12">
        <v>29409.000000000004</v>
      </c>
      <c r="M856" s="12">
        <v>-2673.28</v>
      </c>
      <c r="N856" s="12">
        <v>0</v>
      </c>
      <c r="O856" s="12">
        <v>3475.6438890000004</v>
      </c>
      <c r="P856" s="12">
        <v>30211.363889</v>
      </c>
    </row>
    <row r="857" spans="1:16" ht="14.5" x14ac:dyDescent="0.25">
      <c r="A857" s="10">
        <v>45900</v>
      </c>
      <c r="B857" s="2" t="str">
        <f t="shared" si="26"/>
        <v>Aug-2025</v>
      </c>
      <c r="C857" s="2" t="str">
        <f t="shared" si="27"/>
        <v>Q2</v>
      </c>
      <c r="D857" s="2" t="s">
        <v>28</v>
      </c>
      <c r="E857" s="11" t="s">
        <v>228</v>
      </c>
      <c r="F857" s="11" t="s">
        <v>14</v>
      </c>
      <c r="G857" s="11" t="s">
        <v>503</v>
      </c>
      <c r="H857" s="11" t="s">
        <v>175</v>
      </c>
      <c r="I857" s="12">
        <v>1</v>
      </c>
      <c r="J857" s="12">
        <v>120</v>
      </c>
      <c r="K857" s="12">
        <v>77.739999999999995</v>
      </c>
      <c r="L857" s="12">
        <v>9328.7999999999993</v>
      </c>
      <c r="M857" s="12">
        <v>-847.99</v>
      </c>
      <c r="N857" s="12">
        <v>0</v>
      </c>
      <c r="O857" s="12">
        <v>1102.505392</v>
      </c>
      <c r="P857" s="12">
        <v>9583.3153920000004</v>
      </c>
    </row>
    <row r="858" spans="1:16" ht="14.5" x14ac:dyDescent="0.25">
      <c r="A858" s="10">
        <v>45900</v>
      </c>
      <c r="B858" s="2" t="str">
        <f t="shared" si="26"/>
        <v>Aug-2025</v>
      </c>
      <c r="C858" s="2" t="str">
        <f t="shared" si="27"/>
        <v>Q2</v>
      </c>
      <c r="D858" s="2" t="s">
        <v>28</v>
      </c>
      <c r="E858" s="11" t="s">
        <v>228</v>
      </c>
      <c r="F858" s="11" t="s">
        <v>14</v>
      </c>
      <c r="G858" s="11" t="s">
        <v>503</v>
      </c>
      <c r="H858" s="11" t="s">
        <v>52</v>
      </c>
      <c r="I858" s="12">
        <v>1</v>
      </c>
      <c r="J858" s="12">
        <v>180</v>
      </c>
      <c r="K858" s="12">
        <v>70.989999999999995</v>
      </c>
      <c r="L858" s="12">
        <v>12778.2</v>
      </c>
      <c r="M858" s="12">
        <v>-1161.54</v>
      </c>
      <c r="N858" s="12">
        <v>0</v>
      </c>
      <c r="O858" s="12">
        <v>1510.1659259999999</v>
      </c>
      <c r="P858" s="12">
        <v>13126.825926</v>
      </c>
    </row>
    <row r="859" spans="1:16" ht="14.5" x14ac:dyDescent="0.25">
      <c r="A859" s="10">
        <v>45900</v>
      </c>
      <c r="B859" s="2" t="str">
        <f t="shared" si="26"/>
        <v>Aug-2025</v>
      </c>
      <c r="C859" s="2" t="str">
        <f t="shared" si="27"/>
        <v>Q2</v>
      </c>
      <c r="D859" s="2" t="s">
        <v>28</v>
      </c>
      <c r="E859" s="11" t="s">
        <v>228</v>
      </c>
      <c r="F859" s="11" t="s">
        <v>14</v>
      </c>
      <c r="G859" s="11" t="s">
        <v>507</v>
      </c>
      <c r="H859" s="11" t="s">
        <v>60</v>
      </c>
      <c r="I859" s="12">
        <v>1</v>
      </c>
      <c r="J859" s="12">
        <v>60</v>
      </c>
      <c r="K859" s="12">
        <v>98.03</v>
      </c>
      <c r="L859" s="12">
        <v>5881.8</v>
      </c>
      <c r="M859" s="12">
        <v>-534.66</v>
      </c>
      <c r="N859" s="12">
        <v>0</v>
      </c>
      <c r="O859" s="12">
        <v>695.12825799999996</v>
      </c>
      <c r="P859" s="12">
        <v>6042.2682580000001</v>
      </c>
    </row>
    <row r="860" spans="1:16" ht="14.5" x14ac:dyDescent="0.25">
      <c r="A860" s="10">
        <v>45900</v>
      </c>
      <c r="B860" s="2" t="str">
        <f t="shared" si="26"/>
        <v>Aug-2025</v>
      </c>
      <c r="C860" s="2" t="str">
        <f t="shared" si="27"/>
        <v>Q2</v>
      </c>
      <c r="D860" s="2" t="s">
        <v>28</v>
      </c>
      <c r="E860" s="11" t="s">
        <v>228</v>
      </c>
      <c r="F860" s="11" t="s">
        <v>14</v>
      </c>
      <c r="G860" s="11" t="s">
        <v>503</v>
      </c>
      <c r="H860" s="11" t="s">
        <v>63</v>
      </c>
      <c r="I860" s="12">
        <v>1</v>
      </c>
      <c r="J860" s="12">
        <v>80</v>
      </c>
      <c r="K860" s="12">
        <v>185.92</v>
      </c>
      <c r="L860" s="12">
        <v>14873.6</v>
      </c>
      <c r="M860" s="12">
        <v>-1352.01</v>
      </c>
      <c r="N860" s="12">
        <v>0</v>
      </c>
      <c r="O860" s="12">
        <v>1757.806846</v>
      </c>
      <c r="P860" s="12">
        <v>15279.396846</v>
      </c>
    </row>
    <row r="861" spans="1:16" ht="14.5" x14ac:dyDescent="0.25">
      <c r="A861" s="10">
        <v>45900</v>
      </c>
      <c r="B861" s="2" t="str">
        <f t="shared" si="26"/>
        <v>Aug-2025</v>
      </c>
      <c r="C861" s="2" t="str">
        <f t="shared" si="27"/>
        <v>Q2</v>
      </c>
      <c r="D861" s="2" t="s">
        <v>28</v>
      </c>
      <c r="E861" s="11" t="s">
        <v>228</v>
      </c>
      <c r="F861" s="11" t="s">
        <v>14</v>
      </c>
      <c r="G861" s="11" t="s">
        <v>503</v>
      </c>
      <c r="H861" s="11" t="s">
        <v>173</v>
      </c>
      <c r="I861" s="12">
        <v>1</v>
      </c>
      <c r="J861" s="12">
        <v>120</v>
      </c>
      <c r="K861" s="12">
        <v>84.51</v>
      </c>
      <c r="L861" s="12">
        <v>10141.199999999999</v>
      </c>
      <c r="M861" s="12">
        <v>-921.84</v>
      </c>
      <c r="N861" s="12">
        <v>0</v>
      </c>
      <c r="O861" s="12">
        <v>1198.5169000000001</v>
      </c>
      <c r="P861" s="12">
        <v>10417.876899999999</v>
      </c>
    </row>
    <row r="862" spans="1:16" ht="14.5" x14ac:dyDescent="0.25">
      <c r="A862" s="10">
        <v>45900</v>
      </c>
      <c r="B862" s="2" t="str">
        <f t="shared" si="26"/>
        <v>Aug-2025</v>
      </c>
      <c r="C862" s="2" t="str">
        <f t="shared" si="27"/>
        <v>Q2</v>
      </c>
      <c r="D862" s="2" t="s">
        <v>28</v>
      </c>
      <c r="E862" s="11" t="s">
        <v>228</v>
      </c>
      <c r="F862" s="11" t="s">
        <v>14</v>
      </c>
      <c r="G862" s="11" t="s">
        <v>507</v>
      </c>
      <c r="H862" s="11" t="s">
        <v>90</v>
      </c>
      <c r="I862" s="12">
        <v>1</v>
      </c>
      <c r="J862" s="12">
        <v>120</v>
      </c>
      <c r="K862" s="12">
        <v>57.46</v>
      </c>
      <c r="L862" s="12">
        <v>6895.2</v>
      </c>
      <c r="M862" s="12">
        <v>-626.77</v>
      </c>
      <c r="N862" s="12">
        <v>0</v>
      </c>
      <c r="O862" s="12">
        <v>814.89596800000004</v>
      </c>
      <c r="P862" s="12">
        <v>7083.3259680000001</v>
      </c>
    </row>
    <row r="863" spans="1:16" ht="14.5" x14ac:dyDescent="0.25">
      <c r="A863" s="10">
        <v>45900</v>
      </c>
      <c r="B863" s="2" t="str">
        <f t="shared" si="26"/>
        <v>Aug-2025</v>
      </c>
      <c r="C863" s="2" t="str">
        <f t="shared" si="27"/>
        <v>Q2</v>
      </c>
      <c r="D863" s="2" t="s">
        <v>28</v>
      </c>
      <c r="E863" s="11" t="s">
        <v>228</v>
      </c>
      <c r="F863" s="11" t="s">
        <v>14</v>
      </c>
      <c r="G863" s="11" t="s">
        <v>503</v>
      </c>
      <c r="H863" s="11" t="s">
        <v>177</v>
      </c>
      <c r="I863" s="12">
        <v>1</v>
      </c>
      <c r="J863" s="12">
        <v>120</v>
      </c>
      <c r="K863" s="12">
        <v>94.66</v>
      </c>
      <c r="L863" s="12">
        <v>11359.2</v>
      </c>
      <c r="M863" s="12">
        <v>-1032.55</v>
      </c>
      <c r="N863" s="12">
        <v>0</v>
      </c>
      <c r="O863" s="12">
        <v>1342.4646120000002</v>
      </c>
      <c r="P863" s="12">
        <v>11669.114611999999</v>
      </c>
    </row>
    <row r="864" spans="1:16" ht="14.5" x14ac:dyDescent="0.25">
      <c r="A864" s="10">
        <v>45900</v>
      </c>
      <c r="B864" s="2" t="str">
        <f t="shared" si="26"/>
        <v>Aug-2025</v>
      </c>
      <c r="C864" s="2" t="str">
        <f t="shared" si="27"/>
        <v>Q2</v>
      </c>
      <c r="D864" s="2" t="s">
        <v>28</v>
      </c>
      <c r="E864" s="11" t="s">
        <v>229</v>
      </c>
      <c r="F864" s="11" t="s">
        <v>14</v>
      </c>
      <c r="G864" s="11" t="s">
        <v>503</v>
      </c>
      <c r="H864" s="11" t="s">
        <v>42</v>
      </c>
      <c r="I864" s="12">
        <v>1</v>
      </c>
      <c r="J864" s="12">
        <v>120</v>
      </c>
      <c r="K864" s="12">
        <v>141.97</v>
      </c>
      <c r="L864" s="12">
        <v>17036.400000000001</v>
      </c>
      <c r="M864" s="12">
        <v>-1548.61</v>
      </c>
      <c r="N864" s="12">
        <v>0</v>
      </c>
      <c r="O864" s="12">
        <v>2013.412278</v>
      </c>
      <c r="P864" s="12">
        <v>17501.202278000001</v>
      </c>
    </row>
    <row r="865" spans="1:16" ht="14.5" x14ac:dyDescent="0.25">
      <c r="A865" s="10">
        <v>45900</v>
      </c>
      <c r="B865" s="2" t="str">
        <f t="shared" si="26"/>
        <v>Aug-2025</v>
      </c>
      <c r="C865" s="2" t="str">
        <f t="shared" si="27"/>
        <v>Q2</v>
      </c>
      <c r="D865" s="2" t="s">
        <v>28</v>
      </c>
      <c r="E865" s="11" t="s">
        <v>229</v>
      </c>
      <c r="F865" s="11" t="s">
        <v>14</v>
      </c>
      <c r="G865" s="11" t="s">
        <v>503</v>
      </c>
      <c r="H865" s="11" t="s">
        <v>57</v>
      </c>
      <c r="I865" s="12">
        <v>1</v>
      </c>
      <c r="J865" s="12">
        <v>180</v>
      </c>
      <c r="K865" s="12">
        <v>118.3</v>
      </c>
      <c r="L865" s="12">
        <v>21294</v>
      </c>
      <c r="M865" s="12">
        <v>-1935.62</v>
      </c>
      <c r="N865" s="12">
        <v>0</v>
      </c>
      <c r="O865" s="12">
        <v>2516.5888729999997</v>
      </c>
      <c r="P865" s="12">
        <v>21874.968873000002</v>
      </c>
    </row>
    <row r="866" spans="1:16" ht="14.5" x14ac:dyDescent="0.25">
      <c r="A866" s="10">
        <v>45900</v>
      </c>
      <c r="B866" s="2" t="str">
        <f t="shared" si="26"/>
        <v>Aug-2025</v>
      </c>
      <c r="C866" s="2" t="str">
        <f t="shared" si="27"/>
        <v>Q2</v>
      </c>
      <c r="D866" s="2" t="s">
        <v>28</v>
      </c>
      <c r="E866" s="11" t="s">
        <v>229</v>
      </c>
      <c r="F866" s="11" t="s">
        <v>14</v>
      </c>
      <c r="G866" s="11" t="s">
        <v>503</v>
      </c>
      <c r="H866" s="11" t="s">
        <v>171</v>
      </c>
      <c r="I866" s="12">
        <v>0.88</v>
      </c>
      <c r="J866" s="12">
        <v>70</v>
      </c>
      <c r="K866" s="12">
        <v>155.49</v>
      </c>
      <c r="L866" s="12">
        <v>10884.3</v>
      </c>
      <c r="M866" s="12">
        <v>-989.38</v>
      </c>
      <c r="N866" s="12">
        <v>0</v>
      </c>
      <c r="O866" s="12">
        <v>1286.3393310000001</v>
      </c>
      <c r="P866" s="12">
        <v>11181.259330999999</v>
      </c>
    </row>
    <row r="867" spans="1:16" ht="14.5" x14ac:dyDescent="0.25">
      <c r="A867" s="10">
        <v>45900</v>
      </c>
      <c r="B867" s="2" t="str">
        <f t="shared" ref="B867:B930" si="28">+TEXT(A867,"MMM-yyy")</f>
        <v>Aug-2025</v>
      </c>
      <c r="C867" s="2" t="str">
        <f t="shared" ref="C867:C930" si="29">"Q" &amp; CHOOSE(MONTH(A867),4,4,4,1,1,1,2,2,2,3,3,3)</f>
        <v>Q2</v>
      </c>
      <c r="D867" s="2" t="s">
        <v>28</v>
      </c>
      <c r="E867" s="11" t="s">
        <v>229</v>
      </c>
      <c r="F867" s="11" t="s">
        <v>14</v>
      </c>
      <c r="G867" s="11" t="s">
        <v>505</v>
      </c>
      <c r="H867" s="11" t="s">
        <v>43</v>
      </c>
      <c r="I867" s="12">
        <v>1</v>
      </c>
      <c r="J867" s="12">
        <v>40</v>
      </c>
      <c r="K867" s="12">
        <v>283.94</v>
      </c>
      <c r="L867" s="12">
        <v>11357.599999999999</v>
      </c>
      <c r="M867" s="12">
        <v>-1032.4099999999999</v>
      </c>
      <c r="N867" s="12">
        <v>0</v>
      </c>
      <c r="O867" s="12">
        <v>1342.2744190000001</v>
      </c>
      <c r="P867" s="12">
        <v>11667.464419</v>
      </c>
    </row>
    <row r="868" spans="1:16" ht="14.5" x14ac:dyDescent="0.25">
      <c r="A868" s="10">
        <v>45900</v>
      </c>
      <c r="B868" s="2" t="str">
        <f t="shared" si="28"/>
        <v>Aug-2025</v>
      </c>
      <c r="C868" s="2" t="str">
        <f t="shared" si="29"/>
        <v>Q2</v>
      </c>
      <c r="D868" s="2" t="s">
        <v>28</v>
      </c>
      <c r="E868" s="11" t="s">
        <v>229</v>
      </c>
      <c r="F868" s="11" t="s">
        <v>14</v>
      </c>
      <c r="G868" s="11" t="s">
        <v>503</v>
      </c>
      <c r="H868" s="11" t="s">
        <v>180</v>
      </c>
      <c r="I868" s="12">
        <v>1</v>
      </c>
      <c r="J868" s="12">
        <v>80</v>
      </c>
      <c r="K868" s="12">
        <v>141.97</v>
      </c>
      <c r="L868" s="12">
        <v>11357.599999999999</v>
      </c>
      <c r="M868" s="12">
        <v>-1032.4099999999999</v>
      </c>
      <c r="N868" s="12">
        <v>0</v>
      </c>
      <c r="O868" s="12">
        <v>1342.2744190000001</v>
      </c>
      <c r="P868" s="12">
        <v>11667.464419</v>
      </c>
    </row>
    <row r="869" spans="1:16" ht="14.5" x14ac:dyDescent="0.25">
      <c r="A869" s="10">
        <v>45900</v>
      </c>
      <c r="B869" s="2" t="str">
        <f t="shared" si="28"/>
        <v>Aug-2025</v>
      </c>
      <c r="C869" s="2" t="str">
        <f t="shared" si="29"/>
        <v>Q2</v>
      </c>
      <c r="D869" s="2" t="s">
        <v>28</v>
      </c>
      <c r="E869" s="11" t="s">
        <v>229</v>
      </c>
      <c r="F869" s="11" t="s">
        <v>14</v>
      </c>
      <c r="G869" s="11" t="s">
        <v>503</v>
      </c>
      <c r="H869" s="11" t="s">
        <v>59</v>
      </c>
      <c r="I869" s="12">
        <v>1</v>
      </c>
      <c r="J869" s="12">
        <v>180</v>
      </c>
      <c r="K869" s="12">
        <v>64.23</v>
      </c>
      <c r="L869" s="12">
        <v>11561.4</v>
      </c>
      <c r="M869" s="12">
        <v>-1050.9299999999998</v>
      </c>
      <c r="N869" s="12">
        <v>0</v>
      </c>
      <c r="O869" s="12">
        <v>1366.3608139999999</v>
      </c>
      <c r="P869" s="12">
        <v>11876.830814000001</v>
      </c>
    </row>
    <row r="870" spans="1:16" ht="14.5" x14ac:dyDescent="0.25">
      <c r="A870" s="10">
        <v>45900</v>
      </c>
      <c r="B870" s="2" t="str">
        <f t="shared" si="28"/>
        <v>Aug-2025</v>
      </c>
      <c r="C870" s="2" t="str">
        <f t="shared" si="29"/>
        <v>Q2</v>
      </c>
      <c r="D870" s="2" t="s">
        <v>28</v>
      </c>
      <c r="E870" s="11" t="s">
        <v>229</v>
      </c>
      <c r="F870" s="11" t="s">
        <v>14</v>
      </c>
      <c r="G870" s="11" t="s">
        <v>505</v>
      </c>
      <c r="H870" s="11" t="s">
        <v>55</v>
      </c>
      <c r="I870" s="12">
        <v>1</v>
      </c>
      <c r="J870" s="12">
        <v>120</v>
      </c>
      <c r="K870" s="12">
        <v>152.11000000000001</v>
      </c>
      <c r="L870" s="12">
        <v>18253.2</v>
      </c>
      <c r="M870" s="12">
        <v>-1659.2199999999998</v>
      </c>
      <c r="N870" s="12">
        <v>0</v>
      </c>
      <c r="O870" s="12">
        <v>2157.2169480000002</v>
      </c>
      <c r="P870" s="12">
        <v>18751.196948000001</v>
      </c>
    </row>
    <row r="871" spans="1:16" ht="14.5" x14ac:dyDescent="0.25">
      <c r="A871" s="10">
        <v>45900</v>
      </c>
      <c r="B871" s="2" t="str">
        <f t="shared" si="28"/>
        <v>Aug-2025</v>
      </c>
      <c r="C871" s="2" t="str">
        <f t="shared" si="29"/>
        <v>Q2</v>
      </c>
      <c r="D871" s="2" t="s">
        <v>28</v>
      </c>
      <c r="E871" s="11" t="s">
        <v>229</v>
      </c>
      <c r="F871" s="11" t="s">
        <v>14</v>
      </c>
      <c r="G871" s="11" t="s">
        <v>505</v>
      </c>
      <c r="H871" s="11" t="s">
        <v>40</v>
      </c>
      <c r="I871" s="12">
        <v>1</v>
      </c>
      <c r="J871" s="12">
        <v>180</v>
      </c>
      <c r="K871" s="12">
        <v>94.65</v>
      </c>
      <c r="L871" s="12">
        <v>17037</v>
      </c>
      <c r="M871" s="12">
        <v>-1548.6599999999999</v>
      </c>
      <c r="N871" s="12">
        <v>0</v>
      </c>
      <c r="O871" s="12">
        <v>2013.483778</v>
      </c>
      <c r="P871" s="12">
        <v>17501.823778000002</v>
      </c>
    </row>
    <row r="872" spans="1:16" ht="14.5" x14ac:dyDescent="0.25">
      <c r="A872" s="10">
        <v>45900</v>
      </c>
      <c r="B872" s="2" t="str">
        <f t="shared" si="28"/>
        <v>Aug-2025</v>
      </c>
      <c r="C872" s="2" t="str">
        <f t="shared" si="29"/>
        <v>Q2</v>
      </c>
      <c r="D872" s="2" t="s">
        <v>28</v>
      </c>
      <c r="E872" s="11" t="s">
        <v>229</v>
      </c>
      <c r="F872" s="11" t="s">
        <v>14</v>
      </c>
      <c r="G872" s="11" t="s">
        <v>505</v>
      </c>
      <c r="H872" s="11" t="s">
        <v>168</v>
      </c>
      <c r="I872" s="12">
        <v>1</v>
      </c>
      <c r="J872" s="12">
        <v>80</v>
      </c>
      <c r="K872" s="12">
        <v>229.86</v>
      </c>
      <c r="L872" s="12">
        <v>18388.8</v>
      </c>
      <c r="M872" s="12">
        <v>-1671.54</v>
      </c>
      <c r="N872" s="12">
        <v>0</v>
      </c>
      <c r="O872" s="12">
        <v>2173.2433450000003</v>
      </c>
      <c r="P872" s="12">
        <v>18890.503345000001</v>
      </c>
    </row>
    <row r="873" spans="1:16" ht="14.5" x14ac:dyDescent="0.25">
      <c r="A873" s="10">
        <v>45900</v>
      </c>
      <c r="B873" s="2" t="str">
        <f t="shared" si="28"/>
        <v>Aug-2025</v>
      </c>
      <c r="C873" s="2" t="str">
        <f t="shared" si="29"/>
        <v>Q2</v>
      </c>
      <c r="D873" s="2" t="s">
        <v>28</v>
      </c>
      <c r="E873" s="11" t="s">
        <v>229</v>
      </c>
      <c r="F873" s="11" t="s">
        <v>14</v>
      </c>
      <c r="G873" s="11" t="s">
        <v>503</v>
      </c>
      <c r="H873" s="11" t="s">
        <v>166</v>
      </c>
      <c r="I873" s="12">
        <v>2</v>
      </c>
      <c r="J873" s="12">
        <v>240</v>
      </c>
      <c r="K873" s="12">
        <v>64.23</v>
      </c>
      <c r="L873" s="12">
        <v>15415.199999999999</v>
      </c>
      <c r="M873" s="12">
        <v>-1401.24</v>
      </c>
      <c r="N873" s="12">
        <v>0</v>
      </c>
      <c r="O873" s="12">
        <v>1821.8144180000002</v>
      </c>
      <c r="P873" s="12">
        <v>15835.774418000001</v>
      </c>
    </row>
    <row r="874" spans="1:16" ht="14.5" x14ac:dyDescent="0.25">
      <c r="A874" s="10">
        <v>45900</v>
      </c>
      <c r="B874" s="2" t="str">
        <f t="shared" si="28"/>
        <v>Aug-2025</v>
      </c>
      <c r="C874" s="2" t="str">
        <f t="shared" si="29"/>
        <v>Q2</v>
      </c>
      <c r="D874" s="2" t="s">
        <v>28</v>
      </c>
      <c r="E874" s="11" t="s">
        <v>229</v>
      </c>
      <c r="F874" s="11" t="s">
        <v>14</v>
      </c>
      <c r="G874" s="11" t="s">
        <v>503</v>
      </c>
      <c r="H874" s="11" t="s">
        <v>190</v>
      </c>
      <c r="I874" s="12">
        <v>2</v>
      </c>
      <c r="J874" s="12">
        <v>360</v>
      </c>
      <c r="K874" s="12">
        <v>81.14</v>
      </c>
      <c r="L874" s="12">
        <v>29210.399999999998</v>
      </c>
      <c r="M874" s="12">
        <v>-2655.23</v>
      </c>
      <c r="N874" s="12">
        <v>0</v>
      </c>
      <c r="O874" s="12">
        <v>3452.1713770000001</v>
      </c>
      <c r="P874" s="12">
        <v>30007.341377000001</v>
      </c>
    </row>
    <row r="875" spans="1:16" ht="14.5" x14ac:dyDescent="0.25">
      <c r="A875" s="10">
        <v>45900</v>
      </c>
      <c r="B875" s="2" t="str">
        <f t="shared" si="28"/>
        <v>Aug-2025</v>
      </c>
      <c r="C875" s="2" t="str">
        <f t="shared" si="29"/>
        <v>Q2</v>
      </c>
      <c r="D875" s="2" t="s">
        <v>28</v>
      </c>
      <c r="E875" s="11" t="s">
        <v>230</v>
      </c>
      <c r="F875" s="11" t="s">
        <v>12</v>
      </c>
      <c r="G875" s="11" t="s">
        <v>503</v>
      </c>
      <c r="H875" s="11" t="s">
        <v>52</v>
      </c>
      <c r="I875" s="12">
        <v>0.65</v>
      </c>
      <c r="J875" s="12">
        <v>117</v>
      </c>
      <c r="K875" s="12">
        <v>70.989999999999995</v>
      </c>
      <c r="L875" s="12">
        <v>8305.83</v>
      </c>
      <c r="M875" s="12">
        <v>-755</v>
      </c>
      <c r="N875" s="12">
        <v>0</v>
      </c>
      <c r="O875" s="12">
        <v>981.60783099999992</v>
      </c>
      <c r="P875" s="12">
        <v>8532.4378309999993</v>
      </c>
    </row>
    <row r="876" spans="1:16" ht="14.5" x14ac:dyDescent="0.25">
      <c r="A876" s="10">
        <v>45900</v>
      </c>
      <c r="B876" s="2" t="str">
        <f t="shared" si="28"/>
        <v>Aug-2025</v>
      </c>
      <c r="C876" s="2" t="str">
        <f t="shared" si="29"/>
        <v>Q2</v>
      </c>
      <c r="D876" s="2" t="s">
        <v>28</v>
      </c>
      <c r="E876" s="11" t="s">
        <v>230</v>
      </c>
      <c r="F876" s="11" t="s">
        <v>12</v>
      </c>
      <c r="G876" s="11" t="s">
        <v>505</v>
      </c>
      <c r="H876" s="11" t="s">
        <v>40</v>
      </c>
      <c r="I876" s="12">
        <v>0.01</v>
      </c>
      <c r="J876" s="12">
        <v>1</v>
      </c>
      <c r="K876" s="12">
        <v>94.65</v>
      </c>
      <c r="L876" s="12">
        <v>94.65</v>
      </c>
      <c r="M876" s="12">
        <v>-8.6</v>
      </c>
      <c r="N876" s="12">
        <v>0</v>
      </c>
      <c r="O876" s="12">
        <v>11.186499</v>
      </c>
      <c r="P876" s="12">
        <v>97.236498999999995</v>
      </c>
    </row>
    <row r="877" spans="1:16" ht="14.5" x14ac:dyDescent="0.25">
      <c r="A877" s="10">
        <v>45900</v>
      </c>
      <c r="B877" s="2" t="str">
        <f t="shared" si="28"/>
        <v>Aug-2025</v>
      </c>
      <c r="C877" s="2" t="str">
        <f t="shared" si="29"/>
        <v>Q2</v>
      </c>
      <c r="D877" s="2" t="s">
        <v>28</v>
      </c>
      <c r="E877" s="11" t="s">
        <v>230</v>
      </c>
      <c r="F877" s="11" t="s">
        <v>12</v>
      </c>
      <c r="G877" s="11" t="s">
        <v>506</v>
      </c>
      <c r="H877" s="11" t="s">
        <v>39</v>
      </c>
      <c r="I877" s="12">
        <v>1</v>
      </c>
      <c r="J877" s="12">
        <v>72</v>
      </c>
      <c r="K877" s="12">
        <v>131.83000000000001</v>
      </c>
      <c r="L877" s="12">
        <v>9491.76</v>
      </c>
      <c r="M877" s="12">
        <v>-862.8</v>
      </c>
      <c r="N877" s="12">
        <v>0</v>
      </c>
      <c r="O877" s="12">
        <v>1121.764721</v>
      </c>
      <c r="P877" s="12">
        <v>9750.7247210000005</v>
      </c>
    </row>
    <row r="878" spans="1:16" ht="14.5" x14ac:dyDescent="0.25">
      <c r="A878" s="10">
        <v>45900</v>
      </c>
      <c r="B878" s="2" t="str">
        <f t="shared" si="28"/>
        <v>Aug-2025</v>
      </c>
      <c r="C878" s="2" t="str">
        <f t="shared" si="29"/>
        <v>Q2</v>
      </c>
      <c r="D878" s="2" t="s">
        <v>28</v>
      </c>
      <c r="E878" s="11" t="s">
        <v>230</v>
      </c>
      <c r="F878" s="11" t="s">
        <v>12</v>
      </c>
      <c r="G878" s="11" t="s">
        <v>506</v>
      </c>
      <c r="H878" s="11" t="s">
        <v>54</v>
      </c>
      <c r="I878" s="12">
        <v>1</v>
      </c>
      <c r="J878" s="12">
        <v>48</v>
      </c>
      <c r="K878" s="12">
        <v>310.99</v>
      </c>
      <c r="L878" s="12">
        <v>14927.519999999999</v>
      </c>
      <c r="M878" s="12">
        <v>-1356.91</v>
      </c>
      <c r="N878" s="12">
        <v>0</v>
      </c>
      <c r="O878" s="12">
        <v>1764.1791760000001</v>
      </c>
      <c r="P878" s="12">
        <v>15334.789176</v>
      </c>
    </row>
    <row r="879" spans="1:16" ht="14.5" x14ac:dyDescent="0.25">
      <c r="A879" s="10">
        <v>45900</v>
      </c>
      <c r="B879" s="2" t="str">
        <f t="shared" si="28"/>
        <v>Aug-2025</v>
      </c>
      <c r="C879" s="2" t="str">
        <f t="shared" si="29"/>
        <v>Q2</v>
      </c>
      <c r="D879" s="2" t="s">
        <v>28</v>
      </c>
      <c r="E879" s="11" t="s">
        <v>230</v>
      </c>
      <c r="F879" s="11" t="s">
        <v>12</v>
      </c>
      <c r="G879" s="11" t="s">
        <v>507</v>
      </c>
      <c r="H879" s="11" t="s">
        <v>90</v>
      </c>
      <c r="I879" s="12">
        <v>2</v>
      </c>
      <c r="J879" s="12">
        <v>240</v>
      </c>
      <c r="K879" s="12">
        <v>57.46</v>
      </c>
      <c r="L879" s="12">
        <v>13790.4</v>
      </c>
      <c r="M879" s="12">
        <v>-1253.55</v>
      </c>
      <c r="N879" s="12">
        <v>0</v>
      </c>
      <c r="O879" s="12">
        <v>1629.790385</v>
      </c>
      <c r="P879" s="12">
        <v>14166.640385000001</v>
      </c>
    </row>
    <row r="880" spans="1:16" ht="14.5" x14ac:dyDescent="0.25">
      <c r="A880" s="10">
        <v>45900</v>
      </c>
      <c r="B880" s="2" t="str">
        <f t="shared" si="28"/>
        <v>Aug-2025</v>
      </c>
      <c r="C880" s="2" t="str">
        <f t="shared" si="29"/>
        <v>Q2</v>
      </c>
      <c r="D880" s="2" t="s">
        <v>28</v>
      </c>
      <c r="E880" s="11" t="s">
        <v>230</v>
      </c>
      <c r="F880" s="11" t="s">
        <v>12</v>
      </c>
      <c r="G880" s="11" t="s">
        <v>505</v>
      </c>
      <c r="H880" s="11" t="s">
        <v>167</v>
      </c>
      <c r="I880" s="12">
        <v>2</v>
      </c>
      <c r="J880" s="12">
        <v>360</v>
      </c>
      <c r="K880" s="12">
        <v>91.27</v>
      </c>
      <c r="L880" s="12">
        <v>32857.199999999997</v>
      </c>
      <c r="M880" s="12">
        <v>-2986.72</v>
      </c>
      <c r="N880" s="12">
        <v>0</v>
      </c>
      <c r="O880" s="12">
        <v>3883.1621260000002</v>
      </c>
      <c r="P880" s="12">
        <v>33753.642125999999</v>
      </c>
    </row>
    <row r="881" spans="1:16" ht="14.5" x14ac:dyDescent="0.25">
      <c r="A881" s="10">
        <v>45900</v>
      </c>
      <c r="B881" s="2" t="str">
        <f t="shared" si="28"/>
        <v>Aug-2025</v>
      </c>
      <c r="C881" s="2" t="str">
        <f t="shared" si="29"/>
        <v>Q2</v>
      </c>
      <c r="D881" s="2" t="s">
        <v>28</v>
      </c>
      <c r="E881" s="11" t="s">
        <v>230</v>
      </c>
      <c r="F881" s="11" t="s">
        <v>12</v>
      </c>
      <c r="G881" s="11" t="s">
        <v>504</v>
      </c>
      <c r="H881" s="11" t="s">
        <v>69</v>
      </c>
      <c r="I881" s="12">
        <v>2</v>
      </c>
      <c r="J881" s="12">
        <v>200</v>
      </c>
      <c r="K881" s="12">
        <v>162.26</v>
      </c>
      <c r="L881" s="12">
        <v>32452</v>
      </c>
      <c r="M881" s="12">
        <v>-2949.8900000000003</v>
      </c>
      <c r="N881" s="12">
        <v>0</v>
      </c>
      <c r="O881" s="12">
        <v>3835.2740289999997</v>
      </c>
      <c r="P881" s="12">
        <v>33337.384029000001</v>
      </c>
    </row>
    <row r="882" spans="1:16" ht="14.5" x14ac:dyDescent="0.25">
      <c r="A882" s="10">
        <v>45900</v>
      </c>
      <c r="B882" s="2" t="str">
        <f t="shared" si="28"/>
        <v>Aug-2025</v>
      </c>
      <c r="C882" s="2" t="str">
        <f t="shared" si="29"/>
        <v>Q2</v>
      </c>
      <c r="D882" s="2" t="s">
        <v>28</v>
      </c>
      <c r="E882" s="11" t="s">
        <v>230</v>
      </c>
      <c r="F882" s="11" t="s">
        <v>12</v>
      </c>
      <c r="G882" s="11" t="s">
        <v>503</v>
      </c>
      <c r="H882" s="11" t="s">
        <v>59</v>
      </c>
      <c r="I882" s="12">
        <v>1</v>
      </c>
      <c r="J882" s="12">
        <v>180</v>
      </c>
      <c r="K882" s="12">
        <v>64.23</v>
      </c>
      <c r="L882" s="12">
        <v>11561.4</v>
      </c>
      <c r="M882" s="12">
        <v>-1050.9299999999998</v>
      </c>
      <c r="N882" s="12">
        <v>0</v>
      </c>
      <c r="O882" s="12">
        <v>1366.3610040000001</v>
      </c>
      <c r="P882" s="12">
        <v>11876.831004</v>
      </c>
    </row>
    <row r="883" spans="1:16" ht="14.5" x14ac:dyDescent="0.25">
      <c r="A883" s="10">
        <v>45900</v>
      </c>
      <c r="B883" s="2" t="str">
        <f t="shared" si="28"/>
        <v>Aug-2025</v>
      </c>
      <c r="C883" s="2" t="str">
        <f t="shared" si="29"/>
        <v>Q2</v>
      </c>
      <c r="D883" s="2" t="s">
        <v>28</v>
      </c>
      <c r="E883" s="11" t="s">
        <v>230</v>
      </c>
      <c r="F883" s="11" t="s">
        <v>12</v>
      </c>
      <c r="G883" s="11" t="s">
        <v>503</v>
      </c>
      <c r="H883" s="11" t="s">
        <v>166</v>
      </c>
      <c r="I883" s="12">
        <v>1</v>
      </c>
      <c r="J883" s="12">
        <v>120</v>
      </c>
      <c r="K883" s="12">
        <v>64.23</v>
      </c>
      <c r="L883" s="12">
        <v>7707.5999999999995</v>
      </c>
      <c r="M883" s="12">
        <v>-700.62</v>
      </c>
      <c r="N883" s="12">
        <v>0</v>
      </c>
      <c r="O883" s="12">
        <v>910.90733599999999</v>
      </c>
      <c r="P883" s="12">
        <v>7917.8873359999998</v>
      </c>
    </row>
    <row r="884" spans="1:16" ht="14.5" x14ac:dyDescent="0.25">
      <c r="A884" s="10">
        <v>45900</v>
      </c>
      <c r="B884" s="2" t="str">
        <f t="shared" si="28"/>
        <v>Aug-2025</v>
      </c>
      <c r="C884" s="2" t="str">
        <f t="shared" si="29"/>
        <v>Q2</v>
      </c>
      <c r="D884" s="2" t="s">
        <v>28</v>
      </c>
      <c r="E884" s="11" t="s">
        <v>230</v>
      </c>
      <c r="F884" s="11" t="s">
        <v>12</v>
      </c>
      <c r="G884" s="11" t="s">
        <v>503</v>
      </c>
      <c r="H884" s="11" t="s">
        <v>51</v>
      </c>
      <c r="I884" s="12">
        <v>1</v>
      </c>
      <c r="J884" s="12">
        <v>180</v>
      </c>
      <c r="K884" s="12">
        <v>64.23</v>
      </c>
      <c r="L884" s="12">
        <v>11561.4</v>
      </c>
      <c r="M884" s="12">
        <v>-1050.9299999999998</v>
      </c>
      <c r="N884" s="12">
        <v>0</v>
      </c>
      <c r="O884" s="12">
        <v>1366.3610040000001</v>
      </c>
      <c r="P884" s="12">
        <v>11876.831004</v>
      </c>
    </row>
    <row r="885" spans="1:16" ht="14.5" x14ac:dyDescent="0.25">
      <c r="A885" s="10">
        <v>45900</v>
      </c>
      <c r="B885" s="2" t="str">
        <f t="shared" si="28"/>
        <v>Aug-2025</v>
      </c>
      <c r="C885" s="2" t="str">
        <f t="shared" si="29"/>
        <v>Q2</v>
      </c>
      <c r="D885" s="2" t="s">
        <v>28</v>
      </c>
      <c r="E885" s="11" t="s">
        <v>230</v>
      </c>
      <c r="F885" s="11" t="s">
        <v>12</v>
      </c>
      <c r="G885" s="11" t="s">
        <v>505</v>
      </c>
      <c r="H885" s="11" t="s">
        <v>40</v>
      </c>
      <c r="I885" s="12">
        <v>0.99</v>
      </c>
      <c r="J885" s="12">
        <v>179</v>
      </c>
      <c r="K885" s="12">
        <v>94.65</v>
      </c>
      <c r="L885" s="12">
        <v>16942.349999999999</v>
      </c>
      <c r="M885" s="12">
        <v>-1540.0600000000002</v>
      </c>
      <c r="N885" s="12">
        <v>0</v>
      </c>
      <c r="O885" s="12">
        <v>2002.2975589999999</v>
      </c>
      <c r="P885" s="12">
        <v>17404.587559</v>
      </c>
    </row>
    <row r="886" spans="1:16" ht="14.5" x14ac:dyDescent="0.25">
      <c r="A886" s="10">
        <v>45900</v>
      </c>
      <c r="B886" s="2" t="str">
        <f t="shared" si="28"/>
        <v>Aug-2025</v>
      </c>
      <c r="C886" s="2" t="str">
        <f t="shared" si="29"/>
        <v>Q2</v>
      </c>
      <c r="D886" s="2" t="s">
        <v>28</v>
      </c>
      <c r="E886" s="11" t="s">
        <v>230</v>
      </c>
      <c r="F886" s="11" t="s">
        <v>12</v>
      </c>
      <c r="G886" s="11" t="s">
        <v>504</v>
      </c>
      <c r="H886" s="11" t="s">
        <v>66</v>
      </c>
      <c r="I886" s="12">
        <v>2</v>
      </c>
      <c r="J886" s="12">
        <v>200</v>
      </c>
      <c r="K886" s="12">
        <v>108.17</v>
      </c>
      <c r="L886" s="12">
        <v>21634</v>
      </c>
      <c r="M886" s="12">
        <v>-1966.53</v>
      </c>
      <c r="N886" s="12">
        <v>0</v>
      </c>
      <c r="O886" s="12">
        <v>2556.7709199999999</v>
      </c>
      <c r="P886" s="12">
        <v>22224.24092</v>
      </c>
    </row>
    <row r="887" spans="1:16" ht="14.5" x14ac:dyDescent="0.25">
      <c r="A887" s="10">
        <v>45900</v>
      </c>
      <c r="B887" s="2" t="str">
        <f t="shared" si="28"/>
        <v>Aug-2025</v>
      </c>
      <c r="C887" s="2" t="str">
        <f t="shared" si="29"/>
        <v>Q2</v>
      </c>
      <c r="D887" s="2" t="s">
        <v>28</v>
      </c>
      <c r="E887" s="11" t="s">
        <v>230</v>
      </c>
      <c r="F887" s="11" t="s">
        <v>12</v>
      </c>
      <c r="G887" s="11" t="s">
        <v>503</v>
      </c>
      <c r="H887" s="11" t="s">
        <v>179</v>
      </c>
      <c r="I887" s="12">
        <v>2</v>
      </c>
      <c r="J887" s="12">
        <v>360</v>
      </c>
      <c r="K887" s="12">
        <v>121.7</v>
      </c>
      <c r="L887" s="12">
        <v>43812</v>
      </c>
      <c r="M887" s="12">
        <v>-3982.5099999999998</v>
      </c>
      <c r="N887" s="12">
        <v>0</v>
      </c>
      <c r="O887" s="12">
        <v>5177.8333350000003</v>
      </c>
      <c r="P887" s="12">
        <v>45007.323335000001</v>
      </c>
    </row>
    <row r="888" spans="1:16" ht="14.5" x14ac:dyDescent="0.25">
      <c r="A888" s="10">
        <v>45900</v>
      </c>
      <c r="B888" s="2" t="str">
        <f t="shared" si="28"/>
        <v>Aug-2025</v>
      </c>
      <c r="C888" s="2" t="str">
        <f t="shared" si="29"/>
        <v>Q2</v>
      </c>
      <c r="D888" s="2" t="s">
        <v>28</v>
      </c>
      <c r="E888" s="11" t="s">
        <v>230</v>
      </c>
      <c r="F888" s="11" t="s">
        <v>12</v>
      </c>
      <c r="G888" s="11" t="s">
        <v>503</v>
      </c>
      <c r="H888" s="11" t="s">
        <v>52</v>
      </c>
      <c r="I888" s="12">
        <v>0.32</v>
      </c>
      <c r="J888" s="12">
        <v>57</v>
      </c>
      <c r="K888" s="12">
        <v>70.989999999999995</v>
      </c>
      <c r="L888" s="12">
        <v>4046.43</v>
      </c>
      <c r="M888" s="12">
        <v>-367.82</v>
      </c>
      <c r="N888" s="12">
        <v>0</v>
      </c>
      <c r="O888" s="12">
        <v>478.219266</v>
      </c>
      <c r="P888" s="12">
        <v>4156.8292659999997</v>
      </c>
    </row>
    <row r="889" spans="1:16" ht="14.5" x14ac:dyDescent="0.25">
      <c r="A889" s="10">
        <v>45900</v>
      </c>
      <c r="B889" s="2" t="str">
        <f t="shared" si="28"/>
        <v>Aug-2025</v>
      </c>
      <c r="C889" s="2" t="str">
        <f t="shared" si="29"/>
        <v>Q2</v>
      </c>
      <c r="D889" s="2" t="s">
        <v>28</v>
      </c>
      <c r="E889" s="11" t="s">
        <v>230</v>
      </c>
      <c r="F889" s="11" t="s">
        <v>12</v>
      </c>
      <c r="G889" s="11" t="s">
        <v>503</v>
      </c>
      <c r="H889" s="11" t="s">
        <v>52</v>
      </c>
      <c r="I889" s="12">
        <v>0.03</v>
      </c>
      <c r="J889" s="12">
        <v>6</v>
      </c>
      <c r="K889" s="12">
        <v>70.989999999999995</v>
      </c>
      <c r="L889" s="12">
        <v>425.94</v>
      </c>
      <c r="M889" s="12">
        <v>-38.72</v>
      </c>
      <c r="N889" s="12">
        <v>0</v>
      </c>
      <c r="O889" s="12">
        <v>50.338596000000003</v>
      </c>
      <c r="P889" s="12">
        <v>437.55859600000002</v>
      </c>
    </row>
    <row r="890" spans="1:16" ht="14.5" x14ac:dyDescent="0.25">
      <c r="A890" s="10">
        <v>45900</v>
      </c>
      <c r="B890" s="2" t="str">
        <f t="shared" si="28"/>
        <v>Aug-2025</v>
      </c>
      <c r="C890" s="2" t="str">
        <f t="shared" si="29"/>
        <v>Q2</v>
      </c>
      <c r="D890" s="2" t="s">
        <v>28</v>
      </c>
      <c r="E890" s="11" t="s">
        <v>230</v>
      </c>
      <c r="F890" s="11" t="s">
        <v>12</v>
      </c>
      <c r="G890" s="11" t="s">
        <v>503</v>
      </c>
      <c r="H890" s="11" t="s">
        <v>45</v>
      </c>
      <c r="I890" s="12">
        <v>1</v>
      </c>
      <c r="J890" s="12">
        <v>180</v>
      </c>
      <c r="K890" s="12">
        <v>64.23</v>
      </c>
      <c r="L890" s="12">
        <v>11561.4</v>
      </c>
      <c r="M890" s="12">
        <v>-1050.9299999999998</v>
      </c>
      <c r="N890" s="12">
        <v>0</v>
      </c>
      <c r="O890" s="12">
        <v>1366.3610040000001</v>
      </c>
      <c r="P890" s="12">
        <v>11876.831004</v>
      </c>
    </row>
    <row r="891" spans="1:16" ht="14.5" x14ac:dyDescent="0.25">
      <c r="A891" s="10">
        <v>45900</v>
      </c>
      <c r="B891" s="2" t="str">
        <f t="shared" si="28"/>
        <v>Aug-2025</v>
      </c>
      <c r="C891" s="2" t="str">
        <f t="shared" si="29"/>
        <v>Q2</v>
      </c>
      <c r="D891" s="2" t="s">
        <v>28</v>
      </c>
      <c r="E891" s="11" t="s">
        <v>230</v>
      </c>
      <c r="F891" s="11" t="s">
        <v>12</v>
      </c>
      <c r="G891" s="11" t="s">
        <v>506</v>
      </c>
      <c r="H891" s="11" t="s">
        <v>58</v>
      </c>
      <c r="I891" s="12">
        <v>1</v>
      </c>
      <c r="J891" s="12">
        <v>72</v>
      </c>
      <c r="K891" s="12">
        <v>148.74</v>
      </c>
      <c r="L891" s="12">
        <v>10709.279999999999</v>
      </c>
      <c r="M891" s="12">
        <v>-973.47</v>
      </c>
      <c r="N891" s="12">
        <v>0</v>
      </c>
      <c r="O891" s="12">
        <v>1265.6552109999998</v>
      </c>
      <c r="P891" s="12">
        <v>11001.465211000001</v>
      </c>
    </row>
    <row r="892" spans="1:16" ht="14.5" x14ac:dyDescent="0.25">
      <c r="A892" s="10">
        <v>45900</v>
      </c>
      <c r="B892" s="2" t="str">
        <f t="shared" si="28"/>
        <v>Aug-2025</v>
      </c>
      <c r="C892" s="2" t="str">
        <f t="shared" si="29"/>
        <v>Q2</v>
      </c>
      <c r="D892" s="2" t="s">
        <v>28</v>
      </c>
      <c r="E892" s="11" t="s">
        <v>231</v>
      </c>
      <c r="F892" s="11" t="s">
        <v>95</v>
      </c>
      <c r="G892" s="11" t="s">
        <v>505</v>
      </c>
      <c r="H892" s="11" t="s">
        <v>43</v>
      </c>
      <c r="I892" s="12">
        <v>1.5</v>
      </c>
      <c r="J892" s="12">
        <v>60</v>
      </c>
      <c r="K892" s="12">
        <v>283.94</v>
      </c>
      <c r="L892" s="12">
        <v>17036.400000000001</v>
      </c>
      <c r="M892" s="12">
        <v>-1548.61</v>
      </c>
      <c r="N892" s="12">
        <v>0</v>
      </c>
      <c r="O892" s="12">
        <v>2013.4121269999998</v>
      </c>
      <c r="P892" s="12">
        <v>17501.202127</v>
      </c>
    </row>
    <row r="893" spans="1:16" ht="14.5" x14ac:dyDescent="0.25">
      <c r="A893" s="10">
        <v>45900</v>
      </c>
      <c r="B893" s="2" t="str">
        <f t="shared" si="28"/>
        <v>Aug-2025</v>
      </c>
      <c r="C893" s="2" t="str">
        <f t="shared" si="29"/>
        <v>Q2</v>
      </c>
      <c r="D893" s="2" t="s">
        <v>28</v>
      </c>
      <c r="E893" s="11" t="s">
        <v>231</v>
      </c>
      <c r="F893" s="11" t="s">
        <v>95</v>
      </c>
      <c r="G893" s="11" t="s">
        <v>503</v>
      </c>
      <c r="H893" s="11" t="s">
        <v>180</v>
      </c>
      <c r="I893" s="12">
        <v>0.5</v>
      </c>
      <c r="J893" s="12">
        <v>40</v>
      </c>
      <c r="K893" s="12">
        <v>141.97</v>
      </c>
      <c r="L893" s="12">
        <v>5678.7999999999993</v>
      </c>
      <c r="M893" s="12">
        <v>-516.20000000000005</v>
      </c>
      <c r="N893" s="12">
        <v>0</v>
      </c>
      <c r="O893" s="12">
        <v>671.13780899999995</v>
      </c>
      <c r="P893" s="12">
        <v>5833.7378090000002</v>
      </c>
    </row>
    <row r="894" spans="1:16" ht="14.5" x14ac:dyDescent="0.25">
      <c r="A894" s="10">
        <v>45900</v>
      </c>
      <c r="B894" s="2" t="str">
        <f t="shared" si="28"/>
        <v>Aug-2025</v>
      </c>
      <c r="C894" s="2" t="str">
        <f t="shared" si="29"/>
        <v>Q2</v>
      </c>
      <c r="D894" s="2" t="s">
        <v>28</v>
      </c>
      <c r="E894" s="11" t="s">
        <v>231</v>
      </c>
      <c r="F894" s="11" t="s">
        <v>95</v>
      </c>
      <c r="G894" s="11" t="s">
        <v>503</v>
      </c>
      <c r="H894" s="11" t="s">
        <v>42</v>
      </c>
      <c r="I894" s="12">
        <v>1</v>
      </c>
      <c r="J894" s="12">
        <v>120</v>
      </c>
      <c r="K894" s="12">
        <v>141.97</v>
      </c>
      <c r="L894" s="12">
        <v>17036.400000000001</v>
      </c>
      <c r="M894" s="12">
        <v>-1548.61</v>
      </c>
      <c r="N894" s="12">
        <v>0</v>
      </c>
      <c r="O894" s="12">
        <v>2013.4121269999998</v>
      </c>
      <c r="P894" s="12">
        <v>17501.202127</v>
      </c>
    </row>
    <row r="895" spans="1:16" ht="14.5" x14ac:dyDescent="0.25">
      <c r="A895" s="10">
        <v>45900</v>
      </c>
      <c r="B895" s="2" t="str">
        <f t="shared" si="28"/>
        <v>Aug-2025</v>
      </c>
      <c r="C895" s="2" t="str">
        <f t="shared" si="29"/>
        <v>Q2</v>
      </c>
      <c r="D895" s="2" t="s">
        <v>28</v>
      </c>
      <c r="E895" s="11" t="s">
        <v>231</v>
      </c>
      <c r="F895" s="11" t="s">
        <v>95</v>
      </c>
      <c r="G895" s="11" t="s">
        <v>503</v>
      </c>
      <c r="H895" s="11" t="s">
        <v>89</v>
      </c>
      <c r="I895" s="12">
        <v>1</v>
      </c>
      <c r="J895" s="12">
        <v>120</v>
      </c>
      <c r="K895" s="12">
        <v>114.93</v>
      </c>
      <c r="L895" s="12">
        <v>13791.6</v>
      </c>
      <c r="M895" s="12">
        <v>-1253.6600000000001</v>
      </c>
      <c r="N895" s="12">
        <v>0</v>
      </c>
      <c r="O895" s="12">
        <v>1629.931736</v>
      </c>
      <c r="P895" s="12">
        <v>14167.871735999999</v>
      </c>
    </row>
    <row r="896" spans="1:16" ht="14.5" x14ac:dyDescent="0.25">
      <c r="A896" s="10">
        <v>45900</v>
      </c>
      <c r="B896" s="2" t="str">
        <f t="shared" si="28"/>
        <v>Aug-2025</v>
      </c>
      <c r="C896" s="2" t="str">
        <f t="shared" si="29"/>
        <v>Q2</v>
      </c>
      <c r="D896" s="2" t="s">
        <v>28</v>
      </c>
      <c r="E896" s="11" t="s">
        <v>231</v>
      </c>
      <c r="F896" s="11" t="s">
        <v>95</v>
      </c>
      <c r="G896" s="11" t="s">
        <v>503</v>
      </c>
      <c r="H896" s="11" t="s">
        <v>63</v>
      </c>
      <c r="I896" s="12">
        <v>1</v>
      </c>
      <c r="J896" s="12">
        <v>80</v>
      </c>
      <c r="K896" s="12">
        <v>185.92</v>
      </c>
      <c r="L896" s="12">
        <v>14873.6</v>
      </c>
      <c r="M896" s="12">
        <v>-1352.01</v>
      </c>
      <c r="N896" s="12">
        <v>0</v>
      </c>
      <c r="O896" s="12">
        <v>1757.8062</v>
      </c>
      <c r="P896" s="12">
        <v>15279.396199999999</v>
      </c>
    </row>
    <row r="897" spans="1:16" ht="14.5" x14ac:dyDescent="0.25">
      <c r="A897" s="10">
        <v>45901</v>
      </c>
      <c r="B897" s="2" t="str">
        <f t="shared" si="28"/>
        <v>Sep-2025</v>
      </c>
      <c r="C897" s="2" t="str">
        <f t="shared" si="29"/>
        <v>Q2</v>
      </c>
      <c r="D897" s="2" t="s">
        <v>28</v>
      </c>
      <c r="E897" s="11" t="s">
        <v>232</v>
      </c>
      <c r="F897" s="11" t="s">
        <v>13</v>
      </c>
      <c r="G897" s="11" t="s">
        <v>504</v>
      </c>
      <c r="H897" s="11" t="s">
        <v>53</v>
      </c>
      <c r="I897" s="12">
        <v>1</v>
      </c>
      <c r="J897" s="12">
        <v>100</v>
      </c>
      <c r="K897" s="12">
        <v>137.51</v>
      </c>
      <c r="L897" s="12">
        <v>13751</v>
      </c>
      <c r="M897" s="12">
        <v>-1249.97</v>
      </c>
      <c r="N897" s="12">
        <v>-1745</v>
      </c>
      <c r="O897" s="12">
        <v>0</v>
      </c>
      <c r="P897" s="12">
        <v>10756.03</v>
      </c>
    </row>
    <row r="898" spans="1:16" ht="14.5" x14ac:dyDescent="0.25">
      <c r="A898" s="10">
        <v>45901</v>
      </c>
      <c r="B898" s="2" t="str">
        <f t="shared" si="28"/>
        <v>Sep-2025</v>
      </c>
      <c r="C898" s="2" t="str">
        <f t="shared" si="29"/>
        <v>Q2</v>
      </c>
      <c r="D898" s="2" t="s">
        <v>28</v>
      </c>
      <c r="E898" s="11" t="s">
        <v>233</v>
      </c>
      <c r="F898" s="11" t="s">
        <v>14</v>
      </c>
      <c r="G898" s="11" t="s">
        <v>504</v>
      </c>
      <c r="H898" s="11" t="s">
        <v>53</v>
      </c>
      <c r="I898" s="12">
        <v>1</v>
      </c>
      <c r="J898" s="12">
        <v>100</v>
      </c>
      <c r="K898" s="12">
        <v>137.51</v>
      </c>
      <c r="L898" s="12">
        <v>13751</v>
      </c>
      <c r="M898" s="12">
        <v>-1249.97</v>
      </c>
      <c r="N898" s="12">
        <v>0</v>
      </c>
      <c r="O898" s="12">
        <v>0</v>
      </c>
      <c r="P898" s="12">
        <v>12501.03</v>
      </c>
    </row>
    <row r="899" spans="1:16" ht="14.5" x14ac:dyDescent="0.25">
      <c r="A899" s="10">
        <v>45901</v>
      </c>
      <c r="B899" s="2" t="str">
        <f t="shared" si="28"/>
        <v>Sep-2025</v>
      </c>
      <c r="C899" s="2" t="str">
        <f t="shared" si="29"/>
        <v>Q2</v>
      </c>
      <c r="D899" s="2" t="s">
        <v>28</v>
      </c>
      <c r="E899" s="11" t="s">
        <v>234</v>
      </c>
      <c r="F899" s="11" t="s">
        <v>12</v>
      </c>
      <c r="G899" s="11" t="s">
        <v>504</v>
      </c>
      <c r="H899" s="11" t="s">
        <v>53</v>
      </c>
      <c r="I899" s="12">
        <v>2</v>
      </c>
      <c r="J899" s="12">
        <v>200</v>
      </c>
      <c r="K899" s="12">
        <v>137.51</v>
      </c>
      <c r="L899" s="12">
        <v>27502</v>
      </c>
      <c r="M899" s="12">
        <v>-2499.9299999999998</v>
      </c>
      <c r="N899" s="12">
        <v>0</v>
      </c>
      <c r="O899" s="12">
        <v>0</v>
      </c>
      <c r="P899" s="12">
        <v>25002.07</v>
      </c>
    </row>
    <row r="900" spans="1:16" ht="14.5" x14ac:dyDescent="0.25">
      <c r="A900" s="10">
        <v>45901</v>
      </c>
      <c r="B900" s="2" t="str">
        <f t="shared" si="28"/>
        <v>Sep-2025</v>
      </c>
      <c r="C900" s="2" t="str">
        <f t="shared" si="29"/>
        <v>Q2</v>
      </c>
      <c r="D900" s="2" t="s">
        <v>28</v>
      </c>
      <c r="E900" s="11" t="s">
        <v>235</v>
      </c>
      <c r="F900" s="11" t="s">
        <v>236</v>
      </c>
      <c r="G900" s="11" t="s">
        <v>503</v>
      </c>
      <c r="H900" s="11" t="s">
        <v>59</v>
      </c>
      <c r="I900" s="12">
        <v>1</v>
      </c>
      <c r="J900" s="12">
        <v>180</v>
      </c>
      <c r="K900" s="12">
        <v>64.23</v>
      </c>
      <c r="L900" s="12">
        <v>11561.4</v>
      </c>
      <c r="M900" s="12">
        <v>-1050.9299999999998</v>
      </c>
      <c r="N900" s="12">
        <v>0</v>
      </c>
      <c r="O900" s="12">
        <v>1366.3610880000001</v>
      </c>
      <c r="P900" s="12">
        <v>11876.831088000001</v>
      </c>
    </row>
    <row r="901" spans="1:16" ht="14.5" x14ac:dyDescent="0.25">
      <c r="A901" s="10">
        <v>45901</v>
      </c>
      <c r="B901" s="2" t="str">
        <f t="shared" si="28"/>
        <v>Sep-2025</v>
      </c>
      <c r="C901" s="2" t="str">
        <f t="shared" si="29"/>
        <v>Q2</v>
      </c>
      <c r="D901" s="2" t="s">
        <v>28</v>
      </c>
      <c r="E901" s="11" t="s">
        <v>235</v>
      </c>
      <c r="F901" s="11" t="s">
        <v>236</v>
      </c>
      <c r="G901" s="11" t="s">
        <v>507</v>
      </c>
      <c r="H901" s="11" t="s">
        <v>90</v>
      </c>
      <c r="I901" s="12">
        <v>2</v>
      </c>
      <c r="J901" s="12">
        <v>240</v>
      </c>
      <c r="K901" s="12">
        <v>57.46</v>
      </c>
      <c r="L901" s="12">
        <v>13790.4</v>
      </c>
      <c r="M901" s="12">
        <v>-1253.55</v>
      </c>
      <c r="N901" s="12">
        <v>0</v>
      </c>
      <c r="O901" s="12">
        <v>1629.7904850000002</v>
      </c>
      <c r="P901" s="12">
        <v>14166.640485</v>
      </c>
    </row>
    <row r="902" spans="1:16" ht="14.5" x14ac:dyDescent="0.25">
      <c r="A902" s="10">
        <v>45901</v>
      </c>
      <c r="B902" s="2" t="str">
        <f t="shared" si="28"/>
        <v>Sep-2025</v>
      </c>
      <c r="C902" s="2" t="str">
        <f t="shared" si="29"/>
        <v>Q2</v>
      </c>
      <c r="D902" s="2" t="s">
        <v>28</v>
      </c>
      <c r="E902" s="11" t="s">
        <v>235</v>
      </c>
      <c r="F902" s="11" t="s">
        <v>236</v>
      </c>
      <c r="G902" s="11" t="s">
        <v>503</v>
      </c>
      <c r="H902" s="11" t="s">
        <v>89</v>
      </c>
      <c r="I902" s="12">
        <v>0.5</v>
      </c>
      <c r="J902" s="12">
        <v>60</v>
      </c>
      <c r="K902" s="12">
        <v>114.93</v>
      </c>
      <c r="L902" s="12">
        <v>6895.8</v>
      </c>
      <c r="M902" s="12">
        <v>-626.83000000000004</v>
      </c>
      <c r="N902" s="12">
        <v>0</v>
      </c>
      <c r="O902" s="12">
        <v>814.966093</v>
      </c>
      <c r="P902" s="12">
        <v>7083.9360930000003</v>
      </c>
    </row>
    <row r="903" spans="1:16" ht="14.5" x14ac:dyDescent="0.25">
      <c r="A903" s="10">
        <v>45901</v>
      </c>
      <c r="B903" s="2" t="str">
        <f t="shared" si="28"/>
        <v>Sep-2025</v>
      </c>
      <c r="C903" s="2" t="str">
        <f t="shared" si="29"/>
        <v>Q2</v>
      </c>
      <c r="D903" s="2" t="s">
        <v>28</v>
      </c>
      <c r="E903" s="11" t="s">
        <v>235</v>
      </c>
      <c r="F903" s="11" t="s">
        <v>236</v>
      </c>
      <c r="G903" s="11" t="s">
        <v>503</v>
      </c>
      <c r="H903" s="11" t="s">
        <v>63</v>
      </c>
      <c r="I903" s="12">
        <v>0.75</v>
      </c>
      <c r="J903" s="12">
        <v>60</v>
      </c>
      <c r="K903" s="12">
        <v>185.92</v>
      </c>
      <c r="L903" s="12">
        <v>11155.2</v>
      </c>
      <c r="M903" s="12">
        <v>-1014.01</v>
      </c>
      <c r="N903" s="12">
        <v>0</v>
      </c>
      <c r="O903" s="12">
        <v>1318.3546879999999</v>
      </c>
      <c r="P903" s="12">
        <v>11459.544688</v>
      </c>
    </row>
    <row r="904" spans="1:16" ht="14.5" x14ac:dyDescent="0.25">
      <c r="A904" s="10">
        <v>45901</v>
      </c>
      <c r="B904" s="2" t="str">
        <f t="shared" si="28"/>
        <v>Sep-2025</v>
      </c>
      <c r="C904" s="2" t="str">
        <f t="shared" si="29"/>
        <v>Q2</v>
      </c>
      <c r="D904" s="2" t="s">
        <v>28</v>
      </c>
      <c r="E904" s="11" t="s">
        <v>235</v>
      </c>
      <c r="F904" s="11" t="s">
        <v>236</v>
      </c>
      <c r="G904" s="11" t="s">
        <v>503</v>
      </c>
      <c r="H904" s="11" t="s">
        <v>45</v>
      </c>
      <c r="I904" s="12">
        <v>1</v>
      </c>
      <c r="J904" s="12">
        <v>180</v>
      </c>
      <c r="K904" s="12">
        <v>64.23</v>
      </c>
      <c r="L904" s="12">
        <v>11561.4</v>
      </c>
      <c r="M904" s="12">
        <v>-1050.9299999999998</v>
      </c>
      <c r="N904" s="12">
        <v>0</v>
      </c>
      <c r="O904" s="12">
        <v>1366.3610880000001</v>
      </c>
      <c r="P904" s="12">
        <v>11876.831088000001</v>
      </c>
    </row>
    <row r="905" spans="1:16" ht="14.5" x14ac:dyDescent="0.25">
      <c r="A905" s="10">
        <v>45901</v>
      </c>
      <c r="B905" s="2" t="str">
        <f t="shared" si="28"/>
        <v>Sep-2025</v>
      </c>
      <c r="C905" s="2" t="str">
        <f t="shared" si="29"/>
        <v>Q2</v>
      </c>
      <c r="D905" s="2" t="s">
        <v>28</v>
      </c>
      <c r="E905" s="11" t="s">
        <v>235</v>
      </c>
      <c r="F905" s="11" t="s">
        <v>236</v>
      </c>
      <c r="G905" s="11" t="s">
        <v>503</v>
      </c>
      <c r="H905" s="11" t="s">
        <v>51</v>
      </c>
      <c r="I905" s="12">
        <v>1</v>
      </c>
      <c r="J905" s="12">
        <v>180</v>
      </c>
      <c r="K905" s="12">
        <v>64.23</v>
      </c>
      <c r="L905" s="12">
        <v>11561.4</v>
      </c>
      <c r="M905" s="12">
        <v>-1050.9299999999998</v>
      </c>
      <c r="N905" s="12">
        <v>0</v>
      </c>
      <c r="O905" s="12">
        <v>1366.3610880000001</v>
      </c>
      <c r="P905" s="12">
        <v>11876.831088000001</v>
      </c>
    </row>
    <row r="906" spans="1:16" ht="14.5" x14ac:dyDescent="0.25">
      <c r="A906" s="10">
        <v>45901</v>
      </c>
      <c r="B906" s="2" t="str">
        <f t="shared" si="28"/>
        <v>Sep-2025</v>
      </c>
      <c r="C906" s="2" t="str">
        <f t="shared" si="29"/>
        <v>Q2</v>
      </c>
      <c r="D906" s="2" t="s">
        <v>28</v>
      </c>
      <c r="E906" s="11" t="s">
        <v>235</v>
      </c>
      <c r="F906" s="11" t="s">
        <v>236</v>
      </c>
      <c r="G906" s="11" t="s">
        <v>506</v>
      </c>
      <c r="H906" s="11" t="s">
        <v>39</v>
      </c>
      <c r="I906" s="12">
        <v>2</v>
      </c>
      <c r="J906" s="12">
        <v>144</v>
      </c>
      <c r="K906" s="12">
        <v>131.83000000000001</v>
      </c>
      <c r="L906" s="12">
        <v>18983.52</v>
      </c>
      <c r="M906" s="12">
        <v>-1725.6</v>
      </c>
      <c r="N906" s="12">
        <v>0</v>
      </c>
      <c r="O906" s="12">
        <v>2243.5295799999999</v>
      </c>
      <c r="P906" s="12">
        <v>19501.44958</v>
      </c>
    </row>
    <row r="907" spans="1:16" ht="14.5" x14ac:dyDescent="0.25">
      <c r="A907" s="10">
        <v>45901</v>
      </c>
      <c r="B907" s="2" t="str">
        <f t="shared" si="28"/>
        <v>Sep-2025</v>
      </c>
      <c r="C907" s="2" t="str">
        <f t="shared" si="29"/>
        <v>Q2</v>
      </c>
      <c r="D907" s="2" t="s">
        <v>28</v>
      </c>
      <c r="E907" s="11" t="s">
        <v>235</v>
      </c>
      <c r="F907" s="11" t="s">
        <v>236</v>
      </c>
      <c r="G907" s="11" t="s">
        <v>506</v>
      </c>
      <c r="H907" s="11" t="s">
        <v>54</v>
      </c>
      <c r="I907" s="12">
        <v>2</v>
      </c>
      <c r="J907" s="12">
        <v>96</v>
      </c>
      <c r="K907" s="12">
        <v>310.99</v>
      </c>
      <c r="L907" s="12">
        <v>29855.039999999997</v>
      </c>
      <c r="M907" s="12">
        <v>-2713.82</v>
      </c>
      <c r="N907" s="12">
        <v>0</v>
      </c>
      <c r="O907" s="12">
        <v>3528.3585679999997</v>
      </c>
      <c r="P907" s="12">
        <v>30669.578568000001</v>
      </c>
    </row>
    <row r="908" spans="1:16" ht="14.5" x14ac:dyDescent="0.25">
      <c r="A908" s="10">
        <v>45901</v>
      </c>
      <c r="B908" s="2" t="str">
        <f t="shared" si="28"/>
        <v>Sep-2025</v>
      </c>
      <c r="C908" s="2" t="str">
        <f t="shared" si="29"/>
        <v>Q2</v>
      </c>
      <c r="D908" s="2" t="s">
        <v>28</v>
      </c>
      <c r="E908" s="11" t="s">
        <v>235</v>
      </c>
      <c r="F908" s="11" t="s">
        <v>236</v>
      </c>
      <c r="G908" s="11" t="s">
        <v>503</v>
      </c>
      <c r="H908" s="11" t="s">
        <v>52</v>
      </c>
      <c r="I908" s="12">
        <v>1</v>
      </c>
      <c r="J908" s="12">
        <v>180</v>
      </c>
      <c r="K908" s="12">
        <v>70.989999999999995</v>
      </c>
      <c r="L908" s="12">
        <v>12778.2</v>
      </c>
      <c r="M908" s="12">
        <v>-1161.54</v>
      </c>
      <c r="N908" s="12">
        <v>0</v>
      </c>
      <c r="O908" s="12">
        <v>1510.1657869999999</v>
      </c>
      <c r="P908" s="12">
        <v>13126.825787</v>
      </c>
    </row>
    <row r="909" spans="1:16" ht="14.5" x14ac:dyDescent="0.25">
      <c r="A909" s="10">
        <v>45901</v>
      </c>
      <c r="B909" s="2" t="str">
        <f t="shared" si="28"/>
        <v>Sep-2025</v>
      </c>
      <c r="C909" s="2" t="str">
        <f t="shared" si="29"/>
        <v>Q2</v>
      </c>
      <c r="D909" s="2" t="s">
        <v>28</v>
      </c>
      <c r="E909" s="11" t="s">
        <v>235</v>
      </c>
      <c r="F909" s="11" t="s">
        <v>236</v>
      </c>
      <c r="G909" s="11" t="s">
        <v>506</v>
      </c>
      <c r="H909" s="11" t="s">
        <v>58</v>
      </c>
      <c r="I909" s="12">
        <v>2</v>
      </c>
      <c r="J909" s="12">
        <v>144</v>
      </c>
      <c r="K909" s="12">
        <v>148.74</v>
      </c>
      <c r="L909" s="12">
        <v>21418.559999999998</v>
      </c>
      <c r="M909" s="12">
        <v>-1946.95</v>
      </c>
      <c r="N909" s="12">
        <v>0</v>
      </c>
      <c r="O909" s="12">
        <v>2531.3092770000003</v>
      </c>
      <c r="P909" s="12">
        <v>22002.919277000001</v>
      </c>
    </row>
    <row r="910" spans="1:16" ht="14.5" x14ac:dyDescent="0.25">
      <c r="A910" s="10">
        <v>45901</v>
      </c>
      <c r="B910" s="2" t="str">
        <f t="shared" si="28"/>
        <v>Sep-2025</v>
      </c>
      <c r="C910" s="2" t="str">
        <f t="shared" si="29"/>
        <v>Q2</v>
      </c>
      <c r="D910" s="2" t="s">
        <v>28</v>
      </c>
      <c r="E910" s="11" t="s">
        <v>235</v>
      </c>
      <c r="F910" s="11" t="s">
        <v>236</v>
      </c>
      <c r="G910" s="11" t="s">
        <v>505</v>
      </c>
      <c r="H910" s="11" t="s">
        <v>49</v>
      </c>
      <c r="I910" s="12">
        <v>1</v>
      </c>
      <c r="J910" s="12">
        <v>180</v>
      </c>
      <c r="K910" s="12">
        <v>182.53</v>
      </c>
      <c r="L910" s="12">
        <v>32855.4</v>
      </c>
      <c r="M910" s="12">
        <v>-2986.56</v>
      </c>
      <c r="N910" s="12">
        <v>0</v>
      </c>
      <c r="O910" s="12">
        <v>3882.9491649999995</v>
      </c>
      <c r="P910" s="12">
        <v>33751.789165000002</v>
      </c>
    </row>
    <row r="911" spans="1:16" ht="14.5" x14ac:dyDescent="0.25">
      <c r="A911" s="10">
        <v>45901</v>
      </c>
      <c r="B911" s="2" t="str">
        <f t="shared" si="28"/>
        <v>Sep-2025</v>
      </c>
      <c r="C911" s="2" t="str">
        <f t="shared" si="29"/>
        <v>Q2</v>
      </c>
      <c r="D911" s="2" t="s">
        <v>28</v>
      </c>
      <c r="E911" s="11" t="s">
        <v>235</v>
      </c>
      <c r="F911" s="11" t="s">
        <v>236</v>
      </c>
      <c r="G911" s="11" t="s">
        <v>503</v>
      </c>
      <c r="H911" s="11" t="s">
        <v>57</v>
      </c>
      <c r="I911" s="12">
        <v>0.33</v>
      </c>
      <c r="J911" s="12">
        <v>60</v>
      </c>
      <c r="K911" s="12">
        <v>121.69</v>
      </c>
      <c r="L911" s="12">
        <v>7301.4000000000005</v>
      </c>
      <c r="M911" s="12">
        <v>-663.7</v>
      </c>
      <c r="N911" s="12">
        <v>0</v>
      </c>
      <c r="O911" s="12">
        <v>862.90099199999997</v>
      </c>
      <c r="P911" s="12">
        <v>7500.6009919999997</v>
      </c>
    </row>
    <row r="912" spans="1:16" ht="14.5" x14ac:dyDescent="0.25">
      <c r="A912" s="10">
        <v>45901</v>
      </c>
      <c r="B912" s="2" t="str">
        <f t="shared" si="28"/>
        <v>Sep-2025</v>
      </c>
      <c r="C912" s="2" t="str">
        <f t="shared" si="29"/>
        <v>Q2</v>
      </c>
      <c r="D912" s="2" t="s">
        <v>28</v>
      </c>
      <c r="E912" s="11" t="s">
        <v>235</v>
      </c>
      <c r="F912" s="11" t="s">
        <v>236</v>
      </c>
      <c r="G912" s="11" t="s">
        <v>503</v>
      </c>
      <c r="H912" s="11" t="s">
        <v>46</v>
      </c>
      <c r="I912" s="12">
        <v>0.5</v>
      </c>
      <c r="J912" s="12">
        <v>60</v>
      </c>
      <c r="K912" s="12">
        <v>121.69</v>
      </c>
      <c r="L912" s="12">
        <v>7301.4000000000005</v>
      </c>
      <c r="M912" s="12">
        <v>-663.7</v>
      </c>
      <c r="N912" s="12">
        <v>0</v>
      </c>
      <c r="O912" s="12">
        <v>862.90099199999997</v>
      </c>
      <c r="P912" s="12">
        <v>7500.6009919999997</v>
      </c>
    </row>
    <row r="913" spans="1:16" ht="14.5" x14ac:dyDescent="0.25">
      <c r="A913" s="10">
        <v>45901</v>
      </c>
      <c r="B913" s="2" t="str">
        <f t="shared" si="28"/>
        <v>Sep-2025</v>
      </c>
      <c r="C913" s="2" t="str">
        <f t="shared" si="29"/>
        <v>Q2</v>
      </c>
      <c r="D913" s="2" t="s">
        <v>28</v>
      </c>
      <c r="E913" s="11" t="s">
        <v>235</v>
      </c>
      <c r="F913" s="11" t="s">
        <v>236</v>
      </c>
      <c r="G913" s="11" t="s">
        <v>503</v>
      </c>
      <c r="H913" s="11" t="s">
        <v>48</v>
      </c>
      <c r="I913" s="12">
        <v>0.33</v>
      </c>
      <c r="J913" s="12">
        <v>60</v>
      </c>
      <c r="K913" s="12">
        <v>135.21</v>
      </c>
      <c r="L913" s="12">
        <v>8112.6</v>
      </c>
      <c r="M913" s="12">
        <v>-737.44</v>
      </c>
      <c r="N913" s="12">
        <v>0</v>
      </c>
      <c r="O913" s="12">
        <v>958.77079100000003</v>
      </c>
      <c r="P913" s="12">
        <v>8333.9307910000007</v>
      </c>
    </row>
    <row r="914" spans="1:16" ht="14.5" x14ac:dyDescent="0.25">
      <c r="A914" s="10">
        <v>45901</v>
      </c>
      <c r="B914" s="2" t="str">
        <f t="shared" si="28"/>
        <v>Sep-2025</v>
      </c>
      <c r="C914" s="2" t="str">
        <f t="shared" si="29"/>
        <v>Q2</v>
      </c>
      <c r="D914" s="2" t="s">
        <v>28</v>
      </c>
      <c r="E914" s="11" t="s">
        <v>235</v>
      </c>
      <c r="F914" s="11" t="s">
        <v>236</v>
      </c>
      <c r="G914" s="11" t="s">
        <v>503</v>
      </c>
      <c r="H914" s="11" t="s">
        <v>47</v>
      </c>
      <c r="I914" s="12">
        <v>0.5</v>
      </c>
      <c r="J914" s="12">
        <v>60</v>
      </c>
      <c r="K914" s="12">
        <v>121.69</v>
      </c>
      <c r="L914" s="12">
        <v>7301.4000000000005</v>
      </c>
      <c r="M914" s="12">
        <v>-663.7</v>
      </c>
      <c r="N914" s="12">
        <v>0</v>
      </c>
      <c r="O914" s="12">
        <v>862.90099199999997</v>
      </c>
      <c r="P914" s="12">
        <v>7500.6009919999997</v>
      </c>
    </row>
    <row r="915" spans="1:16" ht="14.5" x14ac:dyDescent="0.25">
      <c r="A915" s="10">
        <v>45901</v>
      </c>
      <c r="B915" s="2" t="str">
        <f t="shared" si="28"/>
        <v>Sep-2025</v>
      </c>
      <c r="C915" s="2" t="str">
        <f t="shared" si="29"/>
        <v>Q2</v>
      </c>
      <c r="D915" s="2" t="s">
        <v>28</v>
      </c>
      <c r="E915" s="11" t="s">
        <v>235</v>
      </c>
      <c r="F915" s="11" t="s">
        <v>236</v>
      </c>
      <c r="G915" s="11" t="s">
        <v>505</v>
      </c>
      <c r="H915" s="11" t="s">
        <v>40</v>
      </c>
      <c r="I915" s="12">
        <v>1</v>
      </c>
      <c r="J915" s="12">
        <v>180</v>
      </c>
      <c r="K915" s="12">
        <v>94.65</v>
      </c>
      <c r="L915" s="12">
        <v>17037</v>
      </c>
      <c r="M915" s="12">
        <v>-1548.6599999999999</v>
      </c>
      <c r="N915" s="12">
        <v>0</v>
      </c>
      <c r="O915" s="12">
        <v>2013.4841820000001</v>
      </c>
      <c r="P915" s="12">
        <v>17501.824182</v>
      </c>
    </row>
    <row r="916" spans="1:16" ht="14.5" x14ac:dyDescent="0.25">
      <c r="A916" s="10">
        <v>45901</v>
      </c>
      <c r="B916" s="2" t="str">
        <f t="shared" si="28"/>
        <v>Sep-2025</v>
      </c>
      <c r="C916" s="2" t="str">
        <f t="shared" si="29"/>
        <v>Q2</v>
      </c>
      <c r="D916" s="2" t="s">
        <v>28</v>
      </c>
      <c r="E916" s="11" t="s">
        <v>235</v>
      </c>
      <c r="F916" s="11" t="s">
        <v>236</v>
      </c>
      <c r="G916" s="11" t="s">
        <v>505</v>
      </c>
      <c r="H916" s="11" t="s">
        <v>55</v>
      </c>
      <c r="I916" s="12">
        <v>1</v>
      </c>
      <c r="J916" s="12">
        <v>120</v>
      </c>
      <c r="K916" s="12">
        <v>152.11000000000001</v>
      </c>
      <c r="L916" s="12">
        <v>18253.2</v>
      </c>
      <c r="M916" s="12">
        <v>-1659.2199999999998</v>
      </c>
      <c r="N916" s="12">
        <v>0</v>
      </c>
      <c r="O916" s="12">
        <v>2157.2173809999999</v>
      </c>
      <c r="P916" s="12">
        <v>18751.197381000002</v>
      </c>
    </row>
    <row r="917" spans="1:16" ht="14.5" x14ac:dyDescent="0.25">
      <c r="A917" s="10">
        <v>45901</v>
      </c>
      <c r="B917" s="2" t="str">
        <f t="shared" si="28"/>
        <v>Sep-2025</v>
      </c>
      <c r="C917" s="2" t="str">
        <f t="shared" si="29"/>
        <v>Q2</v>
      </c>
      <c r="D917" s="2" t="s">
        <v>28</v>
      </c>
      <c r="E917" s="11" t="s">
        <v>235</v>
      </c>
      <c r="F917" s="11" t="s">
        <v>236</v>
      </c>
      <c r="G917" s="11" t="s">
        <v>503</v>
      </c>
      <c r="H917" s="11" t="s">
        <v>166</v>
      </c>
      <c r="I917" s="12">
        <v>1</v>
      </c>
      <c r="J917" s="12">
        <v>120</v>
      </c>
      <c r="K917" s="12">
        <v>64.23</v>
      </c>
      <c r="L917" s="12">
        <v>7707.5999999999995</v>
      </c>
      <c r="M917" s="12">
        <v>-700.62</v>
      </c>
      <c r="N917" s="12">
        <v>0</v>
      </c>
      <c r="O917" s="12">
        <v>910.90739199999996</v>
      </c>
      <c r="P917" s="12">
        <v>7917.8873919999996</v>
      </c>
    </row>
    <row r="918" spans="1:16" ht="14.5" x14ac:dyDescent="0.25">
      <c r="A918" s="10">
        <v>45901</v>
      </c>
      <c r="B918" s="2" t="str">
        <f t="shared" si="28"/>
        <v>Sep-2025</v>
      </c>
      <c r="C918" s="2" t="str">
        <f t="shared" si="29"/>
        <v>Q2</v>
      </c>
      <c r="D918" s="2" t="s">
        <v>28</v>
      </c>
      <c r="E918" s="11" t="s">
        <v>235</v>
      </c>
      <c r="F918" s="11" t="s">
        <v>236</v>
      </c>
      <c r="G918" s="11" t="s">
        <v>503</v>
      </c>
      <c r="H918" s="11" t="s">
        <v>42</v>
      </c>
      <c r="I918" s="12">
        <v>1</v>
      </c>
      <c r="J918" s="12">
        <v>120</v>
      </c>
      <c r="K918" s="12">
        <v>141.97</v>
      </c>
      <c r="L918" s="12">
        <v>17036.400000000001</v>
      </c>
      <c r="M918" s="12">
        <v>-1548.61</v>
      </c>
      <c r="N918" s="12">
        <v>0</v>
      </c>
      <c r="O918" s="12">
        <v>2013.4126820000001</v>
      </c>
      <c r="P918" s="12">
        <v>17501.202681999999</v>
      </c>
    </row>
    <row r="919" spans="1:16" ht="14.5" x14ac:dyDescent="0.25">
      <c r="A919" s="10">
        <v>45901</v>
      </c>
      <c r="B919" s="2" t="str">
        <f t="shared" si="28"/>
        <v>Sep-2025</v>
      </c>
      <c r="C919" s="2" t="str">
        <f t="shared" si="29"/>
        <v>Q2</v>
      </c>
      <c r="D919" s="2" t="s">
        <v>28</v>
      </c>
      <c r="E919" s="11" t="s">
        <v>235</v>
      </c>
      <c r="F919" s="11" t="s">
        <v>236</v>
      </c>
      <c r="G919" s="11" t="s">
        <v>507</v>
      </c>
      <c r="H919" s="11" t="s">
        <v>60</v>
      </c>
      <c r="I919" s="12">
        <v>2</v>
      </c>
      <c r="J919" s="12">
        <v>120</v>
      </c>
      <c r="K919" s="12">
        <v>98.03</v>
      </c>
      <c r="L919" s="12">
        <v>11763.6</v>
      </c>
      <c r="M919" s="12">
        <v>-1069.3100000000002</v>
      </c>
      <c r="N919" s="12">
        <v>0</v>
      </c>
      <c r="O919" s="12">
        <v>1390.2576879999999</v>
      </c>
      <c r="P919" s="12">
        <v>12084.547688000001</v>
      </c>
    </row>
    <row r="920" spans="1:16" ht="14.5" x14ac:dyDescent="0.25">
      <c r="A920" s="10">
        <v>45901</v>
      </c>
      <c r="B920" s="2" t="str">
        <f t="shared" si="28"/>
        <v>Sep-2025</v>
      </c>
      <c r="C920" s="2" t="str">
        <f t="shared" si="29"/>
        <v>Q2</v>
      </c>
      <c r="D920" s="2" t="s">
        <v>28</v>
      </c>
      <c r="E920" s="11" t="s">
        <v>237</v>
      </c>
      <c r="F920" s="11" t="s">
        <v>116</v>
      </c>
      <c r="G920" s="11" t="s">
        <v>503</v>
      </c>
      <c r="H920" s="11" t="s">
        <v>42</v>
      </c>
      <c r="I920" s="12">
        <v>1</v>
      </c>
      <c r="J920" s="12">
        <v>120</v>
      </c>
      <c r="K920" s="12">
        <v>141.97</v>
      </c>
      <c r="L920" s="12">
        <v>17036.400000000001</v>
      </c>
      <c r="M920" s="12">
        <v>-1548.61</v>
      </c>
      <c r="N920" s="12">
        <v>0</v>
      </c>
      <c r="O920" s="12">
        <v>2013.4131739999998</v>
      </c>
      <c r="P920" s="12">
        <v>17501.203173999998</v>
      </c>
    </row>
    <row r="921" spans="1:16" ht="14.5" x14ac:dyDescent="0.25">
      <c r="A921" s="10">
        <v>45901</v>
      </c>
      <c r="B921" s="2" t="str">
        <f t="shared" si="28"/>
        <v>Sep-2025</v>
      </c>
      <c r="C921" s="2" t="str">
        <f t="shared" si="29"/>
        <v>Q2</v>
      </c>
      <c r="D921" s="2" t="s">
        <v>28</v>
      </c>
      <c r="E921" s="11" t="s">
        <v>237</v>
      </c>
      <c r="F921" s="11" t="s">
        <v>116</v>
      </c>
      <c r="G921" s="11" t="s">
        <v>503</v>
      </c>
      <c r="H921" s="11" t="s">
        <v>177</v>
      </c>
      <c r="I921" s="12">
        <v>1</v>
      </c>
      <c r="J921" s="12">
        <v>120</v>
      </c>
      <c r="K921" s="12">
        <v>94.65</v>
      </c>
      <c r="L921" s="12">
        <v>11358</v>
      </c>
      <c r="M921" s="12">
        <v>-1032.44</v>
      </c>
      <c r="N921" s="12">
        <v>0</v>
      </c>
      <c r="O921" s="12">
        <v>1342.323116</v>
      </c>
      <c r="P921" s="12">
        <v>11667.883116000001</v>
      </c>
    </row>
    <row r="922" spans="1:16" ht="14.5" x14ac:dyDescent="0.25">
      <c r="A922" s="10">
        <v>45901</v>
      </c>
      <c r="B922" s="2" t="str">
        <f t="shared" si="28"/>
        <v>Sep-2025</v>
      </c>
      <c r="C922" s="2" t="str">
        <f t="shared" si="29"/>
        <v>Q2</v>
      </c>
      <c r="D922" s="2" t="s">
        <v>28</v>
      </c>
      <c r="E922" s="11" t="s">
        <v>237</v>
      </c>
      <c r="F922" s="11" t="s">
        <v>116</v>
      </c>
      <c r="G922" s="11" t="s">
        <v>505</v>
      </c>
      <c r="H922" s="11" t="s">
        <v>40</v>
      </c>
      <c r="I922" s="12">
        <v>1</v>
      </c>
      <c r="J922" s="12">
        <v>180</v>
      </c>
      <c r="K922" s="12">
        <v>94.65</v>
      </c>
      <c r="L922" s="12">
        <v>17037</v>
      </c>
      <c r="M922" s="12">
        <v>-1548.6599999999999</v>
      </c>
      <c r="N922" s="12">
        <v>0</v>
      </c>
      <c r="O922" s="12">
        <v>2013.484674</v>
      </c>
      <c r="P922" s="12">
        <v>17501.824674</v>
      </c>
    </row>
    <row r="923" spans="1:16" ht="14.5" x14ac:dyDescent="0.25">
      <c r="A923" s="10">
        <v>45901</v>
      </c>
      <c r="B923" s="2" t="str">
        <f t="shared" si="28"/>
        <v>Sep-2025</v>
      </c>
      <c r="C923" s="2" t="str">
        <f t="shared" si="29"/>
        <v>Q2</v>
      </c>
      <c r="D923" s="2" t="s">
        <v>28</v>
      </c>
      <c r="E923" s="11" t="s">
        <v>237</v>
      </c>
      <c r="F923" s="11" t="s">
        <v>116</v>
      </c>
      <c r="G923" s="11" t="s">
        <v>503</v>
      </c>
      <c r="H923" s="11" t="s">
        <v>45</v>
      </c>
      <c r="I923" s="12">
        <v>1</v>
      </c>
      <c r="J923" s="12">
        <v>180</v>
      </c>
      <c r="K923" s="12">
        <v>64.23</v>
      </c>
      <c r="L923" s="12">
        <v>11561.4</v>
      </c>
      <c r="M923" s="12">
        <v>-1050.9299999999998</v>
      </c>
      <c r="N923" s="12">
        <v>0</v>
      </c>
      <c r="O923" s="12">
        <v>1366.3614220000002</v>
      </c>
      <c r="P923" s="12">
        <v>11876.831421999999</v>
      </c>
    </row>
    <row r="924" spans="1:16" ht="14.5" x14ac:dyDescent="0.25">
      <c r="A924" s="10">
        <v>45901</v>
      </c>
      <c r="B924" s="2" t="str">
        <f t="shared" si="28"/>
        <v>Sep-2025</v>
      </c>
      <c r="C924" s="2" t="str">
        <f t="shared" si="29"/>
        <v>Q2</v>
      </c>
      <c r="D924" s="2" t="s">
        <v>28</v>
      </c>
      <c r="E924" s="11" t="s">
        <v>237</v>
      </c>
      <c r="F924" s="11" t="s">
        <v>116</v>
      </c>
      <c r="G924" s="11" t="s">
        <v>503</v>
      </c>
      <c r="H924" s="11" t="s">
        <v>166</v>
      </c>
      <c r="I924" s="12">
        <v>1</v>
      </c>
      <c r="J924" s="12">
        <v>120</v>
      </c>
      <c r="K924" s="12">
        <v>64.23</v>
      </c>
      <c r="L924" s="12">
        <v>7707.5999999999995</v>
      </c>
      <c r="M924" s="12">
        <v>-700.62</v>
      </c>
      <c r="N924" s="12">
        <v>0</v>
      </c>
      <c r="O924" s="12">
        <v>910.90761399999997</v>
      </c>
      <c r="P924" s="12">
        <v>7917.8876140000002</v>
      </c>
    </row>
    <row r="925" spans="1:16" ht="14.5" x14ac:dyDescent="0.25">
      <c r="A925" s="10">
        <v>45901</v>
      </c>
      <c r="B925" s="2" t="str">
        <f t="shared" si="28"/>
        <v>Sep-2025</v>
      </c>
      <c r="C925" s="2" t="str">
        <f t="shared" si="29"/>
        <v>Q2</v>
      </c>
      <c r="D925" s="2" t="s">
        <v>28</v>
      </c>
      <c r="E925" s="11" t="s">
        <v>238</v>
      </c>
      <c r="F925" s="11" t="s">
        <v>239</v>
      </c>
      <c r="G925" s="11" t="s">
        <v>507</v>
      </c>
      <c r="H925" s="11" t="s">
        <v>60</v>
      </c>
      <c r="I925" s="12">
        <v>5</v>
      </c>
      <c r="J925" s="12">
        <v>300</v>
      </c>
      <c r="K925" s="12">
        <v>98.03</v>
      </c>
      <c r="L925" s="12">
        <v>29409.000000000004</v>
      </c>
      <c r="M925" s="12">
        <v>-2673.28</v>
      </c>
      <c r="N925" s="12">
        <v>0</v>
      </c>
      <c r="O925" s="12">
        <v>3475.6436799999997</v>
      </c>
      <c r="P925" s="12">
        <v>30211.363679999999</v>
      </c>
    </row>
    <row r="926" spans="1:16" ht="14.5" x14ac:dyDescent="0.25">
      <c r="A926" s="10">
        <v>45901</v>
      </c>
      <c r="B926" s="2" t="str">
        <f t="shared" si="28"/>
        <v>Sep-2025</v>
      </c>
      <c r="C926" s="2" t="str">
        <f t="shared" si="29"/>
        <v>Q2</v>
      </c>
      <c r="D926" s="2" t="s">
        <v>28</v>
      </c>
      <c r="E926" s="11" t="s">
        <v>238</v>
      </c>
      <c r="F926" s="11" t="s">
        <v>239</v>
      </c>
      <c r="G926" s="11" t="s">
        <v>506</v>
      </c>
      <c r="H926" s="11" t="s">
        <v>58</v>
      </c>
      <c r="I926" s="12">
        <v>2</v>
      </c>
      <c r="J926" s="12">
        <v>144</v>
      </c>
      <c r="K926" s="12">
        <v>148.72999999999999</v>
      </c>
      <c r="L926" s="12">
        <v>21417.119999999999</v>
      </c>
      <c r="M926" s="12">
        <v>-1946.82</v>
      </c>
      <c r="N926" s="12">
        <v>0</v>
      </c>
      <c r="O926" s="12">
        <v>2531.1390579999997</v>
      </c>
      <c r="P926" s="12">
        <v>22001.439058</v>
      </c>
    </row>
    <row r="927" spans="1:16" ht="14.5" x14ac:dyDescent="0.25">
      <c r="A927" s="10">
        <v>45901</v>
      </c>
      <c r="B927" s="2" t="str">
        <f t="shared" si="28"/>
        <v>Sep-2025</v>
      </c>
      <c r="C927" s="2" t="str">
        <f t="shared" si="29"/>
        <v>Q2</v>
      </c>
      <c r="D927" s="2" t="s">
        <v>28</v>
      </c>
      <c r="E927" s="11" t="s">
        <v>238</v>
      </c>
      <c r="F927" s="11" t="s">
        <v>239</v>
      </c>
      <c r="G927" s="11" t="s">
        <v>504</v>
      </c>
      <c r="H927" s="11" t="s">
        <v>67</v>
      </c>
      <c r="I927" s="12">
        <v>2</v>
      </c>
      <c r="J927" s="12">
        <v>80</v>
      </c>
      <c r="K927" s="12">
        <v>393.46</v>
      </c>
      <c r="L927" s="12">
        <v>31476.799999999999</v>
      </c>
      <c r="M927" s="12">
        <v>-2861.2400000000002</v>
      </c>
      <c r="N927" s="12">
        <v>0</v>
      </c>
      <c r="O927" s="12">
        <v>3720.0228860000002</v>
      </c>
      <c r="P927" s="12">
        <v>32335.582886</v>
      </c>
    </row>
    <row r="928" spans="1:16" ht="14.5" x14ac:dyDescent="0.25">
      <c r="A928" s="10">
        <v>45901</v>
      </c>
      <c r="B928" s="2" t="str">
        <f t="shared" si="28"/>
        <v>Sep-2025</v>
      </c>
      <c r="C928" s="2" t="str">
        <f t="shared" si="29"/>
        <v>Q2</v>
      </c>
      <c r="D928" s="2" t="s">
        <v>28</v>
      </c>
      <c r="E928" s="11" t="s">
        <v>238</v>
      </c>
      <c r="F928" s="11" t="s">
        <v>239</v>
      </c>
      <c r="G928" s="11" t="s">
        <v>503</v>
      </c>
      <c r="H928" s="11" t="s">
        <v>45</v>
      </c>
      <c r="I928" s="12">
        <v>1</v>
      </c>
      <c r="J928" s="12">
        <v>180</v>
      </c>
      <c r="K928" s="12">
        <v>64.23</v>
      </c>
      <c r="L928" s="12">
        <v>11561.4</v>
      </c>
      <c r="M928" s="12">
        <v>-1050.9299999999998</v>
      </c>
      <c r="N928" s="12">
        <v>0</v>
      </c>
      <c r="O928" s="12">
        <v>1366.361132</v>
      </c>
      <c r="P928" s="12">
        <v>11876.831131999999</v>
      </c>
    </row>
    <row r="929" spans="1:16" ht="14.5" x14ac:dyDescent="0.25">
      <c r="A929" s="10">
        <v>45901</v>
      </c>
      <c r="B929" s="2" t="str">
        <f t="shared" si="28"/>
        <v>Sep-2025</v>
      </c>
      <c r="C929" s="2" t="str">
        <f t="shared" si="29"/>
        <v>Q2</v>
      </c>
      <c r="D929" s="2" t="s">
        <v>28</v>
      </c>
      <c r="E929" s="11" t="s">
        <v>238</v>
      </c>
      <c r="F929" s="11" t="s">
        <v>239</v>
      </c>
      <c r="G929" s="11" t="s">
        <v>504</v>
      </c>
      <c r="H929" s="11" t="s">
        <v>69</v>
      </c>
      <c r="I929" s="12">
        <v>5</v>
      </c>
      <c r="J929" s="12">
        <v>500</v>
      </c>
      <c r="K929" s="12">
        <v>162.26</v>
      </c>
      <c r="L929" s="12">
        <v>81130</v>
      </c>
      <c r="M929" s="12">
        <v>-7374.72</v>
      </c>
      <c r="N929" s="12">
        <v>0</v>
      </c>
      <c r="O929" s="12">
        <v>9588.1866210000007</v>
      </c>
      <c r="P929" s="12">
        <v>83343.466621</v>
      </c>
    </row>
    <row r="930" spans="1:16" ht="14.5" x14ac:dyDescent="0.25">
      <c r="A930" s="10">
        <v>45901</v>
      </c>
      <c r="B930" s="2" t="str">
        <f t="shared" si="28"/>
        <v>Sep-2025</v>
      </c>
      <c r="C930" s="2" t="str">
        <f t="shared" si="29"/>
        <v>Q2</v>
      </c>
      <c r="D930" s="2" t="s">
        <v>28</v>
      </c>
      <c r="E930" s="11" t="s">
        <v>238</v>
      </c>
      <c r="F930" s="11" t="s">
        <v>239</v>
      </c>
      <c r="G930" s="11" t="s">
        <v>505</v>
      </c>
      <c r="H930" s="11" t="s">
        <v>167</v>
      </c>
      <c r="I930" s="12">
        <v>1</v>
      </c>
      <c r="J930" s="12">
        <v>180</v>
      </c>
      <c r="K930" s="12">
        <v>91.27</v>
      </c>
      <c r="L930" s="12">
        <v>16428.599999999999</v>
      </c>
      <c r="M930" s="12">
        <v>-1493.36</v>
      </c>
      <c r="N930" s="12">
        <v>0</v>
      </c>
      <c r="O930" s="12">
        <v>1941.5812449999999</v>
      </c>
      <c r="P930" s="12">
        <v>16876.821244999999</v>
      </c>
    </row>
    <row r="931" spans="1:16" ht="14.5" x14ac:dyDescent="0.25">
      <c r="A931" s="10">
        <v>45901</v>
      </c>
      <c r="B931" s="2" t="str">
        <f t="shared" ref="B931:B994" si="30">+TEXT(A931,"MMM-yyy")</f>
        <v>Sep-2025</v>
      </c>
      <c r="C931" s="2" t="str">
        <f t="shared" ref="C931:C994" si="31">"Q" &amp; CHOOSE(MONTH(A931),4,4,4,1,1,1,2,2,2,3,3,3)</f>
        <v>Q2</v>
      </c>
      <c r="D931" s="2" t="s">
        <v>28</v>
      </c>
      <c r="E931" s="11" t="s">
        <v>238</v>
      </c>
      <c r="F931" s="11" t="s">
        <v>239</v>
      </c>
      <c r="G931" s="11" t="s">
        <v>505</v>
      </c>
      <c r="H931" s="11" t="s">
        <v>40</v>
      </c>
      <c r="I931" s="12">
        <v>1</v>
      </c>
      <c r="J931" s="12">
        <v>180</v>
      </c>
      <c r="K931" s="12">
        <v>94.65</v>
      </c>
      <c r="L931" s="12">
        <v>17037</v>
      </c>
      <c r="M931" s="12">
        <v>-1548.6599999999999</v>
      </c>
      <c r="N931" s="12">
        <v>0</v>
      </c>
      <c r="O931" s="12">
        <v>2013.484246</v>
      </c>
      <c r="P931" s="12">
        <v>17501.824246</v>
      </c>
    </row>
    <row r="932" spans="1:16" ht="14.5" x14ac:dyDescent="0.25">
      <c r="A932" s="10">
        <v>45901</v>
      </c>
      <c r="B932" s="2" t="str">
        <f t="shared" si="30"/>
        <v>Sep-2025</v>
      </c>
      <c r="C932" s="2" t="str">
        <f t="shared" si="31"/>
        <v>Q2</v>
      </c>
      <c r="D932" s="2" t="s">
        <v>28</v>
      </c>
      <c r="E932" s="11" t="s">
        <v>238</v>
      </c>
      <c r="F932" s="11" t="s">
        <v>239</v>
      </c>
      <c r="G932" s="11" t="s">
        <v>503</v>
      </c>
      <c r="H932" s="11" t="s">
        <v>59</v>
      </c>
      <c r="I932" s="12">
        <v>1</v>
      </c>
      <c r="J932" s="12">
        <v>180</v>
      </c>
      <c r="K932" s="12">
        <v>64.23</v>
      </c>
      <c r="L932" s="12">
        <v>11561.4</v>
      </c>
      <c r="M932" s="12">
        <v>-1050.9299999999998</v>
      </c>
      <c r="N932" s="12">
        <v>0</v>
      </c>
      <c r="O932" s="12">
        <v>1366.361132</v>
      </c>
      <c r="P932" s="12">
        <v>11876.831131999999</v>
      </c>
    </row>
    <row r="933" spans="1:16" ht="14.5" x14ac:dyDescent="0.25">
      <c r="A933" s="10">
        <v>45901</v>
      </c>
      <c r="B933" s="2" t="str">
        <f t="shared" si="30"/>
        <v>Sep-2025</v>
      </c>
      <c r="C933" s="2" t="str">
        <f t="shared" si="31"/>
        <v>Q2</v>
      </c>
      <c r="D933" s="2" t="s">
        <v>28</v>
      </c>
      <c r="E933" s="11" t="s">
        <v>240</v>
      </c>
      <c r="F933" s="11" t="s">
        <v>22</v>
      </c>
      <c r="G933" s="11" t="s">
        <v>506</v>
      </c>
      <c r="H933" s="11" t="s">
        <v>39</v>
      </c>
      <c r="I933" s="12">
        <v>1</v>
      </c>
      <c r="J933" s="12">
        <v>72</v>
      </c>
      <c r="K933" s="12">
        <v>132.74</v>
      </c>
      <c r="L933" s="12">
        <v>9557.2799999999988</v>
      </c>
      <c r="M933" s="12">
        <v>0</v>
      </c>
      <c r="N933" s="12">
        <v>0</v>
      </c>
      <c r="O933" s="12">
        <v>1242.4466640000001</v>
      </c>
      <c r="P933" s="12">
        <v>10799.726664</v>
      </c>
    </row>
    <row r="934" spans="1:16" ht="14.5" x14ac:dyDescent="0.25">
      <c r="A934" s="10">
        <v>45901</v>
      </c>
      <c r="B934" s="2" t="str">
        <f t="shared" si="30"/>
        <v>Sep-2025</v>
      </c>
      <c r="C934" s="2" t="str">
        <f t="shared" si="31"/>
        <v>Q2</v>
      </c>
      <c r="D934" s="2" t="s">
        <v>28</v>
      </c>
      <c r="E934" s="11" t="s">
        <v>240</v>
      </c>
      <c r="F934" s="11" t="s">
        <v>22</v>
      </c>
      <c r="G934" s="11" t="s">
        <v>503</v>
      </c>
      <c r="H934" s="11" t="s">
        <v>48</v>
      </c>
      <c r="I934" s="12">
        <v>1</v>
      </c>
      <c r="J934" s="12">
        <v>180</v>
      </c>
      <c r="K934" s="12">
        <v>136.15</v>
      </c>
      <c r="L934" s="12">
        <v>24507</v>
      </c>
      <c r="M934" s="12">
        <v>0</v>
      </c>
      <c r="N934" s="12">
        <v>0</v>
      </c>
      <c r="O934" s="12">
        <v>3185.9106769999999</v>
      </c>
      <c r="P934" s="12">
        <v>27692.910677</v>
      </c>
    </row>
    <row r="935" spans="1:16" ht="14.5" x14ac:dyDescent="0.25">
      <c r="A935" s="10">
        <v>45901</v>
      </c>
      <c r="B935" s="2" t="str">
        <f t="shared" si="30"/>
        <v>Sep-2025</v>
      </c>
      <c r="C935" s="2" t="str">
        <f t="shared" si="31"/>
        <v>Q2</v>
      </c>
      <c r="D935" s="2" t="s">
        <v>28</v>
      </c>
      <c r="E935" s="11" t="s">
        <v>240</v>
      </c>
      <c r="F935" s="11" t="s">
        <v>22</v>
      </c>
      <c r="G935" s="11" t="s">
        <v>506</v>
      </c>
      <c r="H935" s="11" t="s">
        <v>58</v>
      </c>
      <c r="I935" s="12">
        <v>1</v>
      </c>
      <c r="J935" s="12">
        <v>72</v>
      </c>
      <c r="K935" s="12">
        <v>149.76</v>
      </c>
      <c r="L935" s="12">
        <v>10782.72</v>
      </c>
      <c r="M935" s="12">
        <v>0</v>
      </c>
      <c r="N935" s="12">
        <v>0</v>
      </c>
      <c r="O935" s="12">
        <v>1401.7538979999999</v>
      </c>
      <c r="P935" s="12">
        <v>12184.473898</v>
      </c>
    </row>
    <row r="936" spans="1:16" ht="14.5" x14ac:dyDescent="0.25">
      <c r="A936" s="10">
        <v>45901</v>
      </c>
      <c r="B936" s="2" t="str">
        <f t="shared" si="30"/>
        <v>Sep-2025</v>
      </c>
      <c r="C936" s="2" t="str">
        <f t="shared" si="31"/>
        <v>Q2</v>
      </c>
      <c r="D936" s="2" t="s">
        <v>28</v>
      </c>
      <c r="E936" s="11" t="s">
        <v>240</v>
      </c>
      <c r="F936" s="11" t="s">
        <v>22</v>
      </c>
      <c r="G936" s="11" t="s">
        <v>503</v>
      </c>
      <c r="H936" s="11" t="s">
        <v>87</v>
      </c>
      <c r="I936" s="12">
        <v>1</v>
      </c>
      <c r="J936" s="12">
        <v>180</v>
      </c>
      <c r="K936" s="12">
        <v>115.72</v>
      </c>
      <c r="L936" s="12">
        <v>20829.599999999999</v>
      </c>
      <c r="M936" s="12">
        <v>0</v>
      </c>
      <c r="N936" s="12">
        <v>0</v>
      </c>
      <c r="O936" s="12">
        <v>2707.8485759999999</v>
      </c>
      <c r="P936" s="12">
        <v>23537.448575999999</v>
      </c>
    </row>
    <row r="937" spans="1:16" ht="14.5" x14ac:dyDescent="0.25">
      <c r="A937" s="10">
        <v>45901</v>
      </c>
      <c r="B937" s="2" t="str">
        <f t="shared" si="30"/>
        <v>Sep-2025</v>
      </c>
      <c r="C937" s="2" t="str">
        <f t="shared" si="31"/>
        <v>Q2</v>
      </c>
      <c r="D937" s="2" t="s">
        <v>28</v>
      </c>
      <c r="E937" s="11" t="s">
        <v>240</v>
      </c>
      <c r="F937" s="11" t="s">
        <v>22</v>
      </c>
      <c r="G937" s="11" t="s">
        <v>505</v>
      </c>
      <c r="H937" s="11" t="s">
        <v>56</v>
      </c>
      <c r="I937" s="12">
        <v>1</v>
      </c>
      <c r="J937" s="12">
        <v>120</v>
      </c>
      <c r="K937" s="12">
        <v>51.06</v>
      </c>
      <c r="L937" s="12">
        <v>6127.2</v>
      </c>
      <c r="M937" s="12">
        <v>0</v>
      </c>
      <c r="N937" s="12">
        <v>0</v>
      </c>
      <c r="O937" s="12">
        <v>796.53616899999997</v>
      </c>
      <c r="P937" s="12">
        <v>6923.7361689999998</v>
      </c>
    </row>
    <row r="938" spans="1:16" ht="14.5" x14ac:dyDescent="0.25">
      <c r="A938" s="10">
        <v>45901</v>
      </c>
      <c r="B938" s="2" t="str">
        <f t="shared" si="30"/>
        <v>Sep-2025</v>
      </c>
      <c r="C938" s="2" t="str">
        <f t="shared" si="31"/>
        <v>Q2</v>
      </c>
      <c r="D938" s="2" t="s">
        <v>28</v>
      </c>
      <c r="E938" s="11" t="s">
        <v>240</v>
      </c>
      <c r="F938" s="11" t="s">
        <v>22</v>
      </c>
      <c r="G938" s="11" t="s">
        <v>506</v>
      </c>
      <c r="H938" s="11" t="s">
        <v>54</v>
      </c>
      <c r="I938" s="12">
        <v>1</v>
      </c>
      <c r="J938" s="12">
        <v>48</v>
      </c>
      <c r="K938" s="12">
        <v>313.14</v>
      </c>
      <c r="L938" s="12">
        <v>15030.72</v>
      </c>
      <c r="M938" s="12">
        <v>0</v>
      </c>
      <c r="N938" s="12">
        <v>0</v>
      </c>
      <c r="O938" s="12">
        <v>1953.994015</v>
      </c>
      <c r="P938" s="12">
        <v>16984.714015000001</v>
      </c>
    </row>
    <row r="939" spans="1:16" ht="14.5" x14ac:dyDescent="0.25">
      <c r="A939" s="10">
        <v>45901</v>
      </c>
      <c r="B939" s="2" t="str">
        <f t="shared" si="30"/>
        <v>Sep-2025</v>
      </c>
      <c r="C939" s="2" t="str">
        <f t="shared" si="31"/>
        <v>Q2</v>
      </c>
      <c r="D939" s="2" t="s">
        <v>28</v>
      </c>
      <c r="E939" s="11" t="s">
        <v>241</v>
      </c>
      <c r="F939" s="11" t="s">
        <v>22</v>
      </c>
      <c r="G939" s="11" t="s">
        <v>503</v>
      </c>
      <c r="H939" s="11" t="s">
        <v>59</v>
      </c>
      <c r="I939" s="12">
        <v>0.5</v>
      </c>
      <c r="J939" s="12">
        <v>90</v>
      </c>
      <c r="K939" s="12">
        <v>64.67</v>
      </c>
      <c r="L939" s="12">
        <v>5820.3</v>
      </c>
      <c r="M939" s="12">
        <v>0</v>
      </c>
      <c r="N939" s="12">
        <v>0</v>
      </c>
      <c r="O939" s="12">
        <v>756.639588</v>
      </c>
      <c r="P939" s="12">
        <v>6576.9395880000002</v>
      </c>
    </row>
    <row r="940" spans="1:16" ht="14.5" x14ac:dyDescent="0.25">
      <c r="A940" s="10">
        <v>45901</v>
      </c>
      <c r="B940" s="2" t="str">
        <f t="shared" si="30"/>
        <v>Sep-2025</v>
      </c>
      <c r="C940" s="2" t="str">
        <f t="shared" si="31"/>
        <v>Q2</v>
      </c>
      <c r="D940" s="2" t="s">
        <v>28</v>
      </c>
      <c r="E940" s="11" t="s">
        <v>241</v>
      </c>
      <c r="F940" s="11" t="s">
        <v>22</v>
      </c>
      <c r="G940" s="11" t="s">
        <v>503</v>
      </c>
      <c r="H940" s="11" t="s">
        <v>45</v>
      </c>
      <c r="I940" s="12">
        <v>0.5</v>
      </c>
      <c r="J940" s="12">
        <v>90</v>
      </c>
      <c r="K940" s="12">
        <v>64.67</v>
      </c>
      <c r="L940" s="12">
        <v>5820.3</v>
      </c>
      <c r="M940" s="12">
        <v>0</v>
      </c>
      <c r="N940" s="12">
        <v>0</v>
      </c>
      <c r="O940" s="12">
        <v>756.639588</v>
      </c>
      <c r="P940" s="12">
        <v>6576.9395880000002</v>
      </c>
    </row>
    <row r="941" spans="1:16" ht="14.5" x14ac:dyDescent="0.25">
      <c r="A941" s="10">
        <v>45901</v>
      </c>
      <c r="B941" s="2" t="str">
        <f t="shared" si="30"/>
        <v>Sep-2025</v>
      </c>
      <c r="C941" s="2" t="str">
        <f t="shared" si="31"/>
        <v>Q2</v>
      </c>
      <c r="D941" s="2" t="s">
        <v>28</v>
      </c>
      <c r="E941" s="11" t="s">
        <v>241</v>
      </c>
      <c r="F941" s="11" t="s">
        <v>22</v>
      </c>
      <c r="G941" s="11" t="s">
        <v>504</v>
      </c>
      <c r="H941" s="11" t="s">
        <v>69</v>
      </c>
      <c r="I941" s="12">
        <v>0.5</v>
      </c>
      <c r="J941" s="12">
        <v>50</v>
      </c>
      <c r="K941" s="12">
        <v>163.38</v>
      </c>
      <c r="L941" s="12">
        <v>8169</v>
      </c>
      <c r="M941" s="12">
        <v>0</v>
      </c>
      <c r="N941" s="12">
        <v>0</v>
      </c>
      <c r="O941" s="12">
        <v>1061.9708250000001</v>
      </c>
      <c r="P941" s="12">
        <v>9230.9708250000003</v>
      </c>
    </row>
    <row r="942" spans="1:16" ht="14.5" x14ac:dyDescent="0.25">
      <c r="A942" s="10">
        <v>45901</v>
      </c>
      <c r="B942" s="2" t="str">
        <f t="shared" si="30"/>
        <v>Sep-2025</v>
      </c>
      <c r="C942" s="2" t="str">
        <f t="shared" si="31"/>
        <v>Q2</v>
      </c>
      <c r="D942" s="2" t="s">
        <v>28</v>
      </c>
      <c r="E942" s="11" t="s">
        <v>242</v>
      </c>
      <c r="F942" s="11" t="s">
        <v>22</v>
      </c>
      <c r="G942" s="11" t="s">
        <v>504</v>
      </c>
      <c r="H942" s="11" t="s">
        <v>53</v>
      </c>
      <c r="I942" s="12">
        <v>0.5</v>
      </c>
      <c r="J942" s="12">
        <v>50</v>
      </c>
      <c r="K942" s="12">
        <v>130.77000000000001</v>
      </c>
      <c r="L942" s="12">
        <v>6538.5</v>
      </c>
      <c r="M942" s="12" t="s">
        <v>113</v>
      </c>
      <c r="N942" s="12" t="s">
        <v>113</v>
      </c>
      <c r="O942" s="12" t="s">
        <v>113</v>
      </c>
      <c r="P942" s="12">
        <v>6538.5</v>
      </c>
    </row>
    <row r="943" spans="1:16" ht="14.5" x14ac:dyDescent="0.25">
      <c r="A943" s="10">
        <v>45901</v>
      </c>
      <c r="B943" s="2" t="str">
        <f t="shared" si="30"/>
        <v>Sep-2025</v>
      </c>
      <c r="C943" s="2" t="str">
        <f t="shared" si="31"/>
        <v>Q2</v>
      </c>
      <c r="D943" s="2" t="s">
        <v>28</v>
      </c>
      <c r="E943" s="11" t="s">
        <v>243</v>
      </c>
      <c r="F943" s="11" t="s">
        <v>21</v>
      </c>
      <c r="G943" s="11" t="s">
        <v>506</v>
      </c>
      <c r="H943" s="11" t="s">
        <v>58</v>
      </c>
      <c r="I943" s="12">
        <v>9</v>
      </c>
      <c r="J943" s="12">
        <v>648</v>
      </c>
      <c r="K943" s="12">
        <v>140.18</v>
      </c>
      <c r="L943" s="12">
        <v>90836.64</v>
      </c>
      <c r="M943" s="12">
        <v>0</v>
      </c>
      <c r="N943" s="12">
        <v>0</v>
      </c>
      <c r="O943" s="12">
        <v>11808.764793</v>
      </c>
      <c r="P943" s="12">
        <v>102645.40479299999</v>
      </c>
    </row>
    <row r="944" spans="1:16" ht="14.5" x14ac:dyDescent="0.25">
      <c r="A944" s="10">
        <v>45901</v>
      </c>
      <c r="B944" s="2" t="str">
        <f t="shared" si="30"/>
        <v>Sep-2025</v>
      </c>
      <c r="C944" s="2" t="str">
        <f t="shared" si="31"/>
        <v>Q2</v>
      </c>
      <c r="D944" s="2" t="s">
        <v>28</v>
      </c>
      <c r="E944" s="11" t="s">
        <v>243</v>
      </c>
      <c r="F944" s="11" t="s">
        <v>21</v>
      </c>
      <c r="G944" s="11" t="s">
        <v>506</v>
      </c>
      <c r="H944" s="11" t="s">
        <v>54</v>
      </c>
      <c r="I944" s="12">
        <v>13</v>
      </c>
      <c r="J944" s="12">
        <v>624</v>
      </c>
      <c r="K944" s="12">
        <v>293.10000000000002</v>
      </c>
      <c r="L944" s="12">
        <v>182894.40000000002</v>
      </c>
      <c r="M944" s="12">
        <v>0</v>
      </c>
      <c r="N944" s="12">
        <v>0</v>
      </c>
      <c r="O944" s="12">
        <v>23776.275207000002</v>
      </c>
      <c r="P944" s="12">
        <v>206670.67520699999</v>
      </c>
    </row>
    <row r="945" spans="1:16" ht="14.5" x14ac:dyDescent="0.25">
      <c r="A945" s="10">
        <v>45901</v>
      </c>
      <c r="B945" s="2" t="str">
        <f t="shared" si="30"/>
        <v>Sep-2025</v>
      </c>
      <c r="C945" s="2" t="str">
        <f t="shared" si="31"/>
        <v>Q2</v>
      </c>
      <c r="D945" s="2" t="s">
        <v>28</v>
      </c>
      <c r="E945" s="11" t="s">
        <v>244</v>
      </c>
      <c r="F945" s="11" t="s">
        <v>104</v>
      </c>
      <c r="G945" s="11" t="s">
        <v>504</v>
      </c>
      <c r="H945" s="11" t="s">
        <v>53</v>
      </c>
      <c r="I945" s="12">
        <v>0.05</v>
      </c>
      <c r="J945" s="12">
        <v>5</v>
      </c>
      <c r="K945" s="12">
        <v>144</v>
      </c>
      <c r="L945" s="12">
        <v>720</v>
      </c>
      <c r="M945" s="12" t="s">
        <v>113</v>
      </c>
      <c r="N945" s="12" t="s">
        <v>113</v>
      </c>
      <c r="O945" s="12" t="s">
        <v>113</v>
      </c>
      <c r="P945" s="12">
        <v>720</v>
      </c>
    </row>
    <row r="946" spans="1:16" ht="14.5" x14ac:dyDescent="0.25">
      <c r="A946" s="10">
        <v>45901</v>
      </c>
      <c r="B946" s="2" t="str">
        <f t="shared" si="30"/>
        <v>Sep-2025</v>
      </c>
      <c r="C946" s="2" t="str">
        <f t="shared" si="31"/>
        <v>Q2</v>
      </c>
      <c r="D946" s="2" t="s">
        <v>28</v>
      </c>
      <c r="E946" s="11" t="s">
        <v>245</v>
      </c>
      <c r="F946" s="11" t="s">
        <v>104</v>
      </c>
      <c r="G946" s="11" t="s">
        <v>503</v>
      </c>
      <c r="H946" s="11" t="s">
        <v>174</v>
      </c>
      <c r="I946" s="12">
        <v>0.03</v>
      </c>
      <c r="J946" s="12">
        <v>5</v>
      </c>
      <c r="K946" s="12">
        <v>87.79</v>
      </c>
      <c r="L946" s="12">
        <v>438.95</v>
      </c>
      <c r="M946" s="12">
        <v>0</v>
      </c>
      <c r="N946" s="12">
        <v>0</v>
      </c>
      <c r="O946" s="12">
        <v>57.063437999999998</v>
      </c>
      <c r="P946" s="12">
        <v>496.01343800000001</v>
      </c>
    </row>
    <row r="947" spans="1:16" ht="14.5" x14ac:dyDescent="0.25">
      <c r="A947" s="10">
        <v>45901</v>
      </c>
      <c r="B947" s="2" t="str">
        <f t="shared" si="30"/>
        <v>Sep-2025</v>
      </c>
      <c r="C947" s="2" t="str">
        <f t="shared" si="31"/>
        <v>Q2</v>
      </c>
      <c r="D947" s="2" t="s">
        <v>28</v>
      </c>
      <c r="E947" s="11" t="s">
        <v>245</v>
      </c>
      <c r="F947" s="11" t="s">
        <v>104</v>
      </c>
      <c r="G947" s="11" t="s">
        <v>503</v>
      </c>
      <c r="H947" s="11" t="s">
        <v>42</v>
      </c>
      <c r="I947" s="12">
        <v>0.13</v>
      </c>
      <c r="J947" s="12">
        <v>15</v>
      </c>
      <c r="K947" s="12">
        <v>148.66999999999999</v>
      </c>
      <c r="L947" s="12">
        <v>2230.0499999999997</v>
      </c>
      <c r="M947" s="12">
        <v>0</v>
      </c>
      <c r="N947" s="12">
        <v>0</v>
      </c>
      <c r="O947" s="12">
        <v>289.906184</v>
      </c>
      <c r="P947" s="12">
        <v>2519.9561840000001</v>
      </c>
    </row>
    <row r="948" spans="1:16" ht="14.5" x14ac:dyDescent="0.25">
      <c r="A948" s="10">
        <v>45901</v>
      </c>
      <c r="B948" s="2" t="str">
        <f t="shared" si="30"/>
        <v>Sep-2025</v>
      </c>
      <c r="C948" s="2" t="str">
        <f t="shared" si="31"/>
        <v>Q2</v>
      </c>
      <c r="D948" s="2" t="s">
        <v>28</v>
      </c>
      <c r="E948" s="11" t="s">
        <v>245</v>
      </c>
      <c r="F948" s="11" t="s">
        <v>104</v>
      </c>
      <c r="G948" s="11" t="s">
        <v>503</v>
      </c>
      <c r="H948" s="11" t="s">
        <v>177</v>
      </c>
      <c r="I948" s="12">
        <v>0.04</v>
      </c>
      <c r="J948" s="12">
        <v>5</v>
      </c>
      <c r="K948" s="12">
        <v>99.12</v>
      </c>
      <c r="L948" s="12">
        <v>495.6</v>
      </c>
      <c r="M948" s="12">
        <v>0</v>
      </c>
      <c r="N948" s="12">
        <v>0</v>
      </c>
      <c r="O948" s="12">
        <v>64.427930000000003</v>
      </c>
      <c r="P948" s="12">
        <v>560.02792999999997</v>
      </c>
    </row>
    <row r="949" spans="1:16" ht="14.5" x14ac:dyDescent="0.25">
      <c r="A949" s="10">
        <v>45901</v>
      </c>
      <c r="B949" s="2" t="str">
        <f t="shared" si="30"/>
        <v>Sep-2025</v>
      </c>
      <c r="C949" s="2" t="str">
        <f t="shared" si="31"/>
        <v>Q2</v>
      </c>
      <c r="D949" s="2" t="s">
        <v>28</v>
      </c>
      <c r="E949" s="11" t="s">
        <v>245</v>
      </c>
      <c r="F949" s="11" t="s">
        <v>104</v>
      </c>
      <c r="G949" s="11" t="s">
        <v>503</v>
      </c>
      <c r="H949" s="11" t="s">
        <v>172</v>
      </c>
      <c r="I949" s="12">
        <v>0.03</v>
      </c>
      <c r="J949" s="12">
        <v>5</v>
      </c>
      <c r="K949" s="12">
        <v>102.65</v>
      </c>
      <c r="L949" s="12">
        <v>513.25</v>
      </c>
      <c r="M949" s="12">
        <v>0</v>
      </c>
      <c r="N949" s="12">
        <v>0</v>
      </c>
      <c r="O949" s="12">
        <v>66.72242700000001</v>
      </c>
      <c r="P949" s="12">
        <v>579.97242700000004</v>
      </c>
    </row>
    <row r="950" spans="1:16" ht="14.5" x14ac:dyDescent="0.25">
      <c r="A950" s="10">
        <v>45901</v>
      </c>
      <c r="B950" s="2" t="str">
        <f t="shared" si="30"/>
        <v>Sep-2025</v>
      </c>
      <c r="C950" s="2" t="str">
        <f t="shared" si="31"/>
        <v>Q2</v>
      </c>
      <c r="D950" s="2" t="s">
        <v>28</v>
      </c>
      <c r="E950" s="11" t="s">
        <v>245</v>
      </c>
      <c r="F950" s="11" t="s">
        <v>104</v>
      </c>
      <c r="G950" s="11" t="s">
        <v>506</v>
      </c>
      <c r="H950" s="11" t="s">
        <v>181</v>
      </c>
      <c r="I950" s="12">
        <v>0.05</v>
      </c>
      <c r="J950" s="12">
        <v>5</v>
      </c>
      <c r="K950" s="12">
        <v>102.65</v>
      </c>
      <c r="L950" s="12">
        <v>513.25</v>
      </c>
      <c r="M950" s="12">
        <v>0</v>
      </c>
      <c r="N950" s="12">
        <v>0</v>
      </c>
      <c r="O950" s="12">
        <v>66.72242700000001</v>
      </c>
      <c r="P950" s="12">
        <v>579.97242700000004</v>
      </c>
    </row>
    <row r="951" spans="1:16" ht="14.5" x14ac:dyDescent="0.25">
      <c r="A951" s="10">
        <v>45901</v>
      </c>
      <c r="B951" s="2" t="str">
        <f t="shared" si="30"/>
        <v>Sep-2025</v>
      </c>
      <c r="C951" s="2" t="str">
        <f t="shared" si="31"/>
        <v>Q2</v>
      </c>
      <c r="D951" s="2" t="s">
        <v>28</v>
      </c>
      <c r="E951" s="11" t="s">
        <v>245</v>
      </c>
      <c r="F951" s="11" t="s">
        <v>104</v>
      </c>
      <c r="G951" s="11" t="s">
        <v>503</v>
      </c>
      <c r="H951" s="11" t="s">
        <v>179</v>
      </c>
      <c r="I951" s="12">
        <v>0.03</v>
      </c>
      <c r="J951" s="12">
        <v>5</v>
      </c>
      <c r="K951" s="12">
        <v>134.51</v>
      </c>
      <c r="L951" s="12">
        <v>672.55000000000007</v>
      </c>
      <c r="M951" s="12">
        <v>0</v>
      </c>
      <c r="N951" s="12">
        <v>0</v>
      </c>
      <c r="O951" s="12">
        <v>87.431404999999998</v>
      </c>
      <c r="P951" s="12">
        <v>759.981405</v>
      </c>
    </row>
    <row r="952" spans="1:16" ht="14.5" x14ac:dyDescent="0.25">
      <c r="A952" s="10">
        <v>45901</v>
      </c>
      <c r="B952" s="2" t="str">
        <f t="shared" si="30"/>
        <v>Sep-2025</v>
      </c>
      <c r="C952" s="2" t="str">
        <f t="shared" si="31"/>
        <v>Q2</v>
      </c>
      <c r="D952" s="2" t="s">
        <v>28</v>
      </c>
      <c r="E952" s="11" t="s">
        <v>245</v>
      </c>
      <c r="F952" s="11" t="s">
        <v>104</v>
      </c>
      <c r="G952" s="11" t="s">
        <v>507</v>
      </c>
      <c r="H952" s="11" t="s">
        <v>90</v>
      </c>
      <c r="I952" s="12">
        <v>1.18</v>
      </c>
      <c r="J952" s="12">
        <v>142</v>
      </c>
      <c r="K952" s="12">
        <v>60.18</v>
      </c>
      <c r="L952" s="12">
        <v>8545.56</v>
      </c>
      <c r="M952" s="12">
        <v>0</v>
      </c>
      <c r="N952" s="12">
        <v>0</v>
      </c>
      <c r="O952" s="12">
        <v>1110.9215880000002</v>
      </c>
      <c r="P952" s="12">
        <v>9656.4815880000006</v>
      </c>
    </row>
    <row r="953" spans="1:16" ht="14.5" x14ac:dyDescent="0.25">
      <c r="A953" s="10">
        <v>45901</v>
      </c>
      <c r="B953" s="2" t="str">
        <f t="shared" si="30"/>
        <v>Sep-2025</v>
      </c>
      <c r="C953" s="2" t="str">
        <f t="shared" si="31"/>
        <v>Q2</v>
      </c>
      <c r="D953" s="2" t="s">
        <v>28</v>
      </c>
      <c r="E953" s="11" t="s">
        <v>245</v>
      </c>
      <c r="F953" s="11" t="s">
        <v>104</v>
      </c>
      <c r="G953" s="11" t="s">
        <v>506</v>
      </c>
      <c r="H953" s="11" t="s">
        <v>58</v>
      </c>
      <c r="I953" s="12">
        <v>0.25</v>
      </c>
      <c r="J953" s="12">
        <v>18</v>
      </c>
      <c r="K953" s="12">
        <v>155.75</v>
      </c>
      <c r="L953" s="12">
        <v>2803.5</v>
      </c>
      <c r="M953" s="12">
        <v>0</v>
      </c>
      <c r="N953" s="12">
        <v>0</v>
      </c>
      <c r="O953" s="12">
        <v>364.45460200000002</v>
      </c>
      <c r="P953" s="12">
        <v>3167.9546019999998</v>
      </c>
    </row>
    <row r="954" spans="1:16" ht="14.5" x14ac:dyDescent="0.25">
      <c r="A954" s="10">
        <v>45904</v>
      </c>
      <c r="B954" s="2" t="str">
        <f t="shared" si="30"/>
        <v>Sep-2025</v>
      </c>
      <c r="C954" s="2" t="str">
        <f t="shared" si="31"/>
        <v>Q2</v>
      </c>
      <c r="D954" s="2" t="s">
        <v>28</v>
      </c>
      <c r="E954" s="11" t="s">
        <v>246</v>
      </c>
      <c r="F954" s="11" t="s">
        <v>38</v>
      </c>
      <c r="G954" s="11" t="s">
        <v>506</v>
      </c>
      <c r="H954" s="11" t="s">
        <v>58</v>
      </c>
      <c r="I954" s="12">
        <v>0.01</v>
      </c>
      <c r="J954" s="12">
        <v>1</v>
      </c>
      <c r="K954" s="12">
        <v>148.72999999999999</v>
      </c>
      <c r="L954" s="12">
        <v>148.72999999999999</v>
      </c>
      <c r="M954" s="12">
        <v>-13.52</v>
      </c>
      <c r="N954" s="12">
        <v>0</v>
      </c>
      <c r="O954" s="12">
        <v>17.578465999999999</v>
      </c>
      <c r="P954" s="12">
        <v>152.788466</v>
      </c>
    </row>
    <row r="955" spans="1:16" ht="14.5" x14ac:dyDescent="0.25">
      <c r="A955" s="10">
        <v>45904</v>
      </c>
      <c r="B955" s="2" t="str">
        <f t="shared" si="30"/>
        <v>Sep-2025</v>
      </c>
      <c r="C955" s="2" t="str">
        <f t="shared" si="31"/>
        <v>Q2</v>
      </c>
      <c r="D955" s="2" t="s">
        <v>28</v>
      </c>
      <c r="E955" s="11" t="s">
        <v>246</v>
      </c>
      <c r="F955" s="11" t="s">
        <v>38</v>
      </c>
      <c r="G955" s="11" t="s">
        <v>506</v>
      </c>
      <c r="H955" s="11" t="s">
        <v>39</v>
      </c>
      <c r="I955" s="12">
        <v>0.01</v>
      </c>
      <c r="J955" s="12">
        <v>1</v>
      </c>
      <c r="K955" s="12">
        <v>131.83000000000001</v>
      </c>
      <c r="L955" s="12">
        <v>131.83000000000001</v>
      </c>
      <c r="M955" s="12">
        <v>-11.98</v>
      </c>
      <c r="N955" s="12">
        <v>0</v>
      </c>
      <c r="O955" s="12">
        <v>15.581534</v>
      </c>
      <c r="P955" s="12">
        <v>135.431534</v>
      </c>
    </row>
    <row r="956" spans="1:16" ht="14.5" x14ac:dyDescent="0.25">
      <c r="A956" s="10">
        <v>45905</v>
      </c>
      <c r="B956" s="2" t="str">
        <f t="shared" si="30"/>
        <v>Sep-2025</v>
      </c>
      <c r="C956" s="2" t="str">
        <f t="shared" si="31"/>
        <v>Q2</v>
      </c>
      <c r="D956" s="2" t="s">
        <v>28</v>
      </c>
      <c r="E956" s="11" t="s">
        <v>247</v>
      </c>
      <c r="F956" s="11" t="s">
        <v>248</v>
      </c>
      <c r="G956" s="11" t="s">
        <v>506</v>
      </c>
      <c r="H956" s="11" t="s">
        <v>39</v>
      </c>
      <c r="I956" s="12">
        <v>1</v>
      </c>
      <c r="J956" s="12">
        <v>72</v>
      </c>
      <c r="K956" s="12">
        <v>131.83000000000001</v>
      </c>
      <c r="L956" s="12">
        <v>9491.76</v>
      </c>
      <c r="M956" s="12">
        <v>-862.8</v>
      </c>
      <c r="N956" s="12">
        <v>0</v>
      </c>
      <c r="O956" s="12">
        <v>1121.764872</v>
      </c>
      <c r="P956" s="12">
        <v>9750.7248720000007</v>
      </c>
    </row>
    <row r="957" spans="1:16" ht="14.5" x14ac:dyDescent="0.25">
      <c r="A957" s="10">
        <v>45905</v>
      </c>
      <c r="B957" s="2" t="str">
        <f t="shared" si="30"/>
        <v>Sep-2025</v>
      </c>
      <c r="C957" s="2" t="str">
        <f t="shared" si="31"/>
        <v>Q2</v>
      </c>
      <c r="D957" s="2" t="s">
        <v>28</v>
      </c>
      <c r="E957" s="11" t="s">
        <v>247</v>
      </c>
      <c r="F957" s="11" t="s">
        <v>248</v>
      </c>
      <c r="G957" s="11" t="s">
        <v>503</v>
      </c>
      <c r="H957" s="11" t="s">
        <v>41</v>
      </c>
      <c r="I957" s="12">
        <v>1</v>
      </c>
      <c r="J957" s="12">
        <v>180</v>
      </c>
      <c r="K957" s="12">
        <v>60.84</v>
      </c>
      <c r="L957" s="12">
        <v>10951.199999999999</v>
      </c>
      <c r="M957" s="12">
        <v>-995.46</v>
      </c>
      <c r="N957" s="12">
        <v>0</v>
      </c>
      <c r="O957" s="12">
        <v>1294.2462829999999</v>
      </c>
      <c r="P957" s="12">
        <v>11249.986283</v>
      </c>
    </row>
    <row r="958" spans="1:16" ht="14.5" x14ac:dyDescent="0.25">
      <c r="A958" s="10">
        <v>45905</v>
      </c>
      <c r="B958" s="2" t="str">
        <f t="shared" si="30"/>
        <v>Sep-2025</v>
      </c>
      <c r="C958" s="2" t="str">
        <f t="shared" si="31"/>
        <v>Q2</v>
      </c>
      <c r="D958" s="2" t="s">
        <v>28</v>
      </c>
      <c r="E958" s="11" t="s">
        <v>247</v>
      </c>
      <c r="F958" s="11" t="s">
        <v>248</v>
      </c>
      <c r="G958" s="11" t="s">
        <v>505</v>
      </c>
      <c r="H958" s="11" t="s">
        <v>167</v>
      </c>
      <c r="I958" s="12">
        <v>1</v>
      </c>
      <c r="J958" s="12">
        <v>180</v>
      </c>
      <c r="K958" s="12">
        <v>91.27</v>
      </c>
      <c r="L958" s="12">
        <v>16428.599999999999</v>
      </c>
      <c r="M958" s="12">
        <v>-1493.36</v>
      </c>
      <c r="N958" s="12">
        <v>0</v>
      </c>
      <c r="O958" s="12">
        <v>1941.581324</v>
      </c>
      <c r="P958" s="12">
        <v>16876.821324</v>
      </c>
    </row>
    <row r="959" spans="1:16" ht="14.5" x14ac:dyDescent="0.25">
      <c r="A959" s="10">
        <v>45905</v>
      </c>
      <c r="B959" s="2" t="str">
        <f t="shared" si="30"/>
        <v>Sep-2025</v>
      </c>
      <c r="C959" s="2" t="str">
        <f t="shared" si="31"/>
        <v>Q2</v>
      </c>
      <c r="D959" s="2" t="s">
        <v>28</v>
      </c>
      <c r="E959" s="11" t="s">
        <v>247</v>
      </c>
      <c r="F959" s="11" t="s">
        <v>248</v>
      </c>
      <c r="G959" s="11" t="s">
        <v>506</v>
      </c>
      <c r="H959" s="11" t="s">
        <v>189</v>
      </c>
      <c r="I959" s="12">
        <v>1</v>
      </c>
      <c r="J959" s="12">
        <v>100</v>
      </c>
      <c r="K959" s="12">
        <v>70.989999999999995</v>
      </c>
      <c r="L959" s="12">
        <v>7099</v>
      </c>
      <c r="M959" s="12">
        <v>-645.29999999999995</v>
      </c>
      <c r="N959" s="12">
        <v>0</v>
      </c>
      <c r="O959" s="12">
        <v>838.98105399999997</v>
      </c>
      <c r="P959" s="12">
        <v>7292.6810539999997</v>
      </c>
    </row>
    <row r="960" spans="1:16" ht="14.5" x14ac:dyDescent="0.25">
      <c r="A960" s="10">
        <v>45905</v>
      </c>
      <c r="B960" s="2" t="str">
        <f t="shared" si="30"/>
        <v>Sep-2025</v>
      </c>
      <c r="C960" s="2" t="str">
        <f t="shared" si="31"/>
        <v>Q2</v>
      </c>
      <c r="D960" s="2" t="s">
        <v>28</v>
      </c>
      <c r="E960" s="11" t="s">
        <v>247</v>
      </c>
      <c r="F960" s="11" t="s">
        <v>248</v>
      </c>
      <c r="G960" s="11" t="s">
        <v>503</v>
      </c>
      <c r="H960" s="11" t="s">
        <v>174</v>
      </c>
      <c r="I960" s="12">
        <v>1</v>
      </c>
      <c r="J960" s="12">
        <v>180</v>
      </c>
      <c r="K960" s="12">
        <v>83.82</v>
      </c>
      <c r="L960" s="12">
        <v>15087.6</v>
      </c>
      <c r="M960" s="12">
        <v>-1371.4599999999998</v>
      </c>
      <c r="N960" s="12">
        <v>0</v>
      </c>
      <c r="O960" s="12">
        <v>1783.0983140000001</v>
      </c>
      <c r="P960" s="12">
        <v>15499.238314</v>
      </c>
    </row>
    <row r="961" spans="1:16" ht="14.5" x14ac:dyDescent="0.25">
      <c r="A961" s="10">
        <v>45905</v>
      </c>
      <c r="B961" s="2" t="str">
        <f t="shared" si="30"/>
        <v>Sep-2025</v>
      </c>
      <c r="C961" s="2" t="str">
        <f t="shared" si="31"/>
        <v>Q2</v>
      </c>
      <c r="D961" s="2" t="s">
        <v>28</v>
      </c>
      <c r="E961" s="11" t="s">
        <v>247</v>
      </c>
      <c r="F961" s="11" t="s">
        <v>248</v>
      </c>
      <c r="G961" s="11" t="s">
        <v>503</v>
      </c>
      <c r="H961" s="11" t="s">
        <v>166</v>
      </c>
      <c r="I961" s="12">
        <v>1</v>
      </c>
      <c r="J961" s="12">
        <v>120</v>
      </c>
      <c r="K961" s="12">
        <v>64.23</v>
      </c>
      <c r="L961" s="12">
        <v>7707.5999999999995</v>
      </c>
      <c r="M961" s="12">
        <v>-700.62</v>
      </c>
      <c r="N961" s="12">
        <v>0</v>
      </c>
      <c r="O961" s="12">
        <v>910.90745800000002</v>
      </c>
      <c r="P961" s="12">
        <v>7917.8874580000002</v>
      </c>
    </row>
    <row r="962" spans="1:16" ht="14.5" x14ac:dyDescent="0.25">
      <c r="A962" s="10">
        <v>45905</v>
      </c>
      <c r="B962" s="2" t="str">
        <f t="shared" si="30"/>
        <v>Sep-2025</v>
      </c>
      <c r="C962" s="2" t="str">
        <f t="shared" si="31"/>
        <v>Q2</v>
      </c>
      <c r="D962" s="2" t="s">
        <v>28</v>
      </c>
      <c r="E962" s="11" t="s">
        <v>247</v>
      </c>
      <c r="F962" s="11" t="s">
        <v>248</v>
      </c>
      <c r="G962" s="11" t="s">
        <v>506</v>
      </c>
      <c r="H962" s="11" t="s">
        <v>181</v>
      </c>
      <c r="I962" s="12">
        <v>1</v>
      </c>
      <c r="J962" s="12">
        <v>100</v>
      </c>
      <c r="K962" s="12">
        <v>98.03</v>
      </c>
      <c r="L962" s="12">
        <v>9803</v>
      </c>
      <c r="M962" s="12">
        <v>-891.08999999999992</v>
      </c>
      <c r="N962" s="12">
        <v>0</v>
      </c>
      <c r="O962" s="12">
        <v>1158.548374</v>
      </c>
      <c r="P962" s="12">
        <v>10070.458374</v>
      </c>
    </row>
    <row r="963" spans="1:16" ht="14.5" x14ac:dyDescent="0.25">
      <c r="A963" s="10">
        <v>45905</v>
      </c>
      <c r="B963" s="2" t="str">
        <f t="shared" si="30"/>
        <v>Sep-2025</v>
      </c>
      <c r="C963" s="2" t="str">
        <f t="shared" si="31"/>
        <v>Q2</v>
      </c>
      <c r="D963" s="2" t="s">
        <v>28</v>
      </c>
      <c r="E963" s="11" t="s">
        <v>247</v>
      </c>
      <c r="F963" s="11" t="s">
        <v>248</v>
      </c>
      <c r="G963" s="11" t="s">
        <v>503</v>
      </c>
      <c r="H963" s="11" t="s">
        <v>51</v>
      </c>
      <c r="I963" s="12">
        <v>1</v>
      </c>
      <c r="J963" s="12">
        <v>180</v>
      </c>
      <c r="K963" s="12">
        <v>64.23</v>
      </c>
      <c r="L963" s="12">
        <v>11561.4</v>
      </c>
      <c r="M963" s="12">
        <v>-1050.9299999999998</v>
      </c>
      <c r="N963" s="12">
        <v>0</v>
      </c>
      <c r="O963" s="12">
        <v>1366.361187</v>
      </c>
      <c r="P963" s="12">
        <v>11876.831187</v>
      </c>
    </row>
    <row r="964" spans="1:16" ht="14.5" x14ac:dyDescent="0.25">
      <c r="A964" s="10">
        <v>45905</v>
      </c>
      <c r="B964" s="2" t="str">
        <f t="shared" si="30"/>
        <v>Sep-2025</v>
      </c>
      <c r="C964" s="2" t="str">
        <f t="shared" si="31"/>
        <v>Q2</v>
      </c>
      <c r="D964" s="2" t="s">
        <v>28</v>
      </c>
      <c r="E964" s="11" t="s">
        <v>247</v>
      </c>
      <c r="F964" s="11" t="s">
        <v>248</v>
      </c>
      <c r="G964" s="11" t="s">
        <v>506</v>
      </c>
      <c r="H964" s="11" t="s">
        <v>58</v>
      </c>
      <c r="I964" s="12">
        <v>1</v>
      </c>
      <c r="J964" s="12">
        <v>72</v>
      </c>
      <c r="K964" s="12">
        <v>148.74</v>
      </c>
      <c r="L964" s="12">
        <v>10709.279999999999</v>
      </c>
      <c r="M964" s="12">
        <v>-973.47</v>
      </c>
      <c r="N964" s="12">
        <v>0</v>
      </c>
      <c r="O964" s="12">
        <v>1265.655381</v>
      </c>
      <c r="P964" s="12">
        <v>11001.465381</v>
      </c>
    </row>
    <row r="965" spans="1:16" ht="14.5" x14ac:dyDescent="0.25">
      <c r="A965" s="10">
        <v>45905</v>
      </c>
      <c r="B965" s="2" t="str">
        <f t="shared" si="30"/>
        <v>Sep-2025</v>
      </c>
      <c r="C965" s="2" t="str">
        <f t="shared" si="31"/>
        <v>Q2</v>
      </c>
      <c r="D965" s="2" t="s">
        <v>28</v>
      </c>
      <c r="E965" s="11" t="s">
        <v>247</v>
      </c>
      <c r="F965" s="11" t="s">
        <v>248</v>
      </c>
      <c r="G965" s="11" t="s">
        <v>503</v>
      </c>
      <c r="H965" s="11" t="s">
        <v>42</v>
      </c>
      <c r="I965" s="12">
        <v>1</v>
      </c>
      <c r="J965" s="12">
        <v>120</v>
      </c>
      <c r="K965" s="12">
        <v>141.97</v>
      </c>
      <c r="L965" s="12">
        <v>17036.400000000001</v>
      </c>
      <c r="M965" s="12">
        <v>-1548.61</v>
      </c>
      <c r="N965" s="12">
        <v>0</v>
      </c>
      <c r="O965" s="12">
        <v>2013.4128290000001</v>
      </c>
      <c r="P965" s="12">
        <v>17501.202829000002</v>
      </c>
    </row>
    <row r="966" spans="1:16" ht="14.5" x14ac:dyDescent="0.25">
      <c r="A966" s="10">
        <v>45905</v>
      </c>
      <c r="B966" s="2" t="str">
        <f t="shared" si="30"/>
        <v>Sep-2025</v>
      </c>
      <c r="C966" s="2" t="str">
        <f t="shared" si="31"/>
        <v>Q2</v>
      </c>
      <c r="D966" s="2" t="s">
        <v>28</v>
      </c>
      <c r="E966" s="11" t="s">
        <v>247</v>
      </c>
      <c r="F966" s="11" t="s">
        <v>248</v>
      </c>
      <c r="G966" s="11" t="s">
        <v>506</v>
      </c>
      <c r="H966" s="11" t="s">
        <v>54</v>
      </c>
      <c r="I966" s="12">
        <v>1</v>
      </c>
      <c r="J966" s="12">
        <v>48</v>
      </c>
      <c r="K966" s="12">
        <v>310.99</v>
      </c>
      <c r="L966" s="12">
        <v>14927.519999999999</v>
      </c>
      <c r="M966" s="12">
        <v>-1356.91</v>
      </c>
      <c r="N966" s="12">
        <v>0</v>
      </c>
      <c r="O966" s="12">
        <v>1764.1794130000001</v>
      </c>
      <c r="P966" s="12">
        <v>15334.789413</v>
      </c>
    </row>
    <row r="967" spans="1:16" ht="14.5" x14ac:dyDescent="0.25">
      <c r="A967" s="10">
        <v>45905</v>
      </c>
      <c r="B967" s="2" t="str">
        <f t="shared" si="30"/>
        <v>Sep-2025</v>
      </c>
      <c r="C967" s="2" t="str">
        <f t="shared" si="31"/>
        <v>Q2</v>
      </c>
      <c r="D967" s="2" t="s">
        <v>28</v>
      </c>
      <c r="E967" s="11" t="s">
        <v>247</v>
      </c>
      <c r="F967" s="11" t="s">
        <v>248</v>
      </c>
      <c r="G967" s="11" t="s">
        <v>503</v>
      </c>
      <c r="H967" s="11" t="s">
        <v>59</v>
      </c>
      <c r="I967" s="12">
        <v>1</v>
      </c>
      <c r="J967" s="12">
        <v>180</v>
      </c>
      <c r="K967" s="12">
        <v>64.23</v>
      </c>
      <c r="L967" s="12">
        <v>11561.4</v>
      </c>
      <c r="M967" s="12">
        <v>-1050.9299999999998</v>
      </c>
      <c r="N967" s="12">
        <v>0</v>
      </c>
      <c r="O967" s="12">
        <v>1366.361187</v>
      </c>
      <c r="P967" s="12">
        <v>11876.831187</v>
      </c>
    </row>
    <row r="968" spans="1:16" ht="14.5" x14ac:dyDescent="0.25">
      <c r="A968" s="10">
        <v>45905</v>
      </c>
      <c r="B968" s="2" t="str">
        <f t="shared" si="30"/>
        <v>Sep-2025</v>
      </c>
      <c r="C968" s="2" t="str">
        <f t="shared" si="31"/>
        <v>Q2</v>
      </c>
      <c r="D968" s="2" t="s">
        <v>28</v>
      </c>
      <c r="E968" s="11" t="s">
        <v>247</v>
      </c>
      <c r="F968" s="11" t="s">
        <v>248</v>
      </c>
      <c r="G968" s="11" t="s">
        <v>505</v>
      </c>
      <c r="H968" s="11" t="s">
        <v>40</v>
      </c>
      <c r="I968" s="12">
        <v>1</v>
      </c>
      <c r="J968" s="12">
        <v>180</v>
      </c>
      <c r="K968" s="12">
        <v>94.65</v>
      </c>
      <c r="L968" s="12">
        <v>17037</v>
      </c>
      <c r="M968" s="12">
        <v>-1548.6599999999999</v>
      </c>
      <c r="N968" s="12">
        <v>0</v>
      </c>
      <c r="O968" s="12">
        <v>2013.4843290000001</v>
      </c>
      <c r="P968" s="12">
        <v>17501.824328999999</v>
      </c>
    </row>
    <row r="969" spans="1:16" ht="14.5" x14ac:dyDescent="0.25">
      <c r="A969" s="10">
        <v>45905</v>
      </c>
      <c r="B969" s="2" t="str">
        <f t="shared" si="30"/>
        <v>Sep-2025</v>
      </c>
      <c r="C969" s="2" t="str">
        <f t="shared" si="31"/>
        <v>Q2</v>
      </c>
      <c r="D969" s="2" t="s">
        <v>28</v>
      </c>
      <c r="E969" s="11" t="s">
        <v>247</v>
      </c>
      <c r="F969" s="11" t="s">
        <v>248</v>
      </c>
      <c r="G969" s="11" t="s">
        <v>503</v>
      </c>
      <c r="H969" s="11" t="s">
        <v>45</v>
      </c>
      <c r="I969" s="12">
        <v>1</v>
      </c>
      <c r="J969" s="12">
        <v>180</v>
      </c>
      <c r="K969" s="12">
        <v>64.23</v>
      </c>
      <c r="L969" s="12">
        <v>11561.4</v>
      </c>
      <c r="M969" s="12">
        <v>-1050.9299999999998</v>
      </c>
      <c r="N969" s="12">
        <v>0</v>
      </c>
      <c r="O969" s="12">
        <v>1366.361187</v>
      </c>
      <c r="P969" s="12">
        <v>11876.831187</v>
      </c>
    </row>
    <row r="970" spans="1:16" ht="14.5" x14ac:dyDescent="0.25">
      <c r="A970" s="10">
        <v>45905</v>
      </c>
      <c r="B970" s="2" t="str">
        <f t="shared" si="30"/>
        <v>Sep-2025</v>
      </c>
      <c r="C970" s="2" t="str">
        <f t="shared" si="31"/>
        <v>Q2</v>
      </c>
      <c r="D970" s="2" t="s">
        <v>28</v>
      </c>
      <c r="E970" s="11" t="s">
        <v>247</v>
      </c>
      <c r="F970" s="11" t="s">
        <v>248</v>
      </c>
      <c r="G970" s="11" t="s">
        <v>503</v>
      </c>
      <c r="H970" s="11" t="s">
        <v>190</v>
      </c>
      <c r="I970" s="12">
        <v>1</v>
      </c>
      <c r="J970" s="12">
        <v>180</v>
      </c>
      <c r="K970" s="12">
        <v>81.14</v>
      </c>
      <c r="L970" s="12">
        <v>14605.199999999999</v>
      </c>
      <c r="M970" s="12">
        <v>-1327.61</v>
      </c>
      <c r="N970" s="12">
        <v>0</v>
      </c>
      <c r="O970" s="12">
        <v>1726.08681</v>
      </c>
      <c r="P970" s="12">
        <v>15003.676810000001</v>
      </c>
    </row>
    <row r="971" spans="1:16" ht="14.5" x14ac:dyDescent="0.25">
      <c r="A971" s="10">
        <v>45905</v>
      </c>
      <c r="B971" s="2" t="str">
        <f t="shared" si="30"/>
        <v>Sep-2025</v>
      </c>
      <c r="C971" s="2" t="str">
        <f t="shared" si="31"/>
        <v>Q2</v>
      </c>
      <c r="D971" s="2" t="s">
        <v>28</v>
      </c>
      <c r="E971" s="11" t="s">
        <v>249</v>
      </c>
      <c r="F971" s="11" t="s">
        <v>14</v>
      </c>
      <c r="G971" s="11" t="s">
        <v>507</v>
      </c>
      <c r="H971" s="11" t="s">
        <v>90</v>
      </c>
      <c r="I971" s="12">
        <v>1</v>
      </c>
      <c r="J971" s="12">
        <v>120</v>
      </c>
      <c r="K971" s="12">
        <v>57.46</v>
      </c>
      <c r="L971" s="12">
        <v>6895.2</v>
      </c>
      <c r="M971" s="12">
        <v>-626.77</v>
      </c>
      <c r="N971" s="12">
        <v>-239.845653</v>
      </c>
      <c r="O971" s="12">
        <v>783.716227</v>
      </c>
      <c r="P971" s="12">
        <v>6812.3005739999999</v>
      </c>
    </row>
    <row r="972" spans="1:16" ht="14.5" x14ac:dyDescent="0.25">
      <c r="A972" s="10">
        <v>45905</v>
      </c>
      <c r="B972" s="2" t="str">
        <f t="shared" si="30"/>
        <v>Sep-2025</v>
      </c>
      <c r="C972" s="2" t="str">
        <f t="shared" si="31"/>
        <v>Q2</v>
      </c>
      <c r="D972" s="2" t="s">
        <v>28</v>
      </c>
      <c r="E972" s="11" t="s">
        <v>249</v>
      </c>
      <c r="F972" s="11" t="s">
        <v>14</v>
      </c>
      <c r="G972" s="11" t="s">
        <v>507</v>
      </c>
      <c r="H972" s="11" t="s">
        <v>60</v>
      </c>
      <c r="I972" s="12">
        <v>3</v>
      </c>
      <c r="J972" s="12">
        <v>180</v>
      </c>
      <c r="K972" s="12">
        <v>98.03</v>
      </c>
      <c r="L972" s="12">
        <v>17645.400000000001</v>
      </c>
      <c r="M972" s="12">
        <v>-1603.97</v>
      </c>
      <c r="N972" s="12">
        <v>-613.78483200000005</v>
      </c>
      <c r="O972" s="12">
        <v>2005.5945429999999</v>
      </c>
      <c r="P972" s="12">
        <v>17433.239710999998</v>
      </c>
    </row>
    <row r="973" spans="1:16" ht="14.5" x14ac:dyDescent="0.25">
      <c r="A973" s="10">
        <v>45905</v>
      </c>
      <c r="B973" s="2" t="str">
        <f t="shared" si="30"/>
        <v>Sep-2025</v>
      </c>
      <c r="C973" s="2" t="str">
        <f t="shared" si="31"/>
        <v>Q2</v>
      </c>
      <c r="D973" s="2" t="s">
        <v>28</v>
      </c>
      <c r="E973" s="11" t="s">
        <v>249</v>
      </c>
      <c r="F973" s="11" t="s">
        <v>14</v>
      </c>
      <c r="G973" s="11" t="s">
        <v>503</v>
      </c>
      <c r="H973" s="11" t="s">
        <v>63</v>
      </c>
      <c r="I973" s="12">
        <v>1</v>
      </c>
      <c r="J973" s="12">
        <v>80</v>
      </c>
      <c r="K973" s="12">
        <v>185.92</v>
      </c>
      <c r="L973" s="12">
        <v>14873.6</v>
      </c>
      <c r="M973" s="12">
        <v>-1352.01</v>
      </c>
      <c r="N973" s="12">
        <v>-517.36951399999998</v>
      </c>
      <c r="O973" s="12">
        <v>1690.549229</v>
      </c>
      <c r="P973" s="12">
        <v>14694.769715</v>
      </c>
    </row>
    <row r="974" spans="1:16" ht="14.5" x14ac:dyDescent="0.25">
      <c r="A974" s="10">
        <v>45907</v>
      </c>
      <c r="B974" s="2" t="str">
        <f t="shared" si="30"/>
        <v>Sep-2025</v>
      </c>
      <c r="C974" s="2" t="str">
        <f t="shared" si="31"/>
        <v>Q2</v>
      </c>
      <c r="D974" s="2" t="s">
        <v>28</v>
      </c>
      <c r="E974" s="11" t="s">
        <v>250</v>
      </c>
      <c r="F974" s="11" t="s">
        <v>116</v>
      </c>
      <c r="G974" s="11" t="s">
        <v>503</v>
      </c>
      <c r="H974" s="11" t="s">
        <v>59</v>
      </c>
      <c r="I974" s="12">
        <v>2</v>
      </c>
      <c r="J974" s="12">
        <v>360</v>
      </c>
      <c r="K974" s="12">
        <v>64.23</v>
      </c>
      <c r="L974" s="12">
        <v>23122.799999999999</v>
      </c>
      <c r="M974" s="12">
        <v>-2101.8599999999997</v>
      </c>
      <c r="N974" s="12">
        <v>0</v>
      </c>
      <c r="O974" s="12">
        <v>2732.7217740000001</v>
      </c>
      <c r="P974" s="12">
        <v>23753.661774</v>
      </c>
    </row>
    <row r="975" spans="1:16" ht="14.5" x14ac:dyDescent="0.25">
      <c r="A975" s="10">
        <v>45907</v>
      </c>
      <c r="B975" s="2" t="str">
        <f t="shared" si="30"/>
        <v>Sep-2025</v>
      </c>
      <c r="C975" s="2" t="str">
        <f t="shared" si="31"/>
        <v>Q2</v>
      </c>
      <c r="D975" s="2" t="s">
        <v>28</v>
      </c>
      <c r="E975" s="11" t="s">
        <v>250</v>
      </c>
      <c r="F975" s="11" t="s">
        <v>116</v>
      </c>
      <c r="G975" s="11" t="s">
        <v>503</v>
      </c>
      <c r="H975" s="11" t="s">
        <v>52</v>
      </c>
      <c r="I975" s="12">
        <v>1</v>
      </c>
      <c r="J975" s="12">
        <v>180</v>
      </c>
      <c r="K975" s="12">
        <v>70.989999999999995</v>
      </c>
      <c r="L975" s="12">
        <v>12778.2</v>
      </c>
      <c r="M975" s="12">
        <v>-1161.54</v>
      </c>
      <c r="N975" s="12">
        <v>0</v>
      </c>
      <c r="O975" s="12">
        <v>1510.165565</v>
      </c>
      <c r="P975" s="12">
        <v>13126.825564999999</v>
      </c>
    </row>
    <row r="976" spans="1:16" ht="14.5" x14ac:dyDescent="0.25">
      <c r="A976" s="10">
        <v>45907</v>
      </c>
      <c r="B976" s="2" t="str">
        <f t="shared" si="30"/>
        <v>Sep-2025</v>
      </c>
      <c r="C976" s="2" t="str">
        <f t="shared" si="31"/>
        <v>Q2</v>
      </c>
      <c r="D976" s="2" t="s">
        <v>28</v>
      </c>
      <c r="E976" s="11" t="s">
        <v>250</v>
      </c>
      <c r="F976" s="11" t="s">
        <v>116</v>
      </c>
      <c r="G976" s="11" t="s">
        <v>503</v>
      </c>
      <c r="H976" s="11" t="s">
        <v>45</v>
      </c>
      <c r="I976" s="12">
        <v>3</v>
      </c>
      <c r="J976" s="12">
        <v>540</v>
      </c>
      <c r="K976" s="12">
        <v>64.23</v>
      </c>
      <c r="L976" s="12">
        <v>34684.199999999997</v>
      </c>
      <c r="M976" s="12">
        <v>-3152.79</v>
      </c>
      <c r="N976" s="12">
        <v>0</v>
      </c>
      <c r="O976" s="12">
        <v>4099.0826609999995</v>
      </c>
      <c r="P976" s="12">
        <v>35630.492660999997</v>
      </c>
    </row>
    <row r="977" spans="1:16" ht="14.5" x14ac:dyDescent="0.25">
      <c r="A977" s="10">
        <v>45907</v>
      </c>
      <c r="B977" s="2" t="str">
        <f t="shared" si="30"/>
        <v>Sep-2025</v>
      </c>
      <c r="C977" s="2" t="str">
        <f t="shared" si="31"/>
        <v>Q2</v>
      </c>
      <c r="D977" s="2" t="s">
        <v>28</v>
      </c>
      <c r="E977" s="11" t="s">
        <v>251</v>
      </c>
      <c r="F977" s="11" t="s">
        <v>236</v>
      </c>
      <c r="G977" s="11" t="s">
        <v>503</v>
      </c>
      <c r="H977" s="11" t="s">
        <v>190</v>
      </c>
      <c r="I977" s="12">
        <v>0.5</v>
      </c>
      <c r="J977" s="12">
        <v>90</v>
      </c>
      <c r="K977" s="12">
        <v>81.14</v>
      </c>
      <c r="L977" s="12">
        <v>7302.5999999999995</v>
      </c>
      <c r="M977" s="12">
        <v>-663.81</v>
      </c>
      <c r="N977" s="12">
        <v>0</v>
      </c>
      <c r="O977" s="12">
        <v>863.04272900000001</v>
      </c>
      <c r="P977" s="12">
        <v>7501.8327289999997</v>
      </c>
    </row>
    <row r="978" spans="1:16" ht="14.5" x14ac:dyDescent="0.25">
      <c r="A978" s="10">
        <v>45907</v>
      </c>
      <c r="B978" s="2" t="str">
        <f t="shared" si="30"/>
        <v>Sep-2025</v>
      </c>
      <c r="C978" s="2" t="str">
        <f t="shared" si="31"/>
        <v>Q2</v>
      </c>
      <c r="D978" s="2" t="s">
        <v>28</v>
      </c>
      <c r="E978" s="11" t="s">
        <v>251</v>
      </c>
      <c r="F978" s="11" t="s">
        <v>236</v>
      </c>
      <c r="G978" s="11" t="s">
        <v>505</v>
      </c>
      <c r="H978" s="11" t="s">
        <v>167</v>
      </c>
      <c r="I978" s="12">
        <v>1</v>
      </c>
      <c r="J978" s="12">
        <v>180</v>
      </c>
      <c r="K978" s="12">
        <v>91.27</v>
      </c>
      <c r="L978" s="12">
        <v>16428.599999999999</v>
      </c>
      <c r="M978" s="12">
        <v>-1493.36</v>
      </c>
      <c r="N978" s="12">
        <v>0</v>
      </c>
      <c r="O978" s="12">
        <v>1941.581265</v>
      </c>
      <c r="P978" s="12">
        <v>16876.821264999999</v>
      </c>
    </row>
    <row r="979" spans="1:16" ht="14.5" x14ac:dyDescent="0.25">
      <c r="A979" s="10">
        <v>45907</v>
      </c>
      <c r="B979" s="2" t="str">
        <f t="shared" si="30"/>
        <v>Sep-2025</v>
      </c>
      <c r="C979" s="2" t="str">
        <f t="shared" si="31"/>
        <v>Q2</v>
      </c>
      <c r="D979" s="2" t="s">
        <v>28</v>
      </c>
      <c r="E979" s="11" t="s">
        <v>251</v>
      </c>
      <c r="F979" s="11" t="s">
        <v>236</v>
      </c>
      <c r="G979" s="11" t="s">
        <v>506</v>
      </c>
      <c r="H979" s="11" t="s">
        <v>54</v>
      </c>
      <c r="I979" s="12">
        <v>1</v>
      </c>
      <c r="J979" s="12">
        <v>48</v>
      </c>
      <c r="K979" s="12">
        <v>310.99</v>
      </c>
      <c r="L979" s="12">
        <v>14927.519999999999</v>
      </c>
      <c r="M979" s="12">
        <v>-1356.91</v>
      </c>
      <c r="N979" s="12">
        <v>0</v>
      </c>
      <c r="O979" s="12">
        <v>1764.179359</v>
      </c>
      <c r="P979" s="12">
        <v>15334.789359</v>
      </c>
    </row>
    <row r="980" spans="1:16" ht="14.5" x14ac:dyDescent="0.25">
      <c r="A980" s="10">
        <v>45907</v>
      </c>
      <c r="B980" s="2" t="str">
        <f t="shared" si="30"/>
        <v>Sep-2025</v>
      </c>
      <c r="C980" s="2" t="str">
        <f t="shared" si="31"/>
        <v>Q2</v>
      </c>
      <c r="D980" s="2" t="s">
        <v>28</v>
      </c>
      <c r="E980" s="11" t="s">
        <v>251</v>
      </c>
      <c r="F980" s="11" t="s">
        <v>236</v>
      </c>
      <c r="G980" s="11" t="s">
        <v>503</v>
      </c>
      <c r="H980" s="11" t="s">
        <v>47</v>
      </c>
      <c r="I980" s="12">
        <v>1</v>
      </c>
      <c r="J980" s="12">
        <v>120</v>
      </c>
      <c r="K980" s="12">
        <v>121.69</v>
      </c>
      <c r="L980" s="12">
        <v>14602.800000000001</v>
      </c>
      <c r="M980" s="12">
        <v>-1327.39</v>
      </c>
      <c r="N980" s="12">
        <v>0</v>
      </c>
      <c r="O980" s="12">
        <v>1725.8033580000001</v>
      </c>
      <c r="P980" s="12">
        <v>15001.213358000001</v>
      </c>
    </row>
    <row r="981" spans="1:16" ht="14.5" x14ac:dyDescent="0.25">
      <c r="A981" s="10">
        <v>45907</v>
      </c>
      <c r="B981" s="2" t="str">
        <f t="shared" si="30"/>
        <v>Sep-2025</v>
      </c>
      <c r="C981" s="2" t="str">
        <f t="shared" si="31"/>
        <v>Q2</v>
      </c>
      <c r="D981" s="2" t="s">
        <v>28</v>
      </c>
      <c r="E981" s="11" t="s">
        <v>251</v>
      </c>
      <c r="F981" s="11" t="s">
        <v>236</v>
      </c>
      <c r="G981" s="11" t="s">
        <v>503</v>
      </c>
      <c r="H981" s="11" t="s">
        <v>57</v>
      </c>
      <c r="I981" s="12">
        <v>1</v>
      </c>
      <c r="J981" s="12">
        <v>180</v>
      </c>
      <c r="K981" s="12">
        <v>121.69</v>
      </c>
      <c r="L981" s="12">
        <v>21904.199999999997</v>
      </c>
      <c r="M981" s="12">
        <v>-1991.09</v>
      </c>
      <c r="N981" s="12">
        <v>0</v>
      </c>
      <c r="O981" s="12">
        <v>2588.7043859999999</v>
      </c>
      <c r="P981" s="12">
        <v>22501.814385999998</v>
      </c>
    </row>
    <row r="982" spans="1:16" ht="14.5" x14ac:dyDescent="0.25">
      <c r="A982" s="10">
        <v>45907</v>
      </c>
      <c r="B982" s="2" t="str">
        <f t="shared" si="30"/>
        <v>Sep-2025</v>
      </c>
      <c r="C982" s="2" t="str">
        <f t="shared" si="31"/>
        <v>Q2</v>
      </c>
      <c r="D982" s="2" t="s">
        <v>28</v>
      </c>
      <c r="E982" s="11" t="s">
        <v>251</v>
      </c>
      <c r="F982" s="11" t="s">
        <v>236</v>
      </c>
      <c r="G982" s="11" t="s">
        <v>504</v>
      </c>
      <c r="H982" s="11" t="s">
        <v>69</v>
      </c>
      <c r="I982" s="12">
        <v>1</v>
      </c>
      <c r="J982" s="12">
        <v>100</v>
      </c>
      <c r="K982" s="12">
        <v>162.26</v>
      </c>
      <c r="L982" s="12">
        <v>16226</v>
      </c>
      <c r="M982" s="12">
        <v>-1474.94</v>
      </c>
      <c r="N982" s="12">
        <v>0</v>
      </c>
      <c r="O982" s="12">
        <v>1917.637864</v>
      </c>
      <c r="P982" s="12">
        <v>16668.697864000002</v>
      </c>
    </row>
    <row r="983" spans="1:16" ht="14.5" x14ac:dyDescent="0.25">
      <c r="A983" s="10">
        <v>45907</v>
      </c>
      <c r="B983" s="2" t="str">
        <f t="shared" si="30"/>
        <v>Sep-2025</v>
      </c>
      <c r="C983" s="2" t="str">
        <f t="shared" si="31"/>
        <v>Q2</v>
      </c>
      <c r="D983" s="2" t="s">
        <v>28</v>
      </c>
      <c r="E983" s="11" t="s">
        <v>251</v>
      </c>
      <c r="F983" s="11" t="s">
        <v>236</v>
      </c>
      <c r="G983" s="11" t="s">
        <v>503</v>
      </c>
      <c r="H983" s="11" t="s">
        <v>46</v>
      </c>
      <c r="I983" s="12">
        <v>1</v>
      </c>
      <c r="J983" s="12">
        <v>120</v>
      </c>
      <c r="K983" s="12">
        <v>121.69</v>
      </c>
      <c r="L983" s="12">
        <v>14602.800000000001</v>
      </c>
      <c r="M983" s="12">
        <v>-1327.39</v>
      </c>
      <c r="N983" s="12">
        <v>0</v>
      </c>
      <c r="O983" s="12">
        <v>1725.8033580000001</v>
      </c>
      <c r="P983" s="12">
        <v>15001.213358000001</v>
      </c>
    </row>
    <row r="984" spans="1:16" ht="14.5" x14ac:dyDescent="0.25">
      <c r="A984" s="10">
        <v>45907</v>
      </c>
      <c r="B984" s="2" t="str">
        <f t="shared" si="30"/>
        <v>Sep-2025</v>
      </c>
      <c r="C984" s="2" t="str">
        <f t="shared" si="31"/>
        <v>Q2</v>
      </c>
      <c r="D984" s="2" t="s">
        <v>28</v>
      </c>
      <c r="E984" s="11" t="s">
        <v>251</v>
      </c>
      <c r="F984" s="11" t="s">
        <v>236</v>
      </c>
      <c r="G984" s="11" t="s">
        <v>503</v>
      </c>
      <c r="H984" s="11" t="s">
        <v>177</v>
      </c>
      <c r="I984" s="12">
        <v>1</v>
      </c>
      <c r="J984" s="12">
        <v>120</v>
      </c>
      <c r="K984" s="12">
        <v>94.65</v>
      </c>
      <c r="L984" s="12">
        <v>11358</v>
      </c>
      <c r="M984" s="12">
        <v>-1032.44</v>
      </c>
      <c r="N984" s="12">
        <v>0</v>
      </c>
      <c r="O984" s="12">
        <v>1342.3228450000001</v>
      </c>
      <c r="P984" s="12">
        <v>11667.882845</v>
      </c>
    </row>
    <row r="985" spans="1:16" ht="14.5" x14ac:dyDescent="0.25">
      <c r="A985" s="10">
        <v>45907</v>
      </c>
      <c r="B985" s="2" t="str">
        <f t="shared" si="30"/>
        <v>Sep-2025</v>
      </c>
      <c r="C985" s="2" t="str">
        <f t="shared" si="31"/>
        <v>Q2</v>
      </c>
      <c r="D985" s="2" t="s">
        <v>28</v>
      </c>
      <c r="E985" s="11" t="s">
        <v>251</v>
      </c>
      <c r="F985" s="11" t="s">
        <v>236</v>
      </c>
      <c r="G985" s="11" t="s">
        <v>506</v>
      </c>
      <c r="H985" s="11" t="s">
        <v>39</v>
      </c>
      <c r="I985" s="12">
        <v>1</v>
      </c>
      <c r="J985" s="12">
        <v>72</v>
      </c>
      <c r="K985" s="12">
        <v>131.83000000000001</v>
      </c>
      <c r="L985" s="12">
        <v>9491.76</v>
      </c>
      <c r="M985" s="12">
        <v>-862.8</v>
      </c>
      <c r="N985" s="12">
        <v>0</v>
      </c>
      <c r="O985" s="12">
        <v>1121.7648369999999</v>
      </c>
      <c r="P985" s="12">
        <v>9750.7248369999998</v>
      </c>
    </row>
    <row r="986" spans="1:16" ht="14.5" x14ac:dyDescent="0.25">
      <c r="A986" s="10">
        <v>45914</v>
      </c>
      <c r="B986" s="2" t="str">
        <f t="shared" si="30"/>
        <v>Sep-2025</v>
      </c>
      <c r="C986" s="2" t="str">
        <f t="shared" si="31"/>
        <v>Q2</v>
      </c>
      <c r="D986" s="2" t="s">
        <v>28</v>
      </c>
      <c r="E986" s="11" t="s">
        <v>252</v>
      </c>
      <c r="F986" s="11" t="s">
        <v>14</v>
      </c>
      <c r="G986" s="11" t="s">
        <v>503</v>
      </c>
      <c r="H986" s="11" t="s">
        <v>172</v>
      </c>
      <c r="I986" s="12">
        <v>1</v>
      </c>
      <c r="J986" s="12">
        <v>180</v>
      </c>
      <c r="K986" s="12">
        <v>98.03</v>
      </c>
      <c r="L986" s="12">
        <v>17645.400000000001</v>
      </c>
      <c r="M986" s="12">
        <v>-1603.97</v>
      </c>
      <c r="N986" s="12">
        <v>0</v>
      </c>
      <c r="O986" s="12">
        <v>2085.39</v>
      </c>
      <c r="P986" s="12">
        <v>18126.82</v>
      </c>
    </row>
    <row r="987" spans="1:16" ht="14.5" x14ac:dyDescent="0.25">
      <c r="A987" s="10">
        <v>45915</v>
      </c>
      <c r="B987" s="2" t="str">
        <f t="shared" si="30"/>
        <v>Sep-2025</v>
      </c>
      <c r="C987" s="2" t="str">
        <f t="shared" si="31"/>
        <v>Q2</v>
      </c>
      <c r="D987" s="2" t="s">
        <v>28</v>
      </c>
      <c r="E987" s="11" t="s">
        <v>253</v>
      </c>
      <c r="F987" s="11" t="s">
        <v>254</v>
      </c>
      <c r="G987" s="11" t="s">
        <v>503</v>
      </c>
      <c r="H987" s="11" t="s">
        <v>47</v>
      </c>
      <c r="I987" s="12">
        <v>1</v>
      </c>
      <c r="J987" s="12">
        <v>120</v>
      </c>
      <c r="K987" s="12">
        <v>133.86000000000001</v>
      </c>
      <c r="L987" s="12">
        <v>16063.2</v>
      </c>
      <c r="M987" s="12">
        <v>-1460.14</v>
      </c>
      <c r="N987" s="12">
        <v>0</v>
      </c>
      <c r="O987" s="12">
        <v>1898.3974210000001</v>
      </c>
      <c r="P987" s="12">
        <v>16501.457420999999</v>
      </c>
    </row>
    <row r="988" spans="1:16" ht="14.5" x14ac:dyDescent="0.25">
      <c r="A988" s="10">
        <v>45915</v>
      </c>
      <c r="B988" s="2" t="str">
        <f t="shared" si="30"/>
        <v>Sep-2025</v>
      </c>
      <c r="C988" s="2" t="str">
        <f t="shared" si="31"/>
        <v>Q2</v>
      </c>
      <c r="D988" s="2" t="s">
        <v>28</v>
      </c>
      <c r="E988" s="11" t="s">
        <v>253</v>
      </c>
      <c r="F988" s="11" t="s">
        <v>254</v>
      </c>
      <c r="G988" s="11" t="s">
        <v>505</v>
      </c>
      <c r="H988" s="11" t="s">
        <v>56</v>
      </c>
      <c r="I988" s="12">
        <v>1</v>
      </c>
      <c r="J988" s="12">
        <v>120</v>
      </c>
      <c r="K988" s="12">
        <v>55.77</v>
      </c>
      <c r="L988" s="12">
        <v>6692.4000000000005</v>
      </c>
      <c r="M988" s="12">
        <v>-608.34</v>
      </c>
      <c r="N988" s="12">
        <v>0</v>
      </c>
      <c r="O988" s="12">
        <v>790.92764199999999</v>
      </c>
      <c r="P988" s="12">
        <v>6874.9876420000001</v>
      </c>
    </row>
    <row r="989" spans="1:16" ht="14.5" x14ac:dyDescent="0.25">
      <c r="A989" s="10">
        <v>45915</v>
      </c>
      <c r="B989" s="2" t="str">
        <f t="shared" si="30"/>
        <v>Sep-2025</v>
      </c>
      <c r="C989" s="2" t="str">
        <f t="shared" si="31"/>
        <v>Q2</v>
      </c>
      <c r="D989" s="2" t="s">
        <v>28</v>
      </c>
      <c r="E989" s="11" t="s">
        <v>253</v>
      </c>
      <c r="F989" s="11" t="s">
        <v>254</v>
      </c>
      <c r="G989" s="11" t="s">
        <v>503</v>
      </c>
      <c r="H989" s="11" t="s">
        <v>48</v>
      </c>
      <c r="I989" s="12">
        <v>1</v>
      </c>
      <c r="J989" s="12">
        <v>180</v>
      </c>
      <c r="K989" s="12">
        <v>148.72999999999999</v>
      </c>
      <c r="L989" s="12">
        <v>26771.399999999998</v>
      </c>
      <c r="M989" s="12">
        <v>-2433.52</v>
      </c>
      <c r="N989" s="12">
        <v>0</v>
      </c>
      <c r="O989" s="12">
        <v>3163.923769</v>
      </c>
      <c r="P989" s="12">
        <v>27501.803768999998</v>
      </c>
    </row>
    <row r="990" spans="1:16" ht="14.5" x14ac:dyDescent="0.25">
      <c r="A990" s="10">
        <v>45915</v>
      </c>
      <c r="B990" s="2" t="str">
        <f t="shared" si="30"/>
        <v>Sep-2025</v>
      </c>
      <c r="C990" s="2" t="str">
        <f t="shared" si="31"/>
        <v>Q2</v>
      </c>
      <c r="D990" s="2" t="s">
        <v>28</v>
      </c>
      <c r="E990" s="11" t="s">
        <v>253</v>
      </c>
      <c r="F990" s="11" t="s">
        <v>254</v>
      </c>
      <c r="G990" s="11" t="s">
        <v>505</v>
      </c>
      <c r="H990" s="11" t="s">
        <v>49</v>
      </c>
      <c r="I990" s="12">
        <v>1</v>
      </c>
      <c r="J990" s="12">
        <v>180</v>
      </c>
      <c r="K990" s="12">
        <v>200.79</v>
      </c>
      <c r="L990" s="12">
        <v>36142.199999999997</v>
      </c>
      <c r="M990" s="12">
        <v>-3285.3300000000004</v>
      </c>
      <c r="N990" s="12">
        <v>0</v>
      </c>
      <c r="O990" s="12">
        <v>4271.3922480000001</v>
      </c>
      <c r="P990" s="12">
        <v>37128.262247999999</v>
      </c>
    </row>
    <row r="991" spans="1:16" ht="14.5" x14ac:dyDescent="0.25">
      <c r="A991" s="10">
        <v>45915</v>
      </c>
      <c r="B991" s="2" t="str">
        <f t="shared" si="30"/>
        <v>Sep-2025</v>
      </c>
      <c r="C991" s="2" t="str">
        <f t="shared" si="31"/>
        <v>Q2</v>
      </c>
      <c r="D991" s="2" t="s">
        <v>28</v>
      </c>
      <c r="E991" s="11" t="s">
        <v>253</v>
      </c>
      <c r="F991" s="11" t="s">
        <v>254</v>
      </c>
      <c r="G991" s="11" t="s">
        <v>503</v>
      </c>
      <c r="H991" s="11" t="s">
        <v>42</v>
      </c>
      <c r="I991" s="12">
        <v>1</v>
      </c>
      <c r="J991" s="12">
        <v>120</v>
      </c>
      <c r="K991" s="12">
        <v>156.16999999999999</v>
      </c>
      <c r="L991" s="12">
        <v>18740.400000000001</v>
      </c>
      <c r="M991" s="12">
        <v>-1703.5000000000002</v>
      </c>
      <c r="N991" s="12">
        <v>0</v>
      </c>
      <c r="O991" s="12">
        <v>2214.796558</v>
      </c>
      <c r="P991" s="12">
        <v>19251.696558</v>
      </c>
    </row>
    <row r="992" spans="1:16" ht="14.5" x14ac:dyDescent="0.25">
      <c r="A992" s="10">
        <v>45915</v>
      </c>
      <c r="B992" s="2" t="str">
        <f t="shared" si="30"/>
        <v>Sep-2025</v>
      </c>
      <c r="C992" s="2" t="str">
        <f t="shared" si="31"/>
        <v>Q2</v>
      </c>
      <c r="D992" s="2" t="s">
        <v>28</v>
      </c>
      <c r="E992" s="11" t="s">
        <v>253</v>
      </c>
      <c r="F992" s="11" t="s">
        <v>254</v>
      </c>
      <c r="G992" s="11" t="s">
        <v>503</v>
      </c>
      <c r="H992" s="11" t="s">
        <v>46</v>
      </c>
      <c r="I992" s="12">
        <v>1</v>
      </c>
      <c r="J992" s="12">
        <v>120</v>
      </c>
      <c r="K992" s="12">
        <v>133.86000000000001</v>
      </c>
      <c r="L992" s="12">
        <v>16063.2</v>
      </c>
      <c r="M992" s="12">
        <v>-1460.14</v>
      </c>
      <c r="N992" s="12">
        <v>0</v>
      </c>
      <c r="O992" s="12">
        <v>1898.3974210000001</v>
      </c>
      <c r="P992" s="12">
        <v>16501.457420999999</v>
      </c>
    </row>
    <row r="993" spans="1:16" ht="14.5" x14ac:dyDescent="0.25">
      <c r="A993" s="10">
        <v>45915</v>
      </c>
      <c r="B993" s="2" t="str">
        <f t="shared" si="30"/>
        <v>Sep-2025</v>
      </c>
      <c r="C993" s="2" t="str">
        <f t="shared" si="31"/>
        <v>Q2</v>
      </c>
      <c r="D993" s="2" t="s">
        <v>28</v>
      </c>
      <c r="E993" s="11" t="s">
        <v>253</v>
      </c>
      <c r="F993" s="11" t="s">
        <v>254</v>
      </c>
      <c r="G993" s="11" t="s">
        <v>503</v>
      </c>
      <c r="H993" s="11" t="s">
        <v>89</v>
      </c>
      <c r="I993" s="12">
        <v>1</v>
      </c>
      <c r="J993" s="12">
        <v>120</v>
      </c>
      <c r="K993" s="12">
        <v>126.42</v>
      </c>
      <c r="L993" s="12">
        <v>15170.400000000001</v>
      </c>
      <c r="M993" s="12">
        <v>-1378.99</v>
      </c>
      <c r="N993" s="12">
        <v>0</v>
      </c>
      <c r="O993" s="12">
        <v>1792.882942</v>
      </c>
      <c r="P993" s="12">
        <v>15584.292942</v>
      </c>
    </row>
    <row r="994" spans="1:16" ht="14.5" x14ac:dyDescent="0.25">
      <c r="A994" s="10">
        <v>45915</v>
      </c>
      <c r="B994" s="2" t="str">
        <f t="shared" si="30"/>
        <v>Sep-2025</v>
      </c>
      <c r="C994" s="2" t="str">
        <f t="shared" si="31"/>
        <v>Q2</v>
      </c>
      <c r="D994" s="2" t="s">
        <v>28</v>
      </c>
      <c r="E994" s="11" t="s">
        <v>253</v>
      </c>
      <c r="F994" s="11" t="s">
        <v>254</v>
      </c>
      <c r="G994" s="11" t="s">
        <v>503</v>
      </c>
      <c r="H994" s="11" t="s">
        <v>57</v>
      </c>
      <c r="I994" s="12">
        <v>1</v>
      </c>
      <c r="J994" s="12">
        <v>180</v>
      </c>
      <c r="K994" s="12">
        <v>130.13999999999999</v>
      </c>
      <c r="L994" s="12">
        <v>23425.200000000001</v>
      </c>
      <c r="M994" s="12">
        <v>-2129.35</v>
      </c>
      <c r="N994" s="12">
        <v>0</v>
      </c>
      <c r="O994" s="12">
        <v>2768.4599480000002</v>
      </c>
      <c r="P994" s="12">
        <v>24064.309947999998</v>
      </c>
    </row>
    <row r="995" spans="1:16" ht="14.5" x14ac:dyDescent="0.25">
      <c r="A995" s="10">
        <v>45915</v>
      </c>
      <c r="B995" s="2" t="str">
        <f t="shared" ref="B995:B1058" si="32">+TEXT(A995,"MMM-yyy")</f>
        <v>Sep-2025</v>
      </c>
      <c r="C995" s="2" t="str">
        <f t="shared" ref="C995:C1058" si="33">"Q" &amp; CHOOSE(MONTH(A995),4,4,4,1,1,1,2,2,2,3,3,3)</f>
        <v>Q2</v>
      </c>
      <c r="D995" s="2" t="s">
        <v>28</v>
      </c>
      <c r="E995" s="11" t="s">
        <v>253</v>
      </c>
      <c r="F995" s="11" t="s">
        <v>254</v>
      </c>
      <c r="G995" s="11" t="s">
        <v>505</v>
      </c>
      <c r="H995" s="11" t="s">
        <v>43</v>
      </c>
      <c r="I995" s="12">
        <v>1</v>
      </c>
      <c r="J995" s="12">
        <v>40</v>
      </c>
      <c r="K995" s="12">
        <v>312.33999999999997</v>
      </c>
      <c r="L995" s="12">
        <v>12493.599999999999</v>
      </c>
      <c r="M995" s="12">
        <v>-1135.67</v>
      </c>
      <c r="N995" s="12">
        <v>0</v>
      </c>
      <c r="O995" s="12">
        <v>1476.5306049999999</v>
      </c>
      <c r="P995" s="12">
        <v>12834.460605</v>
      </c>
    </row>
    <row r="996" spans="1:16" ht="14.5" x14ac:dyDescent="0.25">
      <c r="A996" s="10">
        <v>45915</v>
      </c>
      <c r="B996" s="2" t="str">
        <f t="shared" si="32"/>
        <v>Sep-2025</v>
      </c>
      <c r="C996" s="2" t="str">
        <f t="shared" si="33"/>
        <v>Q2</v>
      </c>
      <c r="D996" s="2" t="s">
        <v>28</v>
      </c>
      <c r="E996" s="11" t="s">
        <v>253</v>
      </c>
      <c r="F996" s="11" t="s">
        <v>254</v>
      </c>
      <c r="G996" s="11" t="s">
        <v>505</v>
      </c>
      <c r="H996" s="11" t="s">
        <v>62</v>
      </c>
      <c r="I996" s="12">
        <v>1</v>
      </c>
      <c r="J996" s="12">
        <v>40</v>
      </c>
      <c r="K996" s="12">
        <v>483.38</v>
      </c>
      <c r="L996" s="12">
        <v>19335.2</v>
      </c>
      <c r="M996" s="12">
        <v>-1757.57</v>
      </c>
      <c r="N996" s="12">
        <v>0</v>
      </c>
      <c r="O996" s="12">
        <v>2285.0914440000001</v>
      </c>
      <c r="P996" s="12">
        <v>19862.721443999999</v>
      </c>
    </row>
    <row r="997" spans="1:16" ht="14.5" x14ac:dyDescent="0.25">
      <c r="A997" s="10">
        <v>45915</v>
      </c>
      <c r="B997" s="2" t="str">
        <f t="shared" si="32"/>
        <v>Sep-2025</v>
      </c>
      <c r="C997" s="2" t="str">
        <f t="shared" si="33"/>
        <v>Q2</v>
      </c>
      <c r="D997" s="2" t="s">
        <v>28</v>
      </c>
      <c r="E997" s="11" t="s">
        <v>255</v>
      </c>
      <c r="F997" s="11" t="s">
        <v>15</v>
      </c>
      <c r="G997" s="11" t="s">
        <v>506</v>
      </c>
      <c r="H997" s="11" t="s">
        <v>39</v>
      </c>
      <c r="I997" s="12">
        <v>1</v>
      </c>
      <c r="J997" s="12">
        <v>72</v>
      </c>
      <c r="K997" s="12">
        <v>131.83000000000001</v>
      </c>
      <c r="L997" s="12">
        <v>9491.76</v>
      </c>
      <c r="M997" s="12">
        <v>-862.8</v>
      </c>
      <c r="N997" s="12">
        <v>0</v>
      </c>
      <c r="O997" s="12">
        <v>1121.7651579999999</v>
      </c>
      <c r="P997" s="12">
        <v>9750.7251579999993</v>
      </c>
    </row>
    <row r="998" spans="1:16" ht="14.5" x14ac:dyDescent="0.25">
      <c r="A998" s="10">
        <v>45915</v>
      </c>
      <c r="B998" s="2" t="str">
        <f t="shared" si="32"/>
        <v>Sep-2025</v>
      </c>
      <c r="C998" s="2" t="str">
        <f t="shared" si="33"/>
        <v>Q2</v>
      </c>
      <c r="D998" s="2" t="s">
        <v>28</v>
      </c>
      <c r="E998" s="11" t="s">
        <v>255</v>
      </c>
      <c r="F998" s="11" t="s">
        <v>15</v>
      </c>
      <c r="G998" s="11" t="s">
        <v>503</v>
      </c>
      <c r="H998" s="11" t="s">
        <v>59</v>
      </c>
      <c r="I998" s="12">
        <v>2</v>
      </c>
      <c r="J998" s="12">
        <v>360</v>
      </c>
      <c r="K998" s="12">
        <v>64.23</v>
      </c>
      <c r="L998" s="12">
        <v>23122.799999999999</v>
      </c>
      <c r="M998" s="12">
        <v>-2101.8599999999997</v>
      </c>
      <c r="N998" s="12">
        <v>0</v>
      </c>
      <c r="O998" s="12">
        <v>2732.7230709999999</v>
      </c>
      <c r="P998" s="12">
        <v>23753.663070999999</v>
      </c>
    </row>
    <row r="999" spans="1:16" ht="14.5" x14ac:dyDescent="0.25">
      <c r="A999" s="10">
        <v>45915</v>
      </c>
      <c r="B999" s="2" t="str">
        <f t="shared" si="32"/>
        <v>Sep-2025</v>
      </c>
      <c r="C999" s="2" t="str">
        <f t="shared" si="33"/>
        <v>Q2</v>
      </c>
      <c r="D999" s="2" t="s">
        <v>28</v>
      </c>
      <c r="E999" s="11" t="s">
        <v>255</v>
      </c>
      <c r="F999" s="11" t="s">
        <v>15</v>
      </c>
      <c r="G999" s="11" t="s">
        <v>503</v>
      </c>
      <c r="H999" s="11" t="s">
        <v>45</v>
      </c>
      <c r="I999" s="12">
        <v>2</v>
      </c>
      <c r="J999" s="12">
        <v>360</v>
      </c>
      <c r="K999" s="12">
        <v>64.23</v>
      </c>
      <c r="L999" s="12">
        <v>23122.799999999999</v>
      </c>
      <c r="M999" s="12">
        <v>-2101.8599999999997</v>
      </c>
      <c r="N999" s="12">
        <v>0</v>
      </c>
      <c r="O999" s="12">
        <v>2732.7230709999999</v>
      </c>
      <c r="P999" s="12">
        <v>23753.663070999999</v>
      </c>
    </row>
    <row r="1000" spans="1:16" ht="14.5" x14ac:dyDescent="0.25">
      <c r="A1000" s="10">
        <v>45915</v>
      </c>
      <c r="B1000" s="2" t="str">
        <f t="shared" si="32"/>
        <v>Sep-2025</v>
      </c>
      <c r="C1000" s="2" t="str">
        <f t="shared" si="33"/>
        <v>Q2</v>
      </c>
      <c r="D1000" s="2" t="s">
        <v>28</v>
      </c>
      <c r="E1000" s="11" t="s">
        <v>255</v>
      </c>
      <c r="F1000" s="11" t="s">
        <v>15</v>
      </c>
      <c r="G1000" s="11" t="s">
        <v>503</v>
      </c>
      <c r="H1000" s="11" t="s">
        <v>51</v>
      </c>
      <c r="I1000" s="12">
        <v>1</v>
      </c>
      <c r="J1000" s="12">
        <v>180</v>
      </c>
      <c r="K1000" s="12">
        <v>64.23</v>
      </c>
      <c r="L1000" s="12">
        <v>11561.4</v>
      </c>
      <c r="M1000" s="12">
        <v>-1050.9299999999998</v>
      </c>
      <c r="N1000" s="12">
        <v>0</v>
      </c>
      <c r="O1000" s="12">
        <v>1366.3615359999999</v>
      </c>
      <c r="P1000" s="12">
        <v>11876.831536</v>
      </c>
    </row>
    <row r="1001" spans="1:16" ht="14.5" x14ac:dyDescent="0.25">
      <c r="A1001" s="10">
        <v>45915</v>
      </c>
      <c r="B1001" s="2" t="str">
        <f t="shared" si="32"/>
        <v>Sep-2025</v>
      </c>
      <c r="C1001" s="2" t="str">
        <f t="shared" si="33"/>
        <v>Q2</v>
      </c>
      <c r="D1001" s="2" t="s">
        <v>28</v>
      </c>
      <c r="E1001" s="11" t="s">
        <v>255</v>
      </c>
      <c r="F1001" s="11" t="s">
        <v>15</v>
      </c>
      <c r="G1001" s="11" t="s">
        <v>503</v>
      </c>
      <c r="H1001" s="11" t="s">
        <v>52</v>
      </c>
      <c r="I1001" s="12">
        <v>1</v>
      </c>
      <c r="J1001" s="12">
        <v>180</v>
      </c>
      <c r="K1001" s="12">
        <v>70.989999999999995</v>
      </c>
      <c r="L1001" s="12">
        <v>12778.2</v>
      </c>
      <c r="M1001" s="12">
        <v>-1161.54</v>
      </c>
      <c r="N1001" s="12">
        <v>0</v>
      </c>
      <c r="O1001" s="12">
        <v>1510.1662820000001</v>
      </c>
      <c r="P1001" s="12">
        <v>13126.826282</v>
      </c>
    </row>
    <row r="1002" spans="1:16" ht="14.5" x14ac:dyDescent="0.25">
      <c r="A1002" s="10">
        <v>45915</v>
      </c>
      <c r="B1002" s="2" t="str">
        <f t="shared" si="32"/>
        <v>Sep-2025</v>
      </c>
      <c r="C1002" s="2" t="str">
        <f t="shared" si="33"/>
        <v>Q2</v>
      </c>
      <c r="D1002" s="2" t="s">
        <v>28</v>
      </c>
      <c r="E1002" s="11" t="s">
        <v>255</v>
      </c>
      <c r="F1002" s="11" t="s">
        <v>15</v>
      </c>
      <c r="G1002" s="11" t="s">
        <v>506</v>
      </c>
      <c r="H1002" s="11" t="s">
        <v>54</v>
      </c>
      <c r="I1002" s="12">
        <v>1</v>
      </c>
      <c r="J1002" s="12">
        <v>48</v>
      </c>
      <c r="K1002" s="12">
        <v>310.99</v>
      </c>
      <c r="L1002" s="12">
        <v>14927.519999999999</v>
      </c>
      <c r="M1002" s="12">
        <v>-1356.91</v>
      </c>
      <c r="N1002" s="12">
        <v>0</v>
      </c>
      <c r="O1002" s="12">
        <v>1764.1798630000001</v>
      </c>
      <c r="P1002" s="12">
        <v>15334.789863</v>
      </c>
    </row>
    <row r="1003" spans="1:16" ht="14.5" x14ac:dyDescent="0.25">
      <c r="A1003" s="10">
        <v>45915</v>
      </c>
      <c r="B1003" s="2" t="str">
        <f t="shared" si="32"/>
        <v>Sep-2025</v>
      </c>
      <c r="C1003" s="2" t="str">
        <f t="shared" si="33"/>
        <v>Q2</v>
      </c>
      <c r="D1003" s="2" t="s">
        <v>28</v>
      </c>
      <c r="E1003" s="11" t="s">
        <v>255</v>
      </c>
      <c r="F1003" s="11" t="s">
        <v>15</v>
      </c>
      <c r="G1003" s="11" t="s">
        <v>507</v>
      </c>
      <c r="H1003" s="11" t="s">
        <v>90</v>
      </c>
      <c r="I1003" s="12">
        <v>2</v>
      </c>
      <c r="J1003" s="12">
        <v>240</v>
      </c>
      <c r="K1003" s="12">
        <v>57.46</v>
      </c>
      <c r="L1003" s="12">
        <v>13790.4</v>
      </c>
      <c r="M1003" s="12">
        <v>-1253.55</v>
      </c>
      <c r="N1003" s="12">
        <v>0</v>
      </c>
      <c r="O1003" s="12">
        <v>1629.7910200000001</v>
      </c>
      <c r="P1003" s="12">
        <v>14166.641019999999</v>
      </c>
    </row>
    <row r="1004" spans="1:16" ht="14.5" x14ac:dyDescent="0.25">
      <c r="A1004" s="10">
        <v>45915</v>
      </c>
      <c r="B1004" s="2" t="str">
        <f t="shared" si="32"/>
        <v>Sep-2025</v>
      </c>
      <c r="C1004" s="2" t="str">
        <f t="shared" si="33"/>
        <v>Q2</v>
      </c>
      <c r="D1004" s="2" t="s">
        <v>28</v>
      </c>
      <c r="E1004" s="11" t="s">
        <v>256</v>
      </c>
      <c r="F1004" s="11" t="s">
        <v>83</v>
      </c>
      <c r="G1004" s="11" t="s">
        <v>506</v>
      </c>
      <c r="H1004" s="11" t="s">
        <v>39</v>
      </c>
      <c r="I1004" s="12">
        <v>-1.43</v>
      </c>
      <c r="J1004" s="12">
        <v>-103</v>
      </c>
      <c r="K1004" s="12">
        <v>131.83000000000001</v>
      </c>
      <c r="L1004" s="12">
        <v>-13578.49</v>
      </c>
      <c r="M1004" s="12">
        <v>1234.28</v>
      </c>
      <c r="N1004" s="12">
        <v>0</v>
      </c>
      <c r="O1004" s="12">
        <v>-1604.7477630000001</v>
      </c>
      <c r="P1004" s="12">
        <v>-13948.957763</v>
      </c>
    </row>
    <row r="1005" spans="1:16" ht="14.5" x14ac:dyDescent="0.25">
      <c r="A1005" s="10">
        <v>45915</v>
      </c>
      <c r="B1005" s="2" t="str">
        <f t="shared" si="32"/>
        <v>Sep-2025</v>
      </c>
      <c r="C1005" s="2" t="str">
        <f t="shared" si="33"/>
        <v>Q2</v>
      </c>
      <c r="D1005" s="2" t="s">
        <v>28</v>
      </c>
      <c r="E1005" s="11" t="s">
        <v>256</v>
      </c>
      <c r="F1005" s="11" t="s">
        <v>83</v>
      </c>
      <c r="G1005" s="11" t="s">
        <v>507</v>
      </c>
      <c r="H1005" s="11" t="s">
        <v>60</v>
      </c>
      <c r="I1005" s="12">
        <v>-0.62</v>
      </c>
      <c r="J1005" s="12">
        <v>-37</v>
      </c>
      <c r="K1005" s="12">
        <v>98.03</v>
      </c>
      <c r="L1005" s="12">
        <v>-3627.11</v>
      </c>
      <c r="M1005" s="12">
        <v>329.7</v>
      </c>
      <c r="N1005" s="12">
        <v>0</v>
      </c>
      <c r="O1005" s="12">
        <v>-428.66342400000002</v>
      </c>
      <c r="P1005" s="12">
        <v>-3726.0734240000002</v>
      </c>
    </row>
    <row r="1006" spans="1:16" ht="14.5" x14ac:dyDescent="0.25">
      <c r="A1006" s="10">
        <v>45915</v>
      </c>
      <c r="B1006" s="2" t="str">
        <f t="shared" si="32"/>
        <v>Sep-2025</v>
      </c>
      <c r="C1006" s="2" t="str">
        <f t="shared" si="33"/>
        <v>Q2</v>
      </c>
      <c r="D1006" s="2" t="s">
        <v>28</v>
      </c>
      <c r="E1006" s="11" t="s">
        <v>256</v>
      </c>
      <c r="F1006" s="11" t="s">
        <v>83</v>
      </c>
      <c r="G1006" s="11" t="s">
        <v>503</v>
      </c>
      <c r="H1006" s="11" t="s">
        <v>42</v>
      </c>
      <c r="I1006" s="12">
        <v>-0.53</v>
      </c>
      <c r="J1006" s="12">
        <v>-64</v>
      </c>
      <c r="K1006" s="12">
        <v>141.97</v>
      </c>
      <c r="L1006" s="12">
        <v>-9086.08</v>
      </c>
      <c r="M1006" s="12">
        <v>825.92</v>
      </c>
      <c r="N1006" s="12">
        <v>0</v>
      </c>
      <c r="O1006" s="12">
        <v>-1073.8211100000001</v>
      </c>
      <c r="P1006" s="12">
        <v>-9333.9811100000006</v>
      </c>
    </row>
    <row r="1007" spans="1:16" ht="14.5" x14ac:dyDescent="0.25">
      <c r="A1007" s="10">
        <v>45915</v>
      </c>
      <c r="B1007" s="2" t="str">
        <f t="shared" si="32"/>
        <v>Sep-2025</v>
      </c>
      <c r="C1007" s="2" t="str">
        <f t="shared" si="33"/>
        <v>Q2</v>
      </c>
      <c r="D1007" s="2" t="s">
        <v>28</v>
      </c>
      <c r="E1007" s="11" t="s">
        <v>256</v>
      </c>
      <c r="F1007" s="11" t="s">
        <v>83</v>
      </c>
      <c r="G1007" s="11" t="s">
        <v>503</v>
      </c>
      <c r="H1007" s="11" t="s">
        <v>89</v>
      </c>
      <c r="I1007" s="12">
        <v>-1</v>
      </c>
      <c r="J1007" s="12">
        <v>-120</v>
      </c>
      <c r="K1007" s="12">
        <v>118.31</v>
      </c>
      <c r="L1007" s="12">
        <v>-14197.199999999999</v>
      </c>
      <c r="M1007" s="12">
        <v>1290.53</v>
      </c>
      <c r="N1007" s="12">
        <v>0</v>
      </c>
      <c r="O1007" s="12">
        <v>-1677.8675840000001</v>
      </c>
      <c r="P1007" s="12">
        <v>-14584.537584</v>
      </c>
    </row>
    <row r="1008" spans="1:16" ht="14.5" x14ac:dyDescent="0.25">
      <c r="A1008" s="10">
        <v>45915</v>
      </c>
      <c r="B1008" s="2" t="str">
        <f t="shared" si="32"/>
        <v>Sep-2025</v>
      </c>
      <c r="C1008" s="2" t="str">
        <f t="shared" si="33"/>
        <v>Q2</v>
      </c>
      <c r="D1008" s="2" t="s">
        <v>28</v>
      </c>
      <c r="E1008" s="11" t="s">
        <v>256</v>
      </c>
      <c r="F1008" s="11" t="s">
        <v>83</v>
      </c>
      <c r="G1008" s="11" t="s">
        <v>503</v>
      </c>
      <c r="H1008" s="11" t="s">
        <v>63</v>
      </c>
      <c r="I1008" s="12">
        <v>-0.94</v>
      </c>
      <c r="J1008" s="12">
        <v>-75</v>
      </c>
      <c r="K1008" s="12">
        <v>189.3</v>
      </c>
      <c r="L1008" s="12">
        <v>-14197.5</v>
      </c>
      <c r="M1008" s="12">
        <v>1290.55</v>
      </c>
      <c r="N1008" s="12">
        <v>0</v>
      </c>
      <c r="O1008" s="12">
        <v>-1677.903984</v>
      </c>
      <c r="P1008" s="12">
        <v>-14584.853983999999</v>
      </c>
    </row>
    <row r="1009" spans="1:16" ht="14.5" x14ac:dyDescent="0.25">
      <c r="A1009" s="10">
        <v>45915</v>
      </c>
      <c r="B1009" s="2" t="str">
        <f t="shared" si="32"/>
        <v>Sep-2025</v>
      </c>
      <c r="C1009" s="2" t="str">
        <f t="shared" si="33"/>
        <v>Q2</v>
      </c>
      <c r="D1009" s="2" t="s">
        <v>28</v>
      </c>
      <c r="E1009" s="11" t="s">
        <v>256</v>
      </c>
      <c r="F1009" s="11" t="s">
        <v>83</v>
      </c>
      <c r="G1009" s="11" t="s">
        <v>503</v>
      </c>
      <c r="H1009" s="11" t="s">
        <v>44</v>
      </c>
      <c r="I1009" s="12">
        <v>-1</v>
      </c>
      <c r="J1009" s="12">
        <v>-180</v>
      </c>
      <c r="K1009" s="12">
        <v>155.49</v>
      </c>
      <c r="L1009" s="12">
        <v>-27988.2</v>
      </c>
      <c r="M1009" s="12">
        <v>2544.13</v>
      </c>
      <c r="N1009" s="12">
        <v>0</v>
      </c>
      <c r="O1009" s="12">
        <v>-3307.7300529999998</v>
      </c>
      <c r="P1009" s="12">
        <v>-28751.800052999999</v>
      </c>
    </row>
    <row r="1010" spans="1:16" ht="14.5" x14ac:dyDescent="0.25">
      <c r="A1010" s="10">
        <v>45915</v>
      </c>
      <c r="B1010" s="2" t="str">
        <f t="shared" si="32"/>
        <v>Sep-2025</v>
      </c>
      <c r="C1010" s="2" t="str">
        <f t="shared" si="33"/>
        <v>Q2</v>
      </c>
      <c r="D1010" s="2" t="s">
        <v>28</v>
      </c>
      <c r="E1010" s="11" t="s">
        <v>256</v>
      </c>
      <c r="F1010" s="11" t="s">
        <v>83</v>
      </c>
      <c r="G1010" s="11" t="s">
        <v>506</v>
      </c>
      <c r="H1010" s="11" t="s">
        <v>58</v>
      </c>
      <c r="I1010" s="12">
        <v>-0.75</v>
      </c>
      <c r="J1010" s="12">
        <v>-54</v>
      </c>
      <c r="K1010" s="12">
        <v>148.72999999999999</v>
      </c>
      <c r="L1010" s="12">
        <v>-8031.4199999999992</v>
      </c>
      <c r="M1010" s="12">
        <v>730.06</v>
      </c>
      <c r="N1010" s="12">
        <v>0</v>
      </c>
      <c r="O1010" s="12">
        <v>-949.17707400000006</v>
      </c>
      <c r="P1010" s="12">
        <v>-8250.5370739999998</v>
      </c>
    </row>
    <row r="1011" spans="1:16" ht="14.5" x14ac:dyDescent="0.25">
      <c r="A1011" s="10">
        <v>45915</v>
      </c>
      <c r="B1011" s="2" t="str">
        <f t="shared" si="32"/>
        <v>Sep-2025</v>
      </c>
      <c r="C1011" s="2" t="str">
        <f t="shared" si="33"/>
        <v>Q2</v>
      </c>
      <c r="D1011" s="2" t="s">
        <v>28</v>
      </c>
      <c r="E1011" s="11" t="s">
        <v>256</v>
      </c>
      <c r="F1011" s="11" t="s">
        <v>83</v>
      </c>
      <c r="G1011" s="11" t="s">
        <v>505</v>
      </c>
      <c r="H1011" s="11" t="s">
        <v>50</v>
      </c>
      <c r="I1011" s="12">
        <v>-0.25</v>
      </c>
      <c r="J1011" s="12">
        <v>-20</v>
      </c>
      <c r="K1011" s="12">
        <v>169.01</v>
      </c>
      <c r="L1011" s="12">
        <v>-3380.2</v>
      </c>
      <c r="M1011" s="12">
        <v>307.26</v>
      </c>
      <c r="N1011" s="12">
        <v>0</v>
      </c>
      <c r="O1011" s="12">
        <v>-399.48231500000003</v>
      </c>
      <c r="P1011" s="12">
        <v>-3472.4223149999998</v>
      </c>
    </row>
    <row r="1012" spans="1:16" ht="14.5" x14ac:dyDescent="0.25">
      <c r="A1012" s="10">
        <v>45915</v>
      </c>
      <c r="B1012" s="2" t="str">
        <f t="shared" si="32"/>
        <v>Sep-2025</v>
      </c>
      <c r="C1012" s="2" t="str">
        <f t="shared" si="33"/>
        <v>Q2</v>
      </c>
      <c r="D1012" s="2" t="s">
        <v>28</v>
      </c>
      <c r="E1012" s="11" t="s">
        <v>256</v>
      </c>
      <c r="F1012" s="11" t="s">
        <v>83</v>
      </c>
      <c r="G1012" s="11" t="s">
        <v>506</v>
      </c>
      <c r="H1012" s="11" t="s">
        <v>54</v>
      </c>
      <c r="I1012" s="12">
        <v>-0.9</v>
      </c>
      <c r="J1012" s="12">
        <v>-43</v>
      </c>
      <c r="K1012" s="12">
        <v>310.99</v>
      </c>
      <c r="L1012" s="12">
        <v>-13372.57</v>
      </c>
      <c r="M1012" s="12">
        <v>1215.57</v>
      </c>
      <c r="N1012" s="12">
        <v>0</v>
      </c>
      <c r="O1012" s="12">
        <v>-1580.4104559999998</v>
      </c>
      <c r="P1012" s="12">
        <v>-13737.410456</v>
      </c>
    </row>
    <row r="1013" spans="1:16" ht="14.5" x14ac:dyDescent="0.25">
      <c r="A1013" s="10">
        <v>45915</v>
      </c>
      <c r="B1013" s="2" t="str">
        <f t="shared" si="32"/>
        <v>Sep-2025</v>
      </c>
      <c r="C1013" s="2" t="str">
        <f t="shared" si="33"/>
        <v>Q2</v>
      </c>
      <c r="D1013" s="2" t="s">
        <v>28</v>
      </c>
      <c r="E1013" s="11" t="s">
        <v>256</v>
      </c>
      <c r="F1013" s="11" t="s">
        <v>83</v>
      </c>
      <c r="G1013" s="11" t="s">
        <v>507</v>
      </c>
      <c r="H1013" s="11" t="s">
        <v>90</v>
      </c>
      <c r="I1013" s="12">
        <v>-0.17</v>
      </c>
      <c r="J1013" s="12">
        <v>-20</v>
      </c>
      <c r="K1013" s="12">
        <v>57.46</v>
      </c>
      <c r="L1013" s="12">
        <v>-1149.2</v>
      </c>
      <c r="M1013" s="12">
        <v>104.46</v>
      </c>
      <c r="N1013" s="12">
        <v>0</v>
      </c>
      <c r="O1013" s="12">
        <v>-135.816239</v>
      </c>
      <c r="P1013" s="12">
        <v>-1180.556239</v>
      </c>
    </row>
    <row r="1014" spans="1:16" ht="14.5" x14ac:dyDescent="0.25">
      <c r="A1014" s="10">
        <v>45915</v>
      </c>
      <c r="B1014" s="2" t="str">
        <f t="shared" si="32"/>
        <v>Sep-2025</v>
      </c>
      <c r="C1014" s="2" t="str">
        <f t="shared" si="33"/>
        <v>Q2</v>
      </c>
      <c r="D1014" s="2" t="s">
        <v>28</v>
      </c>
      <c r="E1014" s="11" t="s">
        <v>257</v>
      </c>
      <c r="F1014" s="11" t="s">
        <v>83</v>
      </c>
      <c r="G1014" s="11" t="s">
        <v>503</v>
      </c>
      <c r="H1014" s="11" t="s">
        <v>51</v>
      </c>
      <c r="I1014" s="12">
        <v>-0.72</v>
      </c>
      <c r="J1014" s="12">
        <v>-130</v>
      </c>
      <c r="K1014" s="12">
        <v>64.23</v>
      </c>
      <c r="L1014" s="12">
        <v>-8349.9</v>
      </c>
      <c r="M1014" s="12">
        <v>320.64</v>
      </c>
      <c r="N1014" s="12">
        <v>0</v>
      </c>
      <c r="O1014" s="12">
        <v>-1043.8037770000001</v>
      </c>
      <c r="P1014" s="12">
        <v>-9073.0637769999994</v>
      </c>
    </row>
    <row r="1015" spans="1:16" ht="14.5" x14ac:dyDescent="0.25">
      <c r="A1015" s="10">
        <v>45915</v>
      </c>
      <c r="B1015" s="2" t="str">
        <f t="shared" si="32"/>
        <v>Sep-2025</v>
      </c>
      <c r="C1015" s="2" t="str">
        <f t="shared" si="33"/>
        <v>Q2</v>
      </c>
      <c r="D1015" s="2" t="s">
        <v>28</v>
      </c>
      <c r="E1015" s="11" t="s">
        <v>257</v>
      </c>
      <c r="F1015" s="11" t="s">
        <v>83</v>
      </c>
      <c r="G1015" s="11" t="s">
        <v>503</v>
      </c>
      <c r="H1015" s="11" t="s">
        <v>59</v>
      </c>
      <c r="I1015" s="12">
        <v>-0.24</v>
      </c>
      <c r="J1015" s="12">
        <v>-43</v>
      </c>
      <c r="K1015" s="12">
        <v>64.23</v>
      </c>
      <c r="L1015" s="12">
        <v>-2761.8900000000003</v>
      </c>
      <c r="M1015" s="12">
        <v>106.06</v>
      </c>
      <c r="N1015" s="12">
        <v>0</v>
      </c>
      <c r="O1015" s="12">
        <v>-345.25789199999997</v>
      </c>
      <c r="P1015" s="12">
        <v>-3001.087892</v>
      </c>
    </row>
    <row r="1016" spans="1:16" ht="14.5" x14ac:dyDescent="0.25">
      <c r="A1016" s="10">
        <v>45915</v>
      </c>
      <c r="B1016" s="2" t="str">
        <f t="shared" si="32"/>
        <v>Sep-2025</v>
      </c>
      <c r="C1016" s="2" t="str">
        <f t="shared" si="33"/>
        <v>Q2</v>
      </c>
      <c r="D1016" s="2" t="s">
        <v>28</v>
      </c>
      <c r="E1016" s="11" t="s">
        <v>257</v>
      </c>
      <c r="F1016" s="11" t="s">
        <v>83</v>
      </c>
      <c r="G1016" s="11" t="s">
        <v>503</v>
      </c>
      <c r="H1016" s="11" t="s">
        <v>52</v>
      </c>
      <c r="I1016" s="12">
        <v>-0.75</v>
      </c>
      <c r="J1016" s="12">
        <v>-135</v>
      </c>
      <c r="K1016" s="12">
        <v>70.989999999999995</v>
      </c>
      <c r="L1016" s="12">
        <v>-9583.65</v>
      </c>
      <c r="M1016" s="12">
        <v>368.01</v>
      </c>
      <c r="N1016" s="12">
        <v>0</v>
      </c>
      <c r="O1016" s="12">
        <v>-1198.033173</v>
      </c>
      <c r="P1016" s="12">
        <v>-10413.673172999999</v>
      </c>
    </row>
    <row r="1017" spans="1:16" ht="14.5" x14ac:dyDescent="0.25">
      <c r="A1017" s="10">
        <v>45915</v>
      </c>
      <c r="B1017" s="2" t="str">
        <f t="shared" si="32"/>
        <v>Sep-2025</v>
      </c>
      <c r="C1017" s="2" t="str">
        <f t="shared" si="33"/>
        <v>Q2</v>
      </c>
      <c r="D1017" s="2" t="s">
        <v>28</v>
      </c>
      <c r="E1017" s="11" t="s">
        <v>257</v>
      </c>
      <c r="F1017" s="11" t="s">
        <v>83</v>
      </c>
      <c r="G1017" s="11" t="s">
        <v>505</v>
      </c>
      <c r="H1017" s="11" t="s">
        <v>40</v>
      </c>
      <c r="I1017" s="12">
        <v>-1.56</v>
      </c>
      <c r="J1017" s="12">
        <v>-280</v>
      </c>
      <c r="K1017" s="12">
        <v>94.65</v>
      </c>
      <c r="L1017" s="12">
        <v>-26502</v>
      </c>
      <c r="M1017" s="12">
        <v>1017.68</v>
      </c>
      <c r="N1017" s="12">
        <v>0</v>
      </c>
      <c r="O1017" s="12">
        <v>-3312.961526</v>
      </c>
      <c r="P1017" s="12">
        <v>-28797.281525999999</v>
      </c>
    </row>
    <row r="1018" spans="1:16" ht="14.5" x14ac:dyDescent="0.25">
      <c r="A1018" s="10">
        <v>45915</v>
      </c>
      <c r="B1018" s="2" t="str">
        <f t="shared" si="32"/>
        <v>Sep-2025</v>
      </c>
      <c r="C1018" s="2" t="str">
        <f t="shared" si="33"/>
        <v>Q2</v>
      </c>
      <c r="D1018" s="2" t="s">
        <v>28</v>
      </c>
      <c r="E1018" s="11" t="s">
        <v>257</v>
      </c>
      <c r="F1018" s="11" t="s">
        <v>83</v>
      </c>
      <c r="G1018" s="11" t="s">
        <v>505</v>
      </c>
      <c r="H1018" s="11" t="s">
        <v>55</v>
      </c>
      <c r="I1018" s="12">
        <v>-1.88</v>
      </c>
      <c r="J1018" s="12">
        <v>-225</v>
      </c>
      <c r="K1018" s="12">
        <v>152.11000000000001</v>
      </c>
      <c r="L1018" s="12">
        <v>-34224.75</v>
      </c>
      <c r="M1018" s="12">
        <v>1314.23</v>
      </c>
      <c r="N1018" s="12">
        <v>0</v>
      </c>
      <c r="O1018" s="12">
        <v>-4278.3675039999998</v>
      </c>
      <c r="P1018" s="12">
        <v>-37188.887503999998</v>
      </c>
    </row>
    <row r="1019" spans="1:16" ht="14.5" x14ac:dyDescent="0.25">
      <c r="A1019" s="10">
        <v>45915</v>
      </c>
      <c r="B1019" s="2" t="str">
        <f t="shared" si="32"/>
        <v>Sep-2025</v>
      </c>
      <c r="C1019" s="2" t="str">
        <f t="shared" si="33"/>
        <v>Q2</v>
      </c>
      <c r="D1019" s="2" t="s">
        <v>28</v>
      </c>
      <c r="E1019" s="11" t="s">
        <v>257</v>
      </c>
      <c r="F1019" s="11" t="s">
        <v>83</v>
      </c>
      <c r="G1019" s="11" t="s">
        <v>503</v>
      </c>
      <c r="H1019" s="11" t="s">
        <v>41</v>
      </c>
      <c r="I1019" s="12">
        <v>-0.75</v>
      </c>
      <c r="J1019" s="12">
        <v>-135</v>
      </c>
      <c r="K1019" s="12">
        <v>60.84</v>
      </c>
      <c r="L1019" s="12">
        <v>-8213.4</v>
      </c>
      <c r="M1019" s="12">
        <v>315.39</v>
      </c>
      <c r="N1019" s="12">
        <v>0</v>
      </c>
      <c r="O1019" s="12">
        <v>-1026.7412769999999</v>
      </c>
      <c r="P1019" s="12">
        <v>-8924.7512769999994</v>
      </c>
    </row>
    <row r="1020" spans="1:16" ht="14.5" x14ac:dyDescent="0.25">
      <c r="A1020" s="10">
        <v>45915</v>
      </c>
      <c r="B1020" s="2" t="str">
        <f t="shared" si="32"/>
        <v>Sep-2025</v>
      </c>
      <c r="C1020" s="2" t="str">
        <f t="shared" si="33"/>
        <v>Q2</v>
      </c>
      <c r="D1020" s="2" t="s">
        <v>28</v>
      </c>
      <c r="E1020" s="11" t="s">
        <v>257</v>
      </c>
      <c r="F1020" s="11" t="s">
        <v>83</v>
      </c>
      <c r="G1020" s="11" t="s">
        <v>503</v>
      </c>
      <c r="H1020" s="11" t="s">
        <v>45</v>
      </c>
      <c r="I1020" s="12">
        <v>-0.95</v>
      </c>
      <c r="J1020" s="12">
        <v>-171</v>
      </c>
      <c r="K1020" s="12">
        <v>64.23</v>
      </c>
      <c r="L1020" s="12">
        <v>-10983.33</v>
      </c>
      <c r="M1020" s="12">
        <v>421.76</v>
      </c>
      <c r="N1020" s="12">
        <v>0</v>
      </c>
      <c r="O1020" s="12">
        <v>-1373.0040690000001</v>
      </c>
      <c r="P1020" s="12">
        <v>-11934.574069</v>
      </c>
    </row>
    <row r="1021" spans="1:16" ht="14.5" x14ac:dyDescent="0.25">
      <c r="A1021" s="10">
        <v>45915</v>
      </c>
      <c r="B1021" s="2" t="str">
        <f t="shared" si="32"/>
        <v>Sep-2025</v>
      </c>
      <c r="C1021" s="2" t="str">
        <f t="shared" si="33"/>
        <v>Q2</v>
      </c>
      <c r="D1021" s="2" t="s">
        <v>28</v>
      </c>
      <c r="E1021" s="11" t="s">
        <v>257</v>
      </c>
      <c r="F1021" s="11" t="s">
        <v>83</v>
      </c>
      <c r="G1021" s="11" t="s">
        <v>505</v>
      </c>
      <c r="H1021" s="11" t="s">
        <v>56</v>
      </c>
      <c r="I1021" s="12">
        <v>-0.96</v>
      </c>
      <c r="J1021" s="12">
        <v>-115</v>
      </c>
      <c r="K1021" s="12">
        <v>57.46</v>
      </c>
      <c r="L1021" s="12">
        <v>-6607.9</v>
      </c>
      <c r="M1021" s="12">
        <v>253.74</v>
      </c>
      <c r="N1021" s="12">
        <v>0</v>
      </c>
      <c r="O1021" s="12">
        <v>-826.04078199999992</v>
      </c>
      <c r="P1021" s="12">
        <v>-7180.2007819999999</v>
      </c>
    </row>
    <row r="1022" spans="1:16" ht="14.5" x14ac:dyDescent="0.25">
      <c r="A1022" s="10">
        <v>45916</v>
      </c>
      <c r="B1022" s="2" t="str">
        <f t="shared" si="32"/>
        <v>Sep-2025</v>
      </c>
      <c r="C1022" s="2" t="str">
        <f t="shared" si="33"/>
        <v>Q2</v>
      </c>
      <c r="D1022" s="2" t="s">
        <v>28</v>
      </c>
      <c r="E1022" s="11" t="s">
        <v>258</v>
      </c>
      <c r="F1022" s="11" t="s">
        <v>38</v>
      </c>
      <c r="G1022" s="11" t="s">
        <v>503</v>
      </c>
      <c r="H1022" s="11" t="s">
        <v>47</v>
      </c>
      <c r="I1022" s="12">
        <v>0.02</v>
      </c>
      <c r="J1022" s="12">
        <v>2</v>
      </c>
      <c r="K1022" s="12">
        <v>93.06</v>
      </c>
      <c r="L1022" s="12">
        <v>186.12</v>
      </c>
      <c r="M1022" s="12">
        <v>0</v>
      </c>
      <c r="N1022" s="12">
        <v>0</v>
      </c>
      <c r="O1022" s="12">
        <v>24.194220000000001</v>
      </c>
      <c r="P1022" s="12">
        <v>210.31422000000001</v>
      </c>
    </row>
    <row r="1023" spans="1:16" ht="14.5" x14ac:dyDescent="0.25">
      <c r="A1023" s="10">
        <v>45916</v>
      </c>
      <c r="B1023" s="2" t="str">
        <f t="shared" si="32"/>
        <v>Sep-2025</v>
      </c>
      <c r="C1023" s="2" t="str">
        <f t="shared" si="33"/>
        <v>Q2</v>
      </c>
      <c r="D1023" s="2" t="s">
        <v>28</v>
      </c>
      <c r="E1023" s="11" t="s">
        <v>258</v>
      </c>
      <c r="F1023" s="11" t="s">
        <v>38</v>
      </c>
      <c r="G1023" s="11" t="s">
        <v>503</v>
      </c>
      <c r="H1023" s="11" t="s">
        <v>179</v>
      </c>
      <c r="I1023" s="12">
        <v>0.01</v>
      </c>
      <c r="J1023" s="12">
        <v>2</v>
      </c>
      <c r="K1023" s="12">
        <v>95.72</v>
      </c>
      <c r="L1023" s="12">
        <v>191.44</v>
      </c>
      <c r="M1023" s="12">
        <v>0</v>
      </c>
      <c r="N1023" s="12">
        <v>0</v>
      </c>
      <c r="O1023" s="12">
        <v>24.88578</v>
      </c>
      <c r="P1023" s="12">
        <v>216.32578000000001</v>
      </c>
    </row>
    <row r="1024" spans="1:16" ht="14.5" x14ac:dyDescent="0.25">
      <c r="A1024" s="10">
        <v>45916</v>
      </c>
      <c r="B1024" s="2" t="str">
        <f t="shared" si="32"/>
        <v>Sep-2025</v>
      </c>
      <c r="C1024" s="2" t="str">
        <f t="shared" si="33"/>
        <v>Q2</v>
      </c>
      <c r="D1024" s="2" t="s">
        <v>28</v>
      </c>
      <c r="E1024" s="11" t="s">
        <v>259</v>
      </c>
      <c r="F1024" s="11" t="s">
        <v>260</v>
      </c>
      <c r="G1024" s="11" t="s">
        <v>505</v>
      </c>
      <c r="H1024" s="11" t="s">
        <v>56</v>
      </c>
      <c r="I1024" s="12">
        <v>1</v>
      </c>
      <c r="J1024" s="12">
        <v>120</v>
      </c>
      <c r="K1024" s="12">
        <v>50.7</v>
      </c>
      <c r="L1024" s="12">
        <v>6084</v>
      </c>
      <c r="M1024" s="12">
        <v>-553.04</v>
      </c>
      <c r="N1024" s="12">
        <v>0</v>
      </c>
      <c r="O1024" s="12">
        <v>719.02484399999992</v>
      </c>
      <c r="P1024" s="12">
        <v>6249.9848439999996</v>
      </c>
    </row>
    <row r="1025" spans="1:16" ht="14.5" x14ac:dyDescent="0.25">
      <c r="A1025" s="10">
        <v>45916</v>
      </c>
      <c r="B1025" s="2" t="str">
        <f t="shared" si="32"/>
        <v>Sep-2025</v>
      </c>
      <c r="C1025" s="2" t="str">
        <f t="shared" si="33"/>
        <v>Q2</v>
      </c>
      <c r="D1025" s="2" t="s">
        <v>28</v>
      </c>
      <c r="E1025" s="11" t="s">
        <v>259</v>
      </c>
      <c r="F1025" s="11" t="s">
        <v>260</v>
      </c>
      <c r="G1025" s="11" t="s">
        <v>503</v>
      </c>
      <c r="H1025" s="11" t="s">
        <v>59</v>
      </c>
      <c r="I1025" s="12">
        <v>1</v>
      </c>
      <c r="J1025" s="12">
        <v>180</v>
      </c>
      <c r="K1025" s="12">
        <v>64.23</v>
      </c>
      <c r="L1025" s="12">
        <v>11561.4</v>
      </c>
      <c r="M1025" s="12">
        <v>-1050.9299999999998</v>
      </c>
      <c r="N1025" s="12">
        <v>0</v>
      </c>
      <c r="O1025" s="12">
        <v>1366.3611840000001</v>
      </c>
      <c r="P1025" s="12">
        <v>11876.831184000001</v>
      </c>
    </row>
    <row r="1026" spans="1:16" ht="14.5" x14ac:dyDescent="0.25">
      <c r="A1026" s="10">
        <v>45916</v>
      </c>
      <c r="B1026" s="2" t="str">
        <f t="shared" si="32"/>
        <v>Sep-2025</v>
      </c>
      <c r="C1026" s="2" t="str">
        <f t="shared" si="33"/>
        <v>Q2</v>
      </c>
      <c r="D1026" s="2" t="s">
        <v>28</v>
      </c>
      <c r="E1026" s="11" t="s">
        <v>259</v>
      </c>
      <c r="F1026" s="11" t="s">
        <v>260</v>
      </c>
      <c r="G1026" s="11" t="s">
        <v>503</v>
      </c>
      <c r="H1026" s="11" t="s">
        <v>177</v>
      </c>
      <c r="I1026" s="12">
        <v>1</v>
      </c>
      <c r="J1026" s="12">
        <v>120</v>
      </c>
      <c r="K1026" s="12">
        <v>94.65</v>
      </c>
      <c r="L1026" s="12">
        <v>11358</v>
      </c>
      <c r="M1026" s="12">
        <v>-1032.44</v>
      </c>
      <c r="N1026" s="12">
        <v>0</v>
      </c>
      <c r="O1026" s="12">
        <v>1342.322883</v>
      </c>
      <c r="P1026" s="12">
        <v>11667.882883</v>
      </c>
    </row>
    <row r="1027" spans="1:16" ht="14.5" x14ac:dyDescent="0.25">
      <c r="A1027" s="10">
        <v>45916</v>
      </c>
      <c r="B1027" s="2" t="str">
        <f t="shared" si="32"/>
        <v>Sep-2025</v>
      </c>
      <c r="C1027" s="2" t="str">
        <f t="shared" si="33"/>
        <v>Q2</v>
      </c>
      <c r="D1027" s="2" t="s">
        <v>28</v>
      </c>
      <c r="E1027" s="11" t="s">
        <v>259</v>
      </c>
      <c r="F1027" s="11" t="s">
        <v>260</v>
      </c>
      <c r="G1027" s="11" t="s">
        <v>507</v>
      </c>
      <c r="H1027" s="11" t="s">
        <v>60</v>
      </c>
      <c r="I1027" s="12">
        <v>1</v>
      </c>
      <c r="J1027" s="12">
        <v>60</v>
      </c>
      <c r="K1027" s="12">
        <v>98.03</v>
      </c>
      <c r="L1027" s="12">
        <v>5881.8</v>
      </c>
      <c r="M1027" s="12">
        <v>-534.66</v>
      </c>
      <c r="N1027" s="12">
        <v>0</v>
      </c>
      <c r="O1027" s="12">
        <v>695.128243</v>
      </c>
      <c r="P1027" s="12">
        <v>6042.2682430000004</v>
      </c>
    </row>
    <row r="1028" spans="1:16" ht="14.5" x14ac:dyDescent="0.25">
      <c r="A1028" s="10">
        <v>45916</v>
      </c>
      <c r="B1028" s="2" t="str">
        <f t="shared" si="32"/>
        <v>Sep-2025</v>
      </c>
      <c r="C1028" s="2" t="str">
        <f t="shared" si="33"/>
        <v>Q2</v>
      </c>
      <c r="D1028" s="2" t="s">
        <v>28</v>
      </c>
      <c r="E1028" s="11" t="s">
        <v>259</v>
      </c>
      <c r="F1028" s="11" t="s">
        <v>260</v>
      </c>
      <c r="G1028" s="11" t="s">
        <v>506</v>
      </c>
      <c r="H1028" s="11" t="s">
        <v>54</v>
      </c>
      <c r="I1028" s="12">
        <v>1</v>
      </c>
      <c r="J1028" s="12">
        <v>48</v>
      </c>
      <c r="K1028" s="12">
        <v>310.99</v>
      </c>
      <c r="L1028" s="12">
        <v>14927.519999999999</v>
      </c>
      <c r="M1028" s="12">
        <v>-1356.91</v>
      </c>
      <c r="N1028" s="12">
        <v>0</v>
      </c>
      <c r="O1028" s="12">
        <v>1764.1794090000001</v>
      </c>
      <c r="P1028" s="12">
        <v>15334.789409000001</v>
      </c>
    </row>
    <row r="1029" spans="1:16" ht="14.5" x14ac:dyDescent="0.25">
      <c r="A1029" s="10">
        <v>45916</v>
      </c>
      <c r="B1029" s="2" t="str">
        <f t="shared" si="32"/>
        <v>Sep-2025</v>
      </c>
      <c r="C1029" s="2" t="str">
        <f t="shared" si="33"/>
        <v>Q2</v>
      </c>
      <c r="D1029" s="2" t="s">
        <v>28</v>
      </c>
      <c r="E1029" s="11" t="s">
        <v>259</v>
      </c>
      <c r="F1029" s="11" t="s">
        <v>260</v>
      </c>
      <c r="G1029" s="11" t="s">
        <v>505</v>
      </c>
      <c r="H1029" s="11" t="s">
        <v>55</v>
      </c>
      <c r="I1029" s="12">
        <v>1</v>
      </c>
      <c r="J1029" s="12">
        <v>120</v>
      </c>
      <c r="K1029" s="12">
        <v>152.11000000000001</v>
      </c>
      <c r="L1029" s="12">
        <v>18253.2</v>
      </c>
      <c r="M1029" s="12">
        <v>-1659.2199999999998</v>
      </c>
      <c r="N1029" s="12">
        <v>0</v>
      </c>
      <c r="O1029" s="12">
        <v>2157.217533</v>
      </c>
      <c r="P1029" s="12">
        <v>18751.197532999999</v>
      </c>
    </row>
    <row r="1030" spans="1:16" ht="14.5" x14ac:dyDescent="0.25">
      <c r="A1030" s="10">
        <v>45916</v>
      </c>
      <c r="B1030" s="2" t="str">
        <f t="shared" si="32"/>
        <v>Sep-2025</v>
      </c>
      <c r="C1030" s="2" t="str">
        <f t="shared" si="33"/>
        <v>Q2</v>
      </c>
      <c r="D1030" s="2" t="s">
        <v>28</v>
      </c>
      <c r="E1030" s="11" t="s">
        <v>259</v>
      </c>
      <c r="F1030" s="11" t="s">
        <v>260</v>
      </c>
      <c r="G1030" s="11" t="s">
        <v>506</v>
      </c>
      <c r="H1030" s="11" t="s">
        <v>39</v>
      </c>
      <c r="I1030" s="12">
        <v>1</v>
      </c>
      <c r="J1030" s="12">
        <v>72</v>
      </c>
      <c r="K1030" s="12">
        <v>131.83000000000001</v>
      </c>
      <c r="L1030" s="12">
        <v>9491.76</v>
      </c>
      <c r="M1030" s="12">
        <v>-862.8</v>
      </c>
      <c r="N1030" s="12">
        <v>0</v>
      </c>
      <c r="O1030" s="12">
        <v>1121.7648690000001</v>
      </c>
      <c r="P1030" s="12">
        <v>9750.7248689999997</v>
      </c>
    </row>
    <row r="1031" spans="1:16" ht="14.5" x14ac:dyDescent="0.25">
      <c r="A1031" s="10">
        <v>45916</v>
      </c>
      <c r="B1031" s="2" t="str">
        <f t="shared" si="32"/>
        <v>Sep-2025</v>
      </c>
      <c r="C1031" s="2" t="str">
        <f t="shared" si="33"/>
        <v>Q2</v>
      </c>
      <c r="D1031" s="2" t="s">
        <v>28</v>
      </c>
      <c r="E1031" s="11" t="s">
        <v>259</v>
      </c>
      <c r="F1031" s="11" t="s">
        <v>260</v>
      </c>
      <c r="G1031" s="11" t="s">
        <v>503</v>
      </c>
      <c r="H1031" s="11" t="s">
        <v>51</v>
      </c>
      <c r="I1031" s="12">
        <v>1</v>
      </c>
      <c r="J1031" s="12">
        <v>180</v>
      </c>
      <c r="K1031" s="12">
        <v>64.23</v>
      </c>
      <c r="L1031" s="12">
        <v>11561.4</v>
      </c>
      <c r="M1031" s="12">
        <v>-1050.9299999999998</v>
      </c>
      <c r="N1031" s="12">
        <v>0</v>
      </c>
      <c r="O1031" s="12">
        <v>1366.3611840000001</v>
      </c>
      <c r="P1031" s="12">
        <v>11876.831184000001</v>
      </c>
    </row>
    <row r="1032" spans="1:16" ht="14.5" x14ac:dyDescent="0.25">
      <c r="A1032" s="10">
        <v>45916</v>
      </c>
      <c r="B1032" s="2" t="str">
        <f t="shared" si="32"/>
        <v>Sep-2025</v>
      </c>
      <c r="C1032" s="2" t="str">
        <f t="shared" si="33"/>
        <v>Q2</v>
      </c>
      <c r="D1032" s="2" t="s">
        <v>28</v>
      </c>
      <c r="E1032" s="11" t="s">
        <v>259</v>
      </c>
      <c r="F1032" s="11" t="s">
        <v>260</v>
      </c>
      <c r="G1032" s="11" t="s">
        <v>505</v>
      </c>
      <c r="H1032" s="11" t="s">
        <v>40</v>
      </c>
      <c r="I1032" s="12">
        <v>1</v>
      </c>
      <c r="J1032" s="12">
        <v>180</v>
      </c>
      <c r="K1032" s="12">
        <v>94.65</v>
      </c>
      <c r="L1032" s="12">
        <v>17037</v>
      </c>
      <c r="M1032" s="12">
        <v>-1548.6599999999999</v>
      </c>
      <c r="N1032" s="12">
        <v>0</v>
      </c>
      <c r="O1032" s="12">
        <v>2013.484324</v>
      </c>
      <c r="P1032" s="12">
        <v>17501.824324000001</v>
      </c>
    </row>
    <row r="1033" spans="1:16" ht="14.5" x14ac:dyDescent="0.25">
      <c r="A1033" s="10">
        <v>45916</v>
      </c>
      <c r="B1033" s="2" t="str">
        <f t="shared" si="32"/>
        <v>Sep-2025</v>
      </c>
      <c r="C1033" s="2" t="str">
        <f t="shared" si="33"/>
        <v>Q2</v>
      </c>
      <c r="D1033" s="2" t="s">
        <v>28</v>
      </c>
      <c r="E1033" s="11" t="s">
        <v>259</v>
      </c>
      <c r="F1033" s="11" t="s">
        <v>260</v>
      </c>
      <c r="G1033" s="11" t="s">
        <v>503</v>
      </c>
      <c r="H1033" s="11" t="s">
        <v>190</v>
      </c>
      <c r="I1033" s="12">
        <v>1</v>
      </c>
      <c r="J1033" s="12">
        <v>180</v>
      </c>
      <c r="K1033" s="12">
        <v>81.14</v>
      </c>
      <c r="L1033" s="12">
        <v>14605.199999999999</v>
      </c>
      <c r="M1033" s="12">
        <v>-1327.61</v>
      </c>
      <c r="N1033" s="12">
        <v>0</v>
      </c>
      <c r="O1033" s="12">
        <v>1726.0868069999999</v>
      </c>
      <c r="P1033" s="12">
        <v>15003.676807</v>
      </c>
    </row>
    <row r="1034" spans="1:16" ht="14.5" x14ac:dyDescent="0.25">
      <c r="A1034" s="10">
        <v>45916</v>
      </c>
      <c r="B1034" s="2" t="str">
        <f t="shared" si="32"/>
        <v>Sep-2025</v>
      </c>
      <c r="C1034" s="2" t="str">
        <f t="shared" si="33"/>
        <v>Q2</v>
      </c>
      <c r="D1034" s="2" t="s">
        <v>28</v>
      </c>
      <c r="E1034" s="11" t="s">
        <v>259</v>
      </c>
      <c r="F1034" s="11" t="s">
        <v>260</v>
      </c>
      <c r="G1034" s="11" t="s">
        <v>503</v>
      </c>
      <c r="H1034" s="11" t="s">
        <v>42</v>
      </c>
      <c r="I1034" s="12">
        <v>1</v>
      </c>
      <c r="J1034" s="12">
        <v>120</v>
      </c>
      <c r="K1034" s="12">
        <v>141.97</v>
      </c>
      <c r="L1034" s="12">
        <v>17036.400000000001</v>
      </c>
      <c r="M1034" s="12">
        <v>-1548.61</v>
      </c>
      <c r="N1034" s="12">
        <v>0</v>
      </c>
      <c r="O1034" s="12">
        <v>2013.412824</v>
      </c>
      <c r="P1034" s="12">
        <v>17501.202824</v>
      </c>
    </row>
    <row r="1035" spans="1:16" ht="14.5" x14ac:dyDescent="0.25">
      <c r="A1035" s="10">
        <v>45916</v>
      </c>
      <c r="B1035" s="2" t="str">
        <f t="shared" si="32"/>
        <v>Sep-2025</v>
      </c>
      <c r="C1035" s="2" t="str">
        <f t="shared" si="33"/>
        <v>Q2</v>
      </c>
      <c r="D1035" s="2" t="s">
        <v>28</v>
      </c>
      <c r="E1035" s="11" t="s">
        <v>259</v>
      </c>
      <c r="F1035" s="11" t="s">
        <v>260</v>
      </c>
      <c r="G1035" s="11" t="s">
        <v>503</v>
      </c>
      <c r="H1035" s="11" t="s">
        <v>52</v>
      </c>
      <c r="I1035" s="12">
        <v>1</v>
      </c>
      <c r="J1035" s="12">
        <v>180</v>
      </c>
      <c r="K1035" s="12">
        <v>70.989999999999995</v>
      </c>
      <c r="L1035" s="12">
        <v>12778.2</v>
      </c>
      <c r="M1035" s="12">
        <v>-1161.54</v>
      </c>
      <c r="N1035" s="12">
        <v>0</v>
      </c>
      <c r="O1035" s="12">
        <v>1510.1658929999999</v>
      </c>
      <c r="P1035" s="12">
        <v>13126.825892999999</v>
      </c>
    </row>
    <row r="1036" spans="1:16" ht="14.5" x14ac:dyDescent="0.25">
      <c r="A1036" s="10">
        <v>45916</v>
      </c>
      <c r="B1036" s="2" t="str">
        <f t="shared" si="32"/>
        <v>Sep-2025</v>
      </c>
      <c r="C1036" s="2" t="str">
        <f t="shared" si="33"/>
        <v>Q2</v>
      </c>
      <c r="D1036" s="2" t="s">
        <v>28</v>
      </c>
      <c r="E1036" s="11" t="s">
        <v>261</v>
      </c>
      <c r="F1036" s="11" t="s">
        <v>260</v>
      </c>
      <c r="G1036" s="11" t="s">
        <v>503</v>
      </c>
      <c r="H1036" s="11" t="s">
        <v>41</v>
      </c>
      <c r="I1036" s="12">
        <v>1</v>
      </c>
      <c r="J1036" s="12">
        <v>180</v>
      </c>
      <c r="K1036" s="12">
        <v>60.84</v>
      </c>
      <c r="L1036" s="12">
        <v>10951.199999999999</v>
      </c>
      <c r="M1036" s="12">
        <v>-995.46</v>
      </c>
      <c r="N1036" s="12">
        <v>0</v>
      </c>
      <c r="O1036" s="12">
        <v>1294.2465179999999</v>
      </c>
      <c r="P1036" s="12">
        <v>11249.986518</v>
      </c>
    </row>
    <row r="1037" spans="1:16" ht="14.5" x14ac:dyDescent="0.25">
      <c r="A1037" s="10">
        <v>45916</v>
      </c>
      <c r="B1037" s="2" t="str">
        <f t="shared" si="32"/>
        <v>Sep-2025</v>
      </c>
      <c r="C1037" s="2" t="str">
        <f t="shared" si="33"/>
        <v>Q2</v>
      </c>
      <c r="D1037" s="2" t="s">
        <v>28</v>
      </c>
      <c r="E1037" s="11" t="s">
        <v>261</v>
      </c>
      <c r="F1037" s="11" t="s">
        <v>260</v>
      </c>
      <c r="G1037" s="11" t="s">
        <v>503</v>
      </c>
      <c r="H1037" s="11" t="s">
        <v>166</v>
      </c>
      <c r="I1037" s="12">
        <v>1</v>
      </c>
      <c r="J1037" s="12">
        <v>120</v>
      </c>
      <c r="K1037" s="12">
        <v>64.23</v>
      </c>
      <c r="L1037" s="12">
        <v>7707.5999999999995</v>
      </c>
      <c r="M1037" s="12">
        <v>-700.62</v>
      </c>
      <c r="N1037" s="12">
        <v>0</v>
      </c>
      <c r="O1037" s="12">
        <v>910.90762399999994</v>
      </c>
      <c r="P1037" s="12">
        <v>7917.887624</v>
      </c>
    </row>
    <row r="1038" spans="1:16" ht="14.5" x14ac:dyDescent="0.25">
      <c r="A1038" s="10">
        <v>45916</v>
      </c>
      <c r="B1038" s="2" t="str">
        <f t="shared" si="32"/>
        <v>Sep-2025</v>
      </c>
      <c r="C1038" s="2" t="str">
        <f t="shared" si="33"/>
        <v>Q2</v>
      </c>
      <c r="D1038" s="2" t="s">
        <v>28</v>
      </c>
      <c r="E1038" s="11" t="s">
        <v>261</v>
      </c>
      <c r="F1038" s="11" t="s">
        <v>260</v>
      </c>
      <c r="G1038" s="11" t="s">
        <v>506</v>
      </c>
      <c r="H1038" s="11" t="s">
        <v>58</v>
      </c>
      <c r="I1038" s="12">
        <v>1</v>
      </c>
      <c r="J1038" s="12">
        <v>72</v>
      </c>
      <c r="K1038" s="12">
        <v>148.72999999999999</v>
      </c>
      <c r="L1038" s="12">
        <v>10708.74</v>
      </c>
      <c r="M1038" s="12">
        <v>-973.42</v>
      </c>
      <c r="N1038" s="12">
        <v>0</v>
      </c>
      <c r="O1038" s="12">
        <v>1265.591911</v>
      </c>
      <c r="P1038" s="12">
        <v>11000.911910999999</v>
      </c>
    </row>
    <row r="1039" spans="1:16" ht="14.5" x14ac:dyDescent="0.25">
      <c r="A1039" s="10">
        <v>45916</v>
      </c>
      <c r="B1039" s="2" t="str">
        <f t="shared" si="32"/>
        <v>Sep-2025</v>
      </c>
      <c r="C1039" s="2" t="str">
        <f t="shared" si="33"/>
        <v>Q2</v>
      </c>
      <c r="D1039" s="2" t="s">
        <v>28</v>
      </c>
      <c r="E1039" s="11" t="s">
        <v>261</v>
      </c>
      <c r="F1039" s="11" t="s">
        <v>260</v>
      </c>
      <c r="G1039" s="11" t="s">
        <v>507</v>
      </c>
      <c r="H1039" s="11" t="s">
        <v>90</v>
      </c>
      <c r="I1039" s="12">
        <v>1</v>
      </c>
      <c r="J1039" s="12">
        <v>120</v>
      </c>
      <c r="K1039" s="12">
        <v>57.46</v>
      </c>
      <c r="L1039" s="12">
        <v>6895.2</v>
      </c>
      <c r="M1039" s="12">
        <v>-626.77</v>
      </c>
      <c r="N1039" s="12">
        <v>0</v>
      </c>
      <c r="O1039" s="12">
        <v>814.89609999999993</v>
      </c>
      <c r="P1039" s="12">
        <v>7083.3261000000002</v>
      </c>
    </row>
    <row r="1040" spans="1:16" ht="14.5" x14ac:dyDescent="0.25">
      <c r="A1040" s="10">
        <v>45916</v>
      </c>
      <c r="B1040" s="2" t="str">
        <f t="shared" si="32"/>
        <v>Sep-2025</v>
      </c>
      <c r="C1040" s="2" t="str">
        <f t="shared" si="33"/>
        <v>Q2</v>
      </c>
      <c r="D1040" s="2" t="s">
        <v>28</v>
      </c>
      <c r="E1040" s="11" t="s">
        <v>261</v>
      </c>
      <c r="F1040" s="11" t="s">
        <v>260</v>
      </c>
      <c r="G1040" s="11" t="s">
        <v>503</v>
      </c>
      <c r="H1040" s="11" t="s">
        <v>45</v>
      </c>
      <c r="I1040" s="12">
        <v>1</v>
      </c>
      <c r="J1040" s="12">
        <v>180</v>
      </c>
      <c r="K1040" s="12">
        <v>64.23</v>
      </c>
      <c r="L1040" s="12">
        <v>11561.4</v>
      </c>
      <c r="M1040" s="12">
        <v>-1050.9299999999998</v>
      </c>
      <c r="N1040" s="12">
        <v>0</v>
      </c>
      <c r="O1040" s="12">
        <v>1366.3614359999999</v>
      </c>
      <c r="P1040" s="12">
        <v>11876.831436</v>
      </c>
    </row>
    <row r="1041" spans="1:16" ht="14.5" x14ac:dyDescent="0.25">
      <c r="A1041" s="10">
        <v>45916</v>
      </c>
      <c r="B1041" s="2" t="str">
        <f t="shared" si="32"/>
        <v>Sep-2025</v>
      </c>
      <c r="C1041" s="2" t="str">
        <f t="shared" si="33"/>
        <v>Q2</v>
      </c>
      <c r="D1041" s="2" t="s">
        <v>28</v>
      </c>
      <c r="E1041" s="11" t="s">
        <v>261</v>
      </c>
      <c r="F1041" s="11" t="s">
        <v>260</v>
      </c>
      <c r="G1041" s="11" t="s">
        <v>503</v>
      </c>
      <c r="H1041" s="11" t="s">
        <v>172</v>
      </c>
      <c r="I1041" s="12">
        <v>1</v>
      </c>
      <c r="J1041" s="12">
        <v>180</v>
      </c>
      <c r="K1041" s="12">
        <v>98.03</v>
      </c>
      <c r="L1041" s="12">
        <v>17645.400000000001</v>
      </c>
      <c r="M1041" s="12">
        <v>-1603.97</v>
      </c>
      <c r="N1041" s="12">
        <v>0</v>
      </c>
      <c r="O1041" s="12">
        <v>2085.3864120000003</v>
      </c>
      <c r="P1041" s="12">
        <v>18126.816412</v>
      </c>
    </row>
    <row r="1042" spans="1:16" ht="14.5" x14ac:dyDescent="0.25">
      <c r="A1042" s="10">
        <v>45916</v>
      </c>
      <c r="B1042" s="2" t="str">
        <f t="shared" si="32"/>
        <v>Sep-2025</v>
      </c>
      <c r="C1042" s="2" t="str">
        <f t="shared" si="33"/>
        <v>Q2</v>
      </c>
      <c r="D1042" s="2" t="s">
        <v>28</v>
      </c>
      <c r="E1042" s="11" t="s">
        <v>262</v>
      </c>
      <c r="F1042" s="11" t="s">
        <v>19</v>
      </c>
      <c r="G1042" s="11" t="s">
        <v>505</v>
      </c>
      <c r="H1042" s="11" t="s">
        <v>40</v>
      </c>
      <c r="I1042" s="12">
        <v>1</v>
      </c>
      <c r="J1042" s="12">
        <v>180</v>
      </c>
      <c r="K1042" s="12">
        <v>94.65</v>
      </c>
      <c r="L1042" s="12">
        <v>17037</v>
      </c>
      <c r="M1042" s="12">
        <v>-1548.6599999999999</v>
      </c>
      <c r="N1042" s="12">
        <v>0</v>
      </c>
      <c r="O1042" s="12">
        <v>2013.4845889999999</v>
      </c>
      <c r="P1042" s="12">
        <v>17501.824589</v>
      </c>
    </row>
    <row r="1043" spans="1:16" ht="14.5" x14ac:dyDescent="0.25">
      <c r="A1043" s="10">
        <v>45916</v>
      </c>
      <c r="B1043" s="2" t="str">
        <f t="shared" si="32"/>
        <v>Sep-2025</v>
      </c>
      <c r="C1043" s="2" t="str">
        <f t="shared" si="33"/>
        <v>Q2</v>
      </c>
      <c r="D1043" s="2" t="s">
        <v>28</v>
      </c>
      <c r="E1043" s="11" t="s">
        <v>262</v>
      </c>
      <c r="F1043" s="11" t="s">
        <v>19</v>
      </c>
      <c r="G1043" s="11" t="s">
        <v>506</v>
      </c>
      <c r="H1043" s="11" t="s">
        <v>39</v>
      </c>
      <c r="I1043" s="12">
        <v>1</v>
      </c>
      <c r="J1043" s="12">
        <v>72</v>
      </c>
      <c r="K1043" s="12">
        <v>131.83000000000001</v>
      </c>
      <c r="L1043" s="12">
        <v>9491.76</v>
      </c>
      <c r="M1043" s="12">
        <v>-862.8</v>
      </c>
      <c r="N1043" s="12">
        <v>0</v>
      </c>
      <c r="O1043" s="12">
        <v>1121.7650169999999</v>
      </c>
      <c r="P1043" s="12">
        <v>9750.7250170000007</v>
      </c>
    </row>
    <row r="1044" spans="1:16" ht="14.5" x14ac:dyDescent="0.25">
      <c r="A1044" s="10">
        <v>45916</v>
      </c>
      <c r="B1044" s="2" t="str">
        <f t="shared" si="32"/>
        <v>Sep-2025</v>
      </c>
      <c r="C1044" s="2" t="str">
        <f t="shared" si="33"/>
        <v>Q2</v>
      </c>
      <c r="D1044" s="2" t="s">
        <v>28</v>
      </c>
      <c r="E1044" s="11" t="s">
        <v>262</v>
      </c>
      <c r="F1044" s="11" t="s">
        <v>19</v>
      </c>
      <c r="G1044" s="11" t="s">
        <v>503</v>
      </c>
      <c r="H1044" s="11" t="s">
        <v>51</v>
      </c>
      <c r="I1044" s="12">
        <v>1</v>
      </c>
      <c r="J1044" s="12">
        <v>180</v>
      </c>
      <c r="K1044" s="12">
        <v>64.23</v>
      </c>
      <c r="L1044" s="12">
        <v>11561.4</v>
      </c>
      <c r="M1044" s="12">
        <v>-1050.9299999999998</v>
      </c>
      <c r="N1044" s="12">
        <v>0</v>
      </c>
      <c r="O1044" s="12">
        <v>1366.3613639999999</v>
      </c>
      <c r="P1044" s="12">
        <v>11876.831364</v>
      </c>
    </row>
    <row r="1045" spans="1:16" ht="14.5" x14ac:dyDescent="0.25">
      <c r="A1045" s="10">
        <v>45916</v>
      </c>
      <c r="B1045" s="2" t="str">
        <f t="shared" si="32"/>
        <v>Sep-2025</v>
      </c>
      <c r="C1045" s="2" t="str">
        <f t="shared" si="33"/>
        <v>Q2</v>
      </c>
      <c r="D1045" s="2" t="s">
        <v>28</v>
      </c>
      <c r="E1045" s="11" t="s">
        <v>262</v>
      </c>
      <c r="F1045" s="11" t="s">
        <v>19</v>
      </c>
      <c r="G1045" s="11" t="s">
        <v>503</v>
      </c>
      <c r="H1045" s="11" t="s">
        <v>177</v>
      </c>
      <c r="I1045" s="12">
        <v>1</v>
      </c>
      <c r="J1045" s="12">
        <v>120</v>
      </c>
      <c r="K1045" s="12">
        <v>94.65</v>
      </c>
      <c r="L1045" s="12">
        <v>11358</v>
      </c>
      <c r="M1045" s="12">
        <v>-1032.44</v>
      </c>
      <c r="N1045" s="12">
        <v>0</v>
      </c>
      <c r="O1045" s="12">
        <v>1342.3230590000001</v>
      </c>
      <c r="P1045" s="12">
        <v>11667.883059</v>
      </c>
    </row>
    <row r="1046" spans="1:16" ht="14.5" x14ac:dyDescent="0.25">
      <c r="A1046" s="10">
        <v>45916</v>
      </c>
      <c r="B1046" s="2" t="str">
        <f t="shared" si="32"/>
        <v>Sep-2025</v>
      </c>
      <c r="C1046" s="2" t="str">
        <f t="shared" si="33"/>
        <v>Q2</v>
      </c>
      <c r="D1046" s="2" t="s">
        <v>28</v>
      </c>
      <c r="E1046" s="11" t="s">
        <v>262</v>
      </c>
      <c r="F1046" s="11" t="s">
        <v>19</v>
      </c>
      <c r="G1046" s="11" t="s">
        <v>507</v>
      </c>
      <c r="H1046" s="11" t="s">
        <v>60</v>
      </c>
      <c r="I1046" s="12">
        <v>1</v>
      </c>
      <c r="J1046" s="12">
        <v>60</v>
      </c>
      <c r="K1046" s="12">
        <v>98.03</v>
      </c>
      <c r="L1046" s="12">
        <v>5881.8</v>
      </c>
      <c r="M1046" s="12">
        <v>-534.66</v>
      </c>
      <c r="N1046" s="12">
        <v>0</v>
      </c>
      <c r="O1046" s="12">
        <v>695.128334</v>
      </c>
      <c r="P1046" s="12">
        <v>6042.2683340000003</v>
      </c>
    </row>
    <row r="1047" spans="1:16" ht="14.5" x14ac:dyDescent="0.25">
      <c r="A1047" s="10">
        <v>45916</v>
      </c>
      <c r="B1047" s="2" t="str">
        <f t="shared" si="32"/>
        <v>Sep-2025</v>
      </c>
      <c r="C1047" s="2" t="str">
        <f t="shared" si="33"/>
        <v>Q2</v>
      </c>
      <c r="D1047" s="2" t="s">
        <v>28</v>
      </c>
      <c r="E1047" s="11" t="s">
        <v>262</v>
      </c>
      <c r="F1047" s="11" t="s">
        <v>19</v>
      </c>
      <c r="G1047" s="11" t="s">
        <v>503</v>
      </c>
      <c r="H1047" s="11" t="s">
        <v>52</v>
      </c>
      <c r="I1047" s="12">
        <v>1</v>
      </c>
      <c r="J1047" s="12">
        <v>180</v>
      </c>
      <c r="K1047" s="12">
        <v>70.989999999999995</v>
      </c>
      <c r="L1047" s="12">
        <v>12778.2</v>
      </c>
      <c r="M1047" s="12">
        <v>-1161.54</v>
      </c>
      <c r="N1047" s="12">
        <v>0</v>
      </c>
      <c r="O1047" s="12">
        <v>1510.1660919999999</v>
      </c>
      <c r="P1047" s="12">
        <v>13126.826091999999</v>
      </c>
    </row>
    <row r="1048" spans="1:16" ht="14.5" x14ac:dyDescent="0.25">
      <c r="A1048" s="10">
        <v>45916</v>
      </c>
      <c r="B1048" s="2" t="str">
        <f t="shared" si="32"/>
        <v>Sep-2025</v>
      </c>
      <c r="C1048" s="2" t="str">
        <f t="shared" si="33"/>
        <v>Q2</v>
      </c>
      <c r="D1048" s="2" t="s">
        <v>28</v>
      </c>
      <c r="E1048" s="11" t="s">
        <v>262</v>
      </c>
      <c r="F1048" s="11" t="s">
        <v>19</v>
      </c>
      <c r="G1048" s="11" t="s">
        <v>503</v>
      </c>
      <c r="H1048" s="11" t="s">
        <v>45</v>
      </c>
      <c r="I1048" s="12">
        <v>1</v>
      </c>
      <c r="J1048" s="12">
        <v>180</v>
      </c>
      <c r="K1048" s="12">
        <v>64.23</v>
      </c>
      <c r="L1048" s="12">
        <v>11561.4</v>
      </c>
      <c r="M1048" s="12">
        <v>-1050.9299999999998</v>
      </c>
      <c r="N1048" s="12">
        <v>0</v>
      </c>
      <c r="O1048" s="12">
        <v>1366.3613639999999</v>
      </c>
      <c r="P1048" s="12">
        <v>11876.831364</v>
      </c>
    </row>
    <row r="1049" spans="1:16" ht="14.5" x14ac:dyDescent="0.25">
      <c r="A1049" s="10">
        <v>45916</v>
      </c>
      <c r="B1049" s="2" t="str">
        <f t="shared" si="32"/>
        <v>Sep-2025</v>
      </c>
      <c r="C1049" s="2" t="str">
        <f t="shared" si="33"/>
        <v>Q2</v>
      </c>
      <c r="D1049" s="2" t="s">
        <v>28</v>
      </c>
      <c r="E1049" s="11" t="s">
        <v>262</v>
      </c>
      <c r="F1049" s="11" t="s">
        <v>19</v>
      </c>
      <c r="G1049" s="11" t="s">
        <v>506</v>
      </c>
      <c r="H1049" s="11" t="s">
        <v>58</v>
      </c>
      <c r="I1049" s="12">
        <v>1</v>
      </c>
      <c r="J1049" s="12">
        <v>72</v>
      </c>
      <c r="K1049" s="12">
        <v>148.74</v>
      </c>
      <c r="L1049" s="12">
        <v>10709.279999999999</v>
      </c>
      <c r="M1049" s="12">
        <v>-973.47</v>
      </c>
      <c r="N1049" s="12">
        <v>0</v>
      </c>
      <c r="O1049" s="12">
        <v>1265.655544</v>
      </c>
      <c r="P1049" s="12">
        <v>11001.465544000001</v>
      </c>
    </row>
    <row r="1050" spans="1:16" ht="14.5" x14ac:dyDescent="0.25">
      <c r="A1050" s="10">
        <v>45916</v>
      </c>
      <c r="B1050" s="2" t="str">
        <f t="shared" si="32"/>
        <v>Sep-2025</v>
      </c>
      <c r="C1050" s="2" t="str">
        <f t="shared" si="33"/>
        <v>Q2</v>
      </c>
      <c r="D1050" s="2" t="s">
        <v>28</v>
      </c>
      <c r="E1050" s="11" t="s">
        <v>262</v>
      </c>
      <c r="F1050" s="11" t="s">
        <v>19</v>
      </c>
      <c r="G1050" s="11" t="s">
        <v>503</v>
      </c>
      <c r="H1050" s="11" t="s">
        <v>166</v>
      </c>
      <c r="I1050" s="12">
        <v>1</v>
      </c>
      <c r="J1050" s="12">
        <v>120</v>
      </c>
      <c r="K1050" s="12">
        <v>64.23</v>
      </c>
      <c r="L1050" s="12">
        <v>7707.5999999999995</v>
      </c>
      <c r="M1050" s="12">
        <v>-700.62</v>
      </c>
      <c r="N1050" s="12">
        <v>0</v>
      </c>
      <c r="O1050" s="12">
        <v>910.90757600000006</v>
      </c>
      <c r="P1050" s="12">
        <v>7917.8875760000001</v>
      </c>
    </row>
    <row r="1051" spans="1:16" ht="14.5" x14ac:dyDescent="0.25">
      <c r="A1051" s="10">
        <v>45916</v>
      </c>
      <c r="B1051" s="2" t="str">
        <f t="shared" si="32"/>
        <v>Sep-2025</v>
      </c>
      <c r="C1051" s="2" t="str">
        <f t="shared" si="33"/>
        <v>Q2</v>
      </c>
      <c r="D1051" s="2" t="s">
        <v>28</v>
      </c>
      <c r="E1051" s="11" t="s">
        <v>262</v>
      </c>
      <c r="F1051" s="11" t="s">
        <v>19</v>
      </c>
      <c r="G1051" s="11" t="s">
        <v>507</v>
      </c>
      <c r="H1051" s="11" t="s">
        <v>90</v>
      </c>
      <c r="I1051" s="12">
        <v>1</v>
      </c>
      <c r="J1051" s="12">
        <v>120</v>
      </c>
      <c r="K1051" s="12">
        <v>57.46</v>
      </c>
      <c r="L1051" s="12">
        <v>6895.2</v>
      </c>
      <c r="M1051" s="12">
        <v>-626.77</v>
      </c>
      <c r="N1051" s="12">
        <v>0</v>
      </c>
      <c r="O1051" s="12">
        <v>814.89605699999993</v>
      </c>
      <c r="P1051" s="12">
        <v>7083.3260570000002</v>
      </c>
    </row>
    <row r="1052" spans="1:16" ht="14.5" x14ac:dyDescent="0.25">
      <c r="A1052" s="10">
        <v>45916</v>
      </c>
      <c r="B1052" s="2" t="str">
        <f t="shared" si="32"/>
        <v>Sep-2025</v>
      </c>
      <c r="C1052" s="2" t="str">
        <f t="shared" si="33"/>
        <v>Q2</v>
      </c>
      <c r="D1052" s="2" t="s">
        <v>28</v>
      </c>
      <c r="E1052" s="11" t="s">
        <v>262</v>
      </c>
      <c r="F1052" s="11" t="s">
        <v>19</v>
      </c>
      <c r="G1052" s="11" t="s">
        <v>506</v>
      </c>
      <c r="H1052" s="11" t="s">
        <v>54</v>
      </c>
      <c r="I1052" s="12">
        <v>1</v>
      </c>
      <c r="J1052" s="12">
        <v>48</v>
      </c>
      <c r="K1052" s="12">
        <v>310.99</v>
      </c>
      <c r="L1052" s="12">
        <v>14927.519999999999</v>
      </c>
      <c r="M1052" s="12">
        <v>-1356.91</v>
      </c>
      <c r="N1052" s="12">
        <v>0</v>
      </c>
      <c r="O1052" s="12">
        <v>1764.1796409999999</v>
      </c>
      <c r="P1052" s="12">
        <v>15334.789640999999</v>
      </c>
    </row>
    <row r="1053" spans="1:16" ht="14.5" x14ac:dyDescent="0.25">
      <c r="A1053" s="10">
        <v>45916</v>
      </c>
      <c r="B1053" s="2" t="str">
        <f t="shared" si="32"/>
        <v>Sep-2025</v>
      </c>
      <c r="C1053" s="2" t="str">
        <f t="shared" si="33"/>
        <v>Q2</v>
      </c>
      <c r="D1053" s="2" t="s">
        <v>28</v>
      </c>
      <c r="E1053" s="11" t="s">
        <v>262</v>
      </c>
      <c r="F1053" s="11" t="s">
        <v>19</v>
      </c>
      <c r="G1053" s="11" t="s">
        <v>503</v>
      </c>
      <c r="H1053" s="11" t="s">
        <v>59</v>
      </c>
      <c r="I1053" s="12">
        <v>1</v>
      </c>
      <c r="J1053" s="12">
        <v>180</v>
      </c>
      <c r="K1053" s="12">
        <v>64.23</v>
      </c>
      <c r="L1053" s="12">
        <v>11561.4</v>
      </c>
      <c r="M1053" s="12">
        <v>-1050.9299999999998</v>
      </c>
      <c r="N1053" s="12">
        <v>0</v>
      </c>
      <c r="O1053" s="12">
        <v>1366.3613639999999</v>
      </c>
      <c r="P1053" s="12">
        <v>11876.831364</v>
      </c>
    </row>
    <row r="1054" spans="1:16" ht="14.5" x14ac:dyDescent="0.25">
      <c r="A1054" s="10">
        <v>45916</v>
      </c>
      <c r="B1054" s="2" t="str">
        <f t="shared" si="32"/>
        <v>Sep-2025</v>
      </c>
      <c r="C1054" s="2" t="str">
        <f t="shared" si="33"/>
        <v>Q2</v>
      </c>
      <c r="D1054" s="2" t="s">
        <v>28</v>
      </c>
      <c r="E1054" s="11" t="s">
        <v>263</v>
      </c>
      <c r="F1054" s="11" t="s">
        <v>236</v>
      </c>
      <c r="G1054" s="11" t="s">
        <v>504</v>
      </c>
      <c r="H1054" s="11" t="s">
        <v>66</v>
      </c>
      <c r="I1054" s="12">
        <v>1</v>
      </c>
      <c r="J1054" s="12">
        <v>100</v>
      </c>
      <c r="K1054" s="12">
        <v>108.17</v>
      </c>
      <c r="L1054" s="12">
        <v>10817</v>
      </c>
      <c r="M1054" s="12">
        <v>-983.2700000000001</v>
      </c>
      <c r="N1054" s="12">
        <v>0</v>
      </c>
      <c r="O1054" s="12">
        <v>1278.3862779999999</v>
      </c>
      <c r="P1054" s="12">
        <v>11112.116278</v>
      </c>
    </row>
    <row r="1055" spans="1:16" ht="14.5" x14ac:dyDescent="0.25">
      <c r="A1055" s="10">
        <v>45916</v>
      </c>
      <c r="B1055" s="2" t="str">
        <f t="shared" si="32"/>
        <v>Sep-2025</v>
      </c>
      <c r="C1055" s="2" t="str">
        <f t="shared" si="33"/>
        <v>Q2</v>
      </c>
      <c r="D1055" s="2" t="s">
        <v>28</v>
      </c>
      <c r="E1055" s="11" t="s">
        <v>263</v>
      </c>
      <c r="F1055" s="11" t="s">
        <v>236</v>
      </c>
      <c r="G1055" s="11" t="s">
        <v>503</v>
      </c>
      <c r="H1055" s="11" t="s">
        <v>172</v>
      </c>
      <c r="I1055" s="12">
        <v>1</v>
      </c>
      <c r="J1055" s="12">
        <v>180</v>
      </c>
      <c r="K1055" s="12">
        <v>98.03</v>
      </c>
      <c r="L1055" s="12">
        <v>17645.400000000001</v>
      </c>
      <c r="M1055" s="12">
        <v>-1603.97</v>
      </c>
      <c r="N1055" s="12">
        <v>0</v>
      </c>
      <c r="O1055" s="12">
        <v>2085.3881470000001</v>
      </c>
      <c r="P1055" s="12">
        <v>18126.818147000002</v>
      </c>
    </row>
    <row r="1056" spans="1:16" ht="14.5" x14ac:dyDescent="0.25">
      <c r="A1056" s="10">
        <v>45916</v>
      </c>
      <c r="B1056" s="2" t="str">
        <f t="shared" si="32"/>
        <v>Sep-2025</v>
      </c>
      <c r="C1056" s="2" t="str">
        <f t="shared" si="33"/>
        <v>Q2</v>
      </c>
      <c r="D1056" s="2" t="s">
        <v>28</v>
      </c>
      <c r="E1056" s="11" t="s">
        <v>263</v>
      </c>
      <c r="F1056" s="11" t="s">
        <v>236</v>
      </c>
      <c r="G1056" s="11" t="s">
        <v>505</v>
      </c>
      <c r="H1056" s="11" t="s">
        <v>56</v>
      </c>
      <c r="I1056" s="12">
        <v>1</v>
      </c>
      <c r="J1056" s="12">
        <v>120</v>
      </c>
      <c r="K1056" s="12">
        <v>50.7</v>
      </c>
      <c r="L1056" s="12">
        <v>6084</v>
      </c>
      <c r="M1056" s="12">
        <v>-553.04</v>
      </c>
      <c r="N1056" s="12">
        <v>0</v>
      </c>
      <c r="O1056" s="12">
        <v>719.025575</v>
      </c>
      <c r="P1056" s="12">
        <v>6249.9855749999997</v>
      </c>
    </row>
    <row r="1057" spans="1:16" ht="14.5" x14ac:dyDescent="0.25">
      <c r="A1057" s="10">
        <v>45919</v>
      </c>
      <c r="B1057" s="2" t="str">
        <f t="shared" si="32"/>
        <v>Sep-2025</v>
      </c>
      <c r="C1057" s="2" t="str">
        <f t="shared" si="33"/>
        <v>Q2</v>
      </c>
      <c r="D1057" s="2" t="s">
        <v>28</v>
      </c>
      <c r="E1057" s="11" t="s">
        <v>264</v>
      </c>
      <c r="F1057" s="11" t="s">
        <v>21</v>
      </c>
      <c r="G1057" s="11" t="s">
        <v>506</v>
      </c>
      <c r="H1057" s="11" t="s">
        <v>54</v>
      </c>
      <c r="I1057" s="12">
        <v>1</v>
      </c>
      <c r="J1057" s="12">
        <v>48</v>
      </c>
      <c r="K1057" s="12">
        <v>293.10000000000002</v>
      </c>
      <c r="L1057" s="12">
        <v>14068.8</v>
      </c>
      <c r="M1057" s="12">
        <v>0</v>
      </c>
      <c r="N1057" s="12">
        <v>0</v>
      </c>
      <c r="O1057" s="12">
        <v>1828.9425209999999</v>
      </c>
      <c r="P1057" s="12">
        <v>15897.742521</v>
      </c>
    </row>
    <row r="1058" spans="1:16" ht="14.5" x14ac:dyDescent="0.25">
      <c r="A1058" s="10">
        <v>45919</v>
      </c>
      <c r="B1058" s="2" t="str">
        <f t="shared" si="32"/>
        <v>Sep-2025</v>
      </c>
      <c r="C1058" s="2" t="str">
        <f t="shared" si="33"/>
        <v>Q2</v>
      </c>
      <c r="D1058" s="2" t="s">
        <v>28</v>
      </c>
      <c r="E1058" s="11" t="s">
        <v>264</v>
      </c>
      <c r="F1058" s="11" t="s">
        <v>21</v>
      </c>
      <c r="G1058" s="11" t="s">
        <v>506</v>
      </c>
      <c r="H1058" s="11" t="s">
        <v>58</v>
      </c>
      <c r="I1058" s="12">
        <v>2</v>
      </c>
      <c r="J1058" s="12">
        <v>144</v>
      </c>
      <c r="K1058" s="12">
        <v>140.18</v>
      </c>
      <c r="L1058" s="12">
        <v>20185.919999999998</v>
      </c>
      <c r="M1058" s="12">
        <v>0</v>
      </c>
      <c r="N1058" s="12">
        <v>0</v>
      </c>
      <c r="O1058" s="12">
        <v>2624.1674790000002</v>
      </c>
      <c r="P1058" s="12">
        <v>22810.087479000002</v>
      </c>
    </row>
    <row r="1059" spans="1:16" ht="14.5" x14ac:dyDescent="0.25">
      <c r="A1059" s="10">
        <v>45919</v>
      </c>
      <c r="B1059" s="2" t="str">
        <f t="shared" ref="B1059:B1122" si="34">+TEXT(A1059,"MMM-yyy")</f>
        <v>Sep-2025</v>
      </c>
      <c r="C1059" s="2" t="str">
        <f t="shared" ref="C1059:C1122" si="35">"Q" &amp; CHOOSE(MONTH(A1059),4,4,4,1,1,1,2,2,2,3,3,3)</f>
        <v>Q2</v>
      </c>
      <c r="D1059" s="2" t="s">
        <v>28</v>
      </c>
      <c r="E1059" s="11" t="s">
        <v>265</v>
      </c>
      <c r="F1059" s="11" t="s">
        <v>14</v>
      </c>
      <c r="G1059" s="11" t="s">
        <v>503</v>
      </c>
      <c r="H1059" s="11" t="s">
        <v>47</v>
      </c>
      <c r="I1059" s="12">
        <v>1</v>
      </c>
      <c r="J1059" s="12">
        <v>120</v>
      </c>
      <c r="K1059" s="12">
        <v>121.69</v>
      </c>
      <c r="L1059" s="12">
        <v>14602.800000000001</v>
      </c>
      <c r="M1059" s="12">
        <v>-1327.39</v>
      </c>
      <c r="N1059" s="12">
        <v>0</v>
      </c>
      <c r="O1059" s="12">
        <v>1725.8033830000002</v>
      </c>
      <c r="P1059" s="12">
        <v>15001.213383</v>
      </c>
    </row>
    <row r="1060" spans="1:16" ht="14.5" x14ac:dyDescent="0.25">
      <c r="A1060" s="10">
        <v>45919</v>
      </c>
      <c r="B1060" s="2" t="str">
        <f t="shared" si="34"/>
        <v>Sep-2025</v>
      </c>
      <c r="C1060" s="2" t="str">
        <f t="shared" si="35"/>
        <v>Q2</v>
      </c>
      <c r="D1060" s="2" t="s">
        <v>28</v>
      </c>
      <c r="E1060" s="11" t="s">
        <v>265</v>
      </c>
      <c r="F1060" s="11" t="s">
        <v>14</v>
      </c>
      <c r="G1060" s="11" t="s">
        <v>503</v>
      </c>
      <c r="H1060" s="11" t="s">
        <v>48</v>
      </c>
      <c r="I1060" s="12">
        <v>1</v>
      </c>
      <c r="J1060" s="12">
        <v>180</v>
      </c>
      <c r="K1060" s="12">
        <v>135.21</v>
      </c>
      <c r="L1060" s="12">
        <v>24337.8</v>
      </c>
      <c r="M1060" s="12">
        <v>-2212.31</v>
      </c>
      <c r="N1060" s="12">
        <v>0</v>
      </c>
      <c r="O1060" s="12">
        <v>2876.3138389999999</v>
      </c>
      <c r="P1060" s="12">
        <v>25001.803839</v>
      </c>
    </row>
    <row r="1061" spans="1:16" ht="14.5" x14ac:dyDescent="0.25">
      <c r="A1061" s="10">
        <v>45919</v>
      </c>
      <c r="B1061" s="2" t="str">
        <f t="shared" si="34"/>
        <v>Sep-2025</v>
      </c>
      <c r="C1061" s="2" t="str">
        <f t="shared" si="35"/>
        <v>Q2</v>
      </c>
      <c r="D1061" s="2" t="s">
        <v>28</v>
      </c>
      <c r="E1061" s="11" t="s">
        <v>265</v>
      </c>
      <c r="F1061" s="11" t="s">
        <v>14</v>
      </c>
      <c r="G1061" s="11" t="s">
        <v>505</v>
      </c>
      <c r="H1061" s="11" t="s">
        <v>56</v>
      </c>
      <c r="I1061" s="12">
        <v>1</v>
      </c>
      <c r="J1061" s="12">
        <v>120</v>
      </c>
      <c r="K1061" s="12">
        <v>50.7</v>
      </c>
      <c r="L1061" s="12">
        <v>6084</v>
      </c>
      <c r="M1061" s="12">
        <v>-553.04</v>
      </c>
      <c r="N1061" s="12">
        <v>0</v>
      </c>
      <c r="O1061" s="12">
        <v>719.02483500000005</v>
      </c>
      <c r="P1061" s="12">
        <v>6249.9848350000002</v>
      </c>
    </row>
    <row r="1062" spans="1:16" ht="14.5" x14ac:dyDescent="0.25">
      <c r="A1062" s="10">
        <v>45919</v>
      </c>
      <c r="B1062" s="2" t="str">
        <f t="shared" si="34"/>
        <v>Sep-2025</v>
      </c>
      <c r="C1062" s="2" t="str">
        <f t="shared" si="35"/>
        <v>Q2</v>
      </c>
      <c r="D1062" s="2" t="s">
        <v>28</v>
      </c>
      <c r="E1062" s="11" t="s">
        <v>265</v>
      </c>
      <c r="F1062" s="11" t="s">
        <v>14</v>
      </c>
      <c r="G1062" s="11" t="s">
        <v>507</v>
      </c>
      <c r="H1062" s="11" t="s">
        <v>90</v>
      </c>
      <c r="I1062" s="12">
        <v>3</v>
      </c>
      <c r="J1062" s="12">
        <v>360</v>
      </c>
      <c r="K1062" s="12">
        <v>57.46</v>
      </c>
      <c r="L1062" s="12">
        <v>20685.599999999999</v>
      </c>
      <c r="M1062" s="12">
        <v>-1880.32</v>
      </c>
      <c r="N1062" s="12">
        <v>0</v>
      </c>
      <c r="O1062" s="12">
        <v>2444.686518</v>
      </c>
      <c r="P1062" s="12">
        <v>21249.966518000001</v>
      </c>
    </row>
    <row r="1063" spans="1:16" ht="14.5" x14ac:dyDescent="0.25">
      <c r="A1063" s="10">
        <v>45919</v>
      </c>
      <c r="B1063" s="2" t="str">
        <f t="shared" si="34"/>
        <v>Sep-2025</v>
      </c>
      <c r="C1063" s="2" t="str">
        <f t="shared" si="35"/>
        <v>Q2</v>
      </c>
      <c r="D1063" s="2" t="s">
        <v>28</v>
      </c>
      <c r="E1063" s="11" t="s">
        <v>265</v>
      </c>
      <c r="F1063" s="11" t="s">
        <v>14</v>
      </c>
      <c r="G1063" s="11" t="s">
        <v>506</v>
      </c>
      <c r="H1063" s="11" t="s">
        <v>54</v>
      </c>
      <c r="I1063" s="12">
        <v>2</v>
      </c>
      <c r="J1063" s="12">
        <v>96</v>
      </c>
      <c r="K1063" s="12">
        <v>310.99</v>
      </c>
      <c r="L1063" s="12">
        <v>29855.039999999997</v>
      </c>
      <c r="M1063" s="12">
        <v>-2713.82</v>
      </c>
      <c r="N1063" s="12">
        <v>0</v>
      </c>
      <c r="O1063" s="12">
        <v>3528.3587699999998</v>
      </c>
      <c r="P1063" s="12">
        <v>30669.57877</v>
      </c>
    </row>
    <row r="1064" spans="1:16" ht="14.5" x14ac:dyDescent="0.25">
      <c r="A1064" s="10">
        <v>45919</v>
      </c>
      <c r="B1064" s="2" t="str">
        <f t="shared" si="34"/>
        <v>Sep-2025</v>
      </c>
      <c r="C1064" s="2" t="str">
        <f t="shared" si="35"/>
        <v>Q2</v>
      </c>
      <c r="D1064" s="2" t="s">
        <v>28</v>
      </c>
      <c r="E1064" s="11" t="s">
        <v>265</v>
      </c>
      <c r="F1064" s="11" t="s">
        <v>14</v>
      </c>
      <c r="G1064" s="11" t="s">
        <v>507</v>
      </c>
      <c r="H1064" s="11" t="s">
        <v>60</v>
      </c>
      <c r="I1064" s="12">
        <v>4</v>
      </c>
      <c r="J1064" s="12">
        <v>240</v>
      </c>
      <c r="K1064" s="12">
        <v>98.03</v>
      </c>
      <c r="L1064" s="12">
        <v>23527.200000000001</v>
      </c>
      <c r="M1064" s="12">
        <v>-2138.6200000000003</v>
      </c>
      <c r="N1064" s="12">
        <v>0</v>
      </c>
      <c r="O1064" s="12">
        <v>2780.5155339999997</v>
      </c>
      <c r="P1064" s="12">
        <v>24169.095534</v>
      </c>
    </row>
    <row r="1065" spans="1:16" ht="14.5" x14ac:dyDescent="0.25">
      <c r="A1065" s="10">
        <v>45919</v>
      </c>
      <c r="B1065" s="2" t="str">
        <f t="shared" si="34"/>
        <v>Sep-2025</v>
      </c>
      <c r="C1065" s="2" t="str">
        <f t="shared" si="35"/>
        <v>Q2</v>
      </c>
      <c r="D1065" s="2" t="s">
        <v>28</v>
      </c>
      <c r="E1065" s="11" t="s">
        <v>265</v>
      </c>
      <c r="F1065" s="11" t="s">
        <v>14</v>
      </c>
      <c r="G1065" s="11" t="s">
        <v>505</v>
      </c>
      <c r="H1065" s="11" t="s">
        <v>40</v>
      </c>
      <c r="I1065" s="12">
        <v>1</v>
      </c>
      <c r="J1065" s="12">
        <v>180</v>
      </c>
      <c r="K1065" s="12">
        <v>94.65</v>
      </c>
      <c r="L1065" s="12">
        <v>17037</v>
      </c>
      <c r="M1065" s="12">
        <v>-1548.6599999999999</v>
      </c>
      <c r="N1065" s="12">
        <v>0</v>
      </c>
      <c r="O1065" s="12">
        <v>2013.484297</v>
      </c>
      <c r="P1065" s="12">
        <v>17501.824296999999</v>
      </c>
    </row>
    <row r="1066" spans="1:16" ht="14.5" x14ac:dyDescent="0.25">
      <c r="A1066" s="10">
        <v>45919</v>
      </c>
      <c r="B1066" s="2" t="str">
        <f t="shared" si="34"/>
        <v>Sep-2025</v>
      </c>
      <c r="C1066" s="2" t="str">
        <f t="shared" si="35"/>
        <v>Q2</v>
      </c>
      <c r="D1066" s="2" t="s">
        <v>28</v>
      </c>
      <c r="E1066" s="11" t="s">
        <v>265</v>
      </c>
      <c r="F1066" s="11" t="s">
        <v>14</v>
      </c>
      <c r="G1066" s="11" t="s">
        <v>503</v>
      </c>
      <c r="H1066" s="11" t="s">
        <v>42</v>
      </c>
      <c r="I1066" s="12">
        <v>2</v>
      </c>
      <c r="J1066" s="12">
        <v>240</v>
      </c>
      <c r="K1066" s="12">
        <v>141.97</v>
      </c>
      <c r="L1066" s="12">
        <v>34072.800000000003</v>
      </c>
      <c r="M1066" s="12">
        <v>-3097.22</v>
      </c>
      <c r="N1066" s="12">
        <v>0</v>
      </c>
      <c r="O1066" s="12">
        <v>4026.8255939999999</v>
      </c>
      <c r="P1066" s="12">
        <v>35002.405594000003</v>
      </c>
    </row>
    <row r="1067" spans="1:16" ht="14.5" x14ac:dyDescent="0.25">
      <c r="A1067" s="10">
        <v>45919</v>
      </c>
      <c r="B1067" s="2" t="str">
        <f t="shared" si="34"/>
        <v>Sep-2025</v>
      </c>
      <c r="C1067" s="2" t="str">
        <f t="shared" si="35"/>
        <v>Q2</v>
      </c>
      <c r="D1067" s="2" t="s">
        <v>28</v>
      </c>
      <c r="E1067" s="11" t="s">
        <v>265</v>
      </c>
      <c r="F1067" s="11" t="s">
        <v>14</v>
      </c>
      <c r="G1067" s="11" t="s">
        <v>508</v>
      </c>
      <c r="H1067" s="11" t="s">
        <v>178</v>
      </c>
      <c r="I1067" s="12">
        <v>1</v>
      </c>
      <c r="J1067" s="12">
        <v>60</v>
      </c>
      <c r="K1067" s="12">
        <v>148.74</v>
      </c>
      <c r="L1067" s="12">
        <v>8924.4</v>
      </c>
      <c r="M1067" s="12">
        <v>-811.23</v>
      </c>
      <c r="N1067" s="12">
        <v>0</v>
      </c>
      <c r="O1067" s="12">
        <v>1054.7121509999999</v>
      </c>
      <c r="P1067" s="12">
        <v>9167.8821509999998</v>
      </c>
    </row>
    <row r="1068" spans="1:16" ht="14.5" x14ac:dyDescent="0.25">
      <c r="A1068" s="10">
        <v>45919</v>
      </c>
      <c r="B1068" s="2" t="str">
        <f t="shared" si="34"/>
        <v>Sep-2025</v>
      </c>
      <c r="C1068" s="2" t="str">
        <f t="shared" si="35"/>
        <v>Q2</v>
      </c>
      <c r="D1068" s="2" t="s">
        <v>28</v>
      </c>
      <c r="E1068" s="11" t="s">
        <v>265</v>
      </c>
      <c r="F1068" s="11" t="s">
        <v>14</v>
      </c>
      <c r="G1068" s="11" t="s">
        <v>503</v>
      </c>
      <c r="H1068" s="11" t="s">
        <v>179</v>
      </c>
      <c r="I1068" s="12">
        <v>1</v>
      </c>
      <c r="J1068" s="12">
        <v>180</v>
      </c>
      <c r="K1068" s="12">
        <v>128.44999999999999</v>
      </c>
      <c r="L1068" s="12">
        <v>23121.000000000004</v>
      </c>
      <c r="M1068" s="12">
        <v>-2101.6999999999998</v>
      </c>
      <c r="N1068" s="12">
        <v>0</v>
      </c>
      <c r="O1068" s="12">
        <v>2732.5091320000001</v>
      </c>
      <c r="P1068" s="12">
        <v>23751.809131999998</v>
      </c>
    </row>
    <row r="1069" spans="1:16" ht="14.5" x14ac:dyDescent="0.25">
      <c r="A1069" s="10">
        <v>45919</v>
      </c>
      <c r="B1069" s="2" t="str">
        <f t="shared" si="34"/>
        <v>Sep-2025</v>
      </c>
      <c r="C1069" s="2" t="str">
        <f t="shared" si="35"/>
        <v>Q2</v>
      </c>
      <c r="D1069" s="2" t="s">
        <v>28</v>
      </c>
      <c r="E1069" s="11" t="s">
        <v>265</v>
      </c>
      <c r="F1069" s="11" t="s">
        <v>14</v>
      </c>
      <c r="G1069" s="11" t="s">
        <v>503</v>
      </c>
      <c r="H1069" s="11" t="s">
        <v>59</v>
      </c>
      <c r="I1069" s="12">
        <v>1</v>
      </c>
      <c r="J1069" s="12">
        <v>180</v>
      </c>
      <c r="K1069" s="12">
        <v>64.23</v>
      </c>
      <c r="L1069" s="12">
        <v>11561.4</v>
      </c>
      <c r="M1069" s="12">
        <v>-1050.9299999999998</v>
      </c>
      <c r="N1069" s="12">
        <v>0</v>
      </c>
      <c r="O1069" s="12">
        <v>1366.3611660000001</v>
      </c>
      <c r="P1069" s="12">
        <v>11876.831166</v>
      </c>
    </row>
    <row r="1070" spans="1:16" ht="14.5" x14ac:dyDescent="0.25">
      <c r="A1070" s="10">
        <v>45919</v>
      </c>
      <c r="B1070" s="2" t="str">
        <f t="shared" si="34"/>
        <v>Sep-2025</v>
      </c>
      <c r="C1070" s="2" t="str">
        <f t="shared" si="35"/>
        <v>Q2</v>
      </c>
      <c r="D1070" s="2" t="s">
        <v>28</v>
      </c>
      <c r="E1070" s="11" t="s">
        <v>265</v>
      </c>
      <c r="F1070" s="11" t="s">
        <v>14</v>
      </c>
      <c r="G1070" s="11" t="s">
        <v>506</v>
      </c>
      <c r="H1070" s="11" t="s">
        <v>58</v>
      </c>
      <c r="I1070" s="12">
        <v>3</v>
      </c>
      <c r="J1070" s="12">
        <v>216</v>
      </c>
      <c r="K1070" s="12">
        <v>148.74</v>
      </c>
      <c r="L1070" s="12">
        <v>32127.84</v>
      </c>
      <c r="M1070" s="12">
        <v>-2920.42</v>
      </c>
      <c r="N1070" s="12">
        <v>0</v>
      </c>
      <c r="O1070" s="12">
        <v>3796.9647830000004</v>
      </c>
      <c r="P1070" s="12">
        <v>33004.384783000001</v>
      </c>
    </row>
    <row r="1071" spans="1:16" ht="14.5" x14ac:dyDescent="0.25">
      <c r="A1071" s="10">
        <v>45921</v>
      </c>
      <c r="B1071" s="2" t="str">
        <f t="shared" si="34"/>
        <v>Sep-2025</v>
      </c>
      <c r="C1071" s="2" t="str">
        <f t="shared" si="35"/>
        <v>Q2</v>
      </c>
      <c r="D1071" s="2" t="s">
        <v>28</v>
      </c>
      <c r="E1071" s="11" t="s">
        <v>266</v>
      </c>
      <c r="F1071" s="11" t="s">
        <v>14</v>
      </c>
      <c r="G1071" s="11" t="s">
        <v>503</v>
      </c>
      <c r="H1071" s="11" t="s">
        <v>63</v>
      </c>
      <c r="I1071" s="12">
        <v>-1</v>
      </c>
      <c r="J1071" s="12">
        <v>-80</v>
      </c>
      <c r="K1071" s="12">
        <v>185.92</v>
      </c>
      <c r="L1071" s="12">
        <v>-14873.6</v>
      </c>
      <c r="M1071" s="12">
        <v>1352.01</v>
      </c>
      <c r="N1071" s="12">
        <v>0</v>
      </c>
      <c r="O1071" s="12">
        <v>-1757.81</v>
      </c>
      <c r="P1071" s="12">
        <v>-15279.4</v>
      </c>
    </row>
    <row r="1072" spans="1:16" ht="14.5" x14ac:dyDescent="0.25">
      <c r="A1072" s="10">
        <v>45922</v>
      </c>
      <c r="B1072" s="2" t="str">
        <f t="shared" si="34"/>
        <v>Sep-2025</v>
      </c>
      <c r="C1072" s="2" t="str">
        <f t="shared" si="35"/>
        <v>Q2</v>
      </c>
      <c r="D1072" s="2" t="s">
        <v>28</v>
      </c>
      <c r="E1072" s="11" t="s">
        <v>267</v>
      </c>
      <c r="F1072" s="11" t="s">
        <v>151</v>
      </c>
      <c r="G1072" s="11" t="s">
        <v>506</v>
      </c>
      <c r="H1072" s="11" t="s">
        <v>39</v>
      </c>
      <c r="I1072" s="12">
        <v>1</v>
      </c>
      <c r="J1072" s="12">
        <v>72</v>
      </c>
      <c r="K1072" s="12">
        <v>120.8</v>
      </c>
      <c r="L1072" s="12">
        <v>8697.6</v>
      </c>
      <c r="M1072" s="12">
        <v>0</v>
      </c>
      <c r="N1072" s="12">
        <v>-434.88023300000003</v>
      </c>
      <c r="O1072" s="12">
        <v>1074.1541420000001</v>
      </c>
      <c r="P1072" s="12">
        <v>9336.8739089999999</v>
      </c>
    </row>
    <row r="1073" spans="1:16" ht="14.5" x14ac:dyDescent="0.25">
      <c r="A1073" s="10">
        <v>45922</v>
      </c>
      <c r="B1073" s="2" t="str">
        <f t="shared" si="34"/>
        <v>Sep-2025</v>
      </c>
      <c r="C1073" s="2" t="str">
        <f t="shared" si="35"/>
        <v>Q2</v>
      </c>
      <c r="D1073" s="2" t="s">
        <v>28</v>
      </c>
      <c r="E1073" s="11" t="s">
        <v>267</v>
      </c>
      <c r="F1073" s="11" t="s">
        <v>151</v>
      </c>
      <c r="G1073" s="11" t="s">
        <v>503</v>
      </c>
      <c r="H1073" s="11" t="s">
        <v>172</v>
      </c>
      <c r="I1073" s="12">
        <v>1</v>
      </c>
      <c r="J1073" s="12">
        <v>180</v>
      </c>
      <c r="K1073" s="12">
        <v>89.82</v>
      </c>
      <c r="L1073" s="12">
        <v>16167.6</v>
      </c>
      <c r="M1073" s="12">
        <v>0</v>
      </c>
      <c r="N1073" s="12">
        <v>-808.38043400000004</v>
      </c>
      <c r="O1073" s="12">
        <v>1996.699607</v>
      </c>
      <c r="P1073" s="12">
        <v>17355.919172999998</v>
      </c>
    </row>
    <row r="1074" spans="1:16" ht="14.5" x14ac:dyDescent="0.25">
      <c r="A1074" s="10">
        <v>45922</v>
      </c>
      <c r="B1074" s="2" t="str">
        <f t="shared" si="34"/>
        <v>Sep-2025</v>
      </c>
      <c r="C1074" s="2" t="str">
        <f t="shared" si="35"/>
        <v>Q2</v>
      </c>
      <c r="D1074" s="2" t="s">
        <v>28</v>
      </c>
      <c r="E1074" s="11" t="s">
        <v>267</v>
      </c>
      <c r="F1074" s="11" t="s">
        <v>151</v>
      </c>
      <c r="G1074" s="11" t="s">
        <v>503</v>
      </c>
      <c r="H1074" s="11" t="s">
        <v>63</v>
      </c>
      <c r="I1074" s="12">
        <v>1</v>
      </c>
      <c r="J1074" s="12">
        <v>80</v>
      </c>
      <c r="K1074" s="12">
        <v>170.35</v>
      </c>
      <c r="L1074" s="12">
        <v>13628.000000000002</v>
      </c>
      <c r="M1074" s="12">
        <v>0</v>
      </c>
      <c r="N1074" s="12">
        <v>-681.40036599999996</v>
      </c>
      <c r="O1074" s="12">
        <v>1683.058849</v>
      </c>
      <c r="P1074" s="12">
        <v>14629.658482999999</v>
      </c>
    </row>
    <row r="1075" spans="1:16" ht="14.5" x14ac:dyDescent="0.25">
      <c r="A1075" s="10">
        <v>45922</v>
      </c>
      <c r="B1075" s="2" t="str">
        <f t="shared" si="34"/>
        <v>Sep-2025</v>
      </c>
      <c r="C1075" s="2" t="str">
        <f t="shared" si="35"/>
        <v>Q2</v>
      </c>
      <c r="D1075" s="2" t="s">
        <v>28</v>
      </c>
      <c r="E1075" s="11" t="s">
        <v>267</v>
      </c>
      <c r="F1075" s="11" t="s">
        <v>151</v>
      </c>
      <c r="G1075" s="11" t="s">
        <v>505</v>
      </c>
      <c r="H1075" s="11" t="s">
        <v>49</v>
      </c>
      <c r="I1075" s="12">
        <v>1</v>
      </c>
      <c r="J1075" s="12">
        <v>180</v>
      </c>
      <c r="K1075" s="12">
        <v>145.58000000000001</v>
      </c>
      <c r="L1075" s="12">
        <v>26204.399999999998</v>
      </c>
      <c r="M1075" s="12">
        <v>0</v>
      </c>
      <c r="N1075" s="12">
        <v>-1310.220703</v>
      </c>
      <c r="O1075" s="12">
        <v>3236.2450319999998</v>
      </c>
      <c r="P1075" s="12">
        <v>28130.424329000001</v>
      </c>
    </row>
    <row r="1076" spans="1:16" ht="14.5" x14ac:dyDescent="0.25">
      <c r="A1076" s="10">
        <v>45922</v>
      </c>
      <c r="B1076" s="2" t="str">
        <f t="shared" si="34"/>
        <v>Sep-2025</v>
      </c>
      <c r="C1076" s="2" t="str">
        <f t="shared" si="35"/>
        <v>Q2</v>
      </c>
      <c r="D1076" s="2" t="s">
        <v>28</v>
      </c>
      <c r="E1076" s="11" t="s">
        <v>267</v>
      </c>
      <c r="F1076" s="11" t="s">
        <v>151</v>
      </c>
      <c r="G1076" s="11" t="s">
        <v>506</v>
      </c>
      <c r="H1076" s="11" t="s">
        <v>58</v>
      </c>
      <c r="I1076" s="12">
        <v>1</v>
      </c>
      <c r="J1076" s="12">
        <v>72</v>
      </c>
      <c r="K1076" s="12">
        <v>136.28</v>
      </c>
      <c r="L1076" s="12">
        <v>9812.16</v>
      </c>
      <c r="M1076" s="12">
        <v>0</v>
      </c>
      <c r="N1076" s="12">
        <v>-490.60826299999997</v>
      </c>
      <c r="O1076" s="12">
        <v>1211.802371</v>
      </c>
      <c r="P1076" s="12">
        <v>10533.354108</v>
      </c>
    </row>
    <row r="1077" spans="1:16" ht="14.5" x14ac:dyDescent="0.25">
      <c r="A1077" s="10">
        <v>45922</v>
      </c>
      <c r="B1077" s="2" t="str">
        <f t="shared" si="34"/>
        <v>Sep-2025</v>
      </c>
      <c r="C1077" s="2" t="str">
        <f t="shared" si="35"/>
        <v>Q2</v>
      </c>
      <c r="D1077" s="2" t="s">
        <v>28</v>
      </c>
      <c r="E1077" s="11" t="s">
        <v>268</v>
      </c>
      <c r="F1077" s="11" t="s">
        <v>151</v>
      </c>
      <c r="G1077" s="11" t="s">
        <v>504</v>
      </c>
      <c r="H1077" s="11" t="s">
        <v>53</v>
      </c>
      <c r="I1077" s="12">
        <v>1</v>
      </c>
      <c r="J1077" s="12">
        <v>100</v>
      </c>
      <c r="K1077" s="12">
        <v>126</v>
      </c>
      <c r="L1077" s="12">
        <v>12600</v>
      </c>
      <c r="M1077" s="12">
        <v>0</v>
      </c>
      <c r="N1077" s="12">
        <v>-630</v>
      </c>
      <c r="O1077" s="12">
        <v>0</v>
      </c>
      <c r="P1077" s="12">
        <v>11970</v>
      </c>
    </row>
    <row r="1078" spans="1:16" ht="14.5" x14ac:dyDescent="0.25">
      <c r="A1078" s="10">
        <v>45922</v>
      </c>
      <c r="B1078" s="2" t="str">
        <f t="shared" si="34"/>
        <v>Sep-2025</v>
      </c>
      <c r="C1078" s="2" t="str">
        <f t="shared" si="35"/>
        <v>Q2</v>
      </c>
      <c r="D1078" s="2" t="s">
        <v>28</v>
      </c>
      <c r="E1078" s="11" t="s">
        <v>268</v>
      </c>
      <c r="F1078" s="11" t="s">
        <v>151</v>
      </c>
      <c r="G1078" s="11" t="s">
        <v>504</v>
      </c>
      <c r="H1078" s="11" t="s">
        <v>61</v>
      </c>
      <c r="I1078" s="12">
        <v>1</v>
      </c>
      <c r="J1078" s="12">
        <v>40</v>
      </c>
      <c r="K1078" s="12">
        <v>308</v>
      </c>
      <c r="L1078" s="12">
        <v>12320</v>
      </c>
      <c r="M1078" s="12">
        <v>0</v>
      </c>
      <c r="N1078" s="12">
        <v>-616</v>
      </c>
      <c r="O1078" s="12">
        <v>0</v>
      </c>
      <c r="P1078" s="12">
        <v>11704</v>
      </c>
    </row>
    <row r="1079" spans="1:16" ht="14.5" x14ac:dyDescent="0.25">
      <c r="A1079" s="10">
        <v>45922</v>
      </c>
      <c r="B1079" s="2" t="str">
        <f t="shared" si="34"/>
        <v>Sep-2025</v>
      </c>
      <c r="C1079" s="2" t="str">
        <f t="shared" si="35"/>
        <v>Q2</v>
      </c>
      <c r="D1079" s="2" t="s">
        <v>28</v>
      </c>
      <c r="E1079" s="11" t="s">
        <v>269</v>
      </c>
      <c r="F1079" s="11" t="s">
        <v>151</v>
      </c>
      <c r="G1079" s="11" t="s">
        <v>503</v>
      </c>
      <c r="H1079" s="11" t="s">
        <v>42</v>
      </c>
      <c r="I1079" s="12">
        <v>0.5</v>
      </c>
      <c r="J1079" s="12">
        <v>60</v>
      </c>
      <c r="K1079" s="12">
        <v>130.09</v>
      </c>
      <c r="L1079" s="12">
        <v>7805.4000000000005</v>
      </c>
      <c r="M1079" s="12">
        <v>0</v>
      </c>
      <c r="N1079" s="12">
        <v>-390.27004600000004</v>
      </c>
      <c r="O1079" s="12">
        <v>963.96683899999994</v>
      </c>
      <c r="P1079" s="12">
        <v>8379.0967930000006</v>
      </c>
    </row>
    <row r="1080" spans="1:16" ht="14.5" x14ac:dyDescent="0.25">
      <c r="A1080" s="10">
        <v>45922</v>
      </c>
      <c r="B1080" s="2" t="str">
        <f t="shared" si="34"/>
        <v>Sep-2025</v>
      </c>
      <c r="C1080" s="2" t="str">
        <f t="shared" si="35"/>
        <v>Q2</v>
      </c>
      <c r="D1080" s="2" t="s">
        <v>28</v>
      </c>
      <c r="E1080" s="11" t="s">
        <v>269</v>
      </c>
      <c r="F1080" s="11" t="s">
        <v>151</v>
      </c>
      <c r="G1080" s="11" t="s">
        <v>505</v>
      </c>
      <c r="H1080" s="11" t="s">
        <v>43</v>
      </c>
      <c r="I1080" s="12">
        <v>1</v>
      </c>
      <c r="J1080" s="12">
        <v>40</v>
      </c>
      <c r="K1080" s="12">
        <v>260.18</v>
      </c>
      <c r="L1080" s="12">
        <v>10407.199999999999</v>
      </c>
      <c r="M1080" s="12">
        <v>0</v>
      </c>
      <c r="N1080" s="12">
        <v>-520.36006099999997</v>
      </c>
      <c r="O1080" s="12">
        <v>1285.289119</v>
      </c>
      <c r="P1080" s="12">
        <v>11172.129058</v>
      </c>
    </row>
    <row r="1081" spans="1:16" ht="14.5" x14ac:dyDescent="0.25">
      <c r="A1081" s="10">
        <v>45922</v>
      </c>
      <c r="B1081" s="2" t="str">
        <f t="shared" si="34"/>
        <v>Sep-2025</v>
      </c>
      <c r="C1081" s="2" t="str">
        <f t="shared" si="35"/>
        <v>Q2</v>
      </c>
      <c r="D1081" s="2" t="s">
        <v>28</v>
      </c>
      <c r="E1081" s="11" t="s">
        <v>269</v>
      </c>
      <c r="F1081" s="11" t="s">
        <v>151</v>
      </c>
      <c r="G1081" s="11" t="s">
        <v>503</v>
      </c>
      <c r="H1081" s="11" t="s">
        <v>190</v>
      </c>
      <c r="I1081" s="12">
        <v>0.5</v>
      </c>
      <c r="J1081" s="12">
        <v>90</v>
      </c>
      <c r="K1081" s="12">
        <v>74.34</v>
      </c>
      <c r="L1081" s="12">
        <v>6690.5999999999995</v>
      </c>
      <c r="M1081" s="12">
        <v>0</v>
      </c>
      <c r="N1081" s="12">
        <v>-334.53003899999999</v>
      </c>
      <c r="O1081" s="12">
        <v>826.28904799999998</v>
      </c>
      <c r="P1081" s="12">
        <v>7182.3590089999998</v>
      </c>
    </row>
    <row r="1082" spans="1:16" ht="14.5" x14ac:dyDescent="0.25">
      <c r="A1082" s="10">
        <v>45922</v>
      </c>
      <c r="B1082" s="2" t="str">
        <f t="shared" si="34"/>
        <v>Sep-2025</v>
      </c>
      <c r="C1082" s="2" t="str">
        <f t="shared" si="35"/>
        <v>Q2</v>
      </c>
      <c r="D1082" s="2" t="s">
        <v>28</v>
      </c>
      <c r="E1082" s="11" t="s">
        <v>269</v>
      </c>
      <c r="F1082" s="11" t="s">
        <v>151</v>
      </c>
      <c r="G1082" s="11" t="s">
        <v>506</v>
      </c>
      <c r="H1082" s="11" t="s">
        <v>189</v>
      </c>
      <c r="I1082" s="12">
        <v>0.5</v>
      </c>
      <c r="J1082" s="12">
        <v>50</v>
      </c>
      <c r="K1082" s="12">
        <v>65.040000000000006</v>
      </c>
      <c r="L1082" s="12">
        <v>3252</v>
      </c>
      <c r="M1082" s="12">
        <v>0</v>
      </c>
      <c r="N1082" s="12">
        <v>-162.60001899999997</v>
      </c>
      <c r="O1082" s="12">
        <v>401.62197499999996</v>
      </c>
      <c r="P1082" s="12">
        <v>3491.021956</v>
      </c>
    </row>
    <row r="1083" spans="1:16" ht="14.5" x14ac:dyDescent="0.25">
      <c r="A1083" s="10">
        <v>45922</v>
      </c>
      <c r="B1083" s="2" t="str">
        <f t="shared" si="34"/>
        <v>Sep-2025</v>
      </c>
      <c r="C1083" s="2" t="str">
        <f t="shared" si="35"/>
        <v>Q2</v>
      </c>
      <c r="D1083" s="2" t="s">
        <v>28</v>
      </c>
      <c r="E1083" s="11" t="s">
        <v>269</v>
      </c>
      <c r="F1083" s="11" t="s">
        <v>151</v>
      </c>
      <c r="G1083" s="11" t="s">
        <v>503</v>
      </c>
      <c r="H1083" s="11" t="s">
        <v>46</v>
      </c>
      <c r="I1083" s="12">
        <v>0.5</v>
      </c>
      <c r="J1083" s="12">
        <v>60</v>
      </c>
      <c r="K1083" s="12">
        <v>108.41</v>
      </c>
      <c r="L1083" s="12">
        <v>6504.6</v>
      </c>
      <c r="M1083" s="12">
        <v>0</v>
      </c>
      <c r="N1083" s="12">
        <v>-325.23003799999998</v>
      </c>
      <c r="O1083" s="12">
        <v>803.31804900000009</v>
      </c>
      <c r="P1083" s="12">
        <v>6982.6880110000002</v>
      </c>
    </row>
    <row r="1084" spans="1:16" ht="14.5" x14ac:dyDescent="0.25">
      <c r="A1084" s="10">
        <v>45922</v>
      </c>
      <c r="B1084" s="2" t="str">
        <f t="shared" si="34"/>
        <v>Sep-2025</v>
      </c>
      <c r="C1084" s="2" t="str">
        <f t="shared" si="35"/>
        <v>Q2</v>
      </c>
      <c r="D1084" s="2" t="s">
        <v>28</v>
      </c>
      <c r="E1084" s="11" t="s">
        <v>269</v>
      </c>
      <c r="F1084" s="11" t="s">
        <v>151</v>
      </c>
      <c r="G1084" s="11" t="s">
        <v>506</v>
      </c>
      <c r="H1084" s="11" t="s">
        <v>39</v>
      </c>
      <c r="I1084" s="12">
        <v>1</v>
      </c>
      <c r="J1084" s="12">
        <v>72</v>
      </c>
      <c r="K1084" s="12">
        <v>120.8</v>
      </c>
      <c r="L1084" s="12">
        <v>8697.6</v>
      </c>
      <c r="M1084" s="12">
        <v>0</v>
      </c>
      <c r="N1084" s="12">
        <v>-434.88005099999998</v>
      </c>
      <c r="O1084" s="12">
        <v>1074.153532</v>
      </c>
      <c r="P1084" s="12">
        <v>9336.8734810000005</v>
      </c>
    </row>
    <row r="1085" spans="1:16" ht="14.5" x14ac:dyDescent="0.25">
      <c r="A1085" s="10">
        <v>45922</v>
      </c>
      <c r="B1085" s="2" t="str">
        <f t="shared" si="34"/>
        <v>Sep-2025</v>
      </c>
      <c r="C1085" s="2" t="str">
        <f t="shared" si="35"/>
        <v>Q2</v>
      </c>
      <c r="D1085" s="2" t="s">
        <v>28</v>
      </c>
      <c r="E1085" s="11" t="s">
        <v>269</v>
      </c>
      <c r="F1085" s="11" t="s">
        <v>151</v>
      </c>
      <c r="G1085" s="11" t="s">
        <v>503</v>
      </c>
      <c r="H1085" s="11" t="s">
        <v>176</v>
      </c>
      <c r="I1085" s="12">
        <v>0.5</v>
      </c>
      <c r="J1085" s="12">
        <v>60</v>
      </c>
      <c r="K1085" s="12">
        <v>145.58000000000001</v>
      </c>
      <c r="L1085" s="12">
        <v>8734.7999999999993</v>
      </c>
      <c r="M1085" s="12">
        <v>0</v>
      </c>
      <c r="N1085" s="12">
        <v>-436.74005099999999</v>
      </c>
      <c r="O1085" s="12">
        <v>1078.747732</v>
      </c>
      <c r="P1085" s="12">
        <v>9376.8076810000002</v>
      </c>
    </row>
    <row r="1086" spans="1:16" ht="14.5" x14ac:dyDescent="0.25">
      <c r="A1086" s="10">
        <v>45922</v>
      </c>
      <c r="B1086" s="2" t="str">
        <f t="shared" si="34"/>
        <v>Sep-2025</v>
      </c>
      <c r="C1086" s="2" t="str">
        <f t="shared" si="35"/>
        <v>Q2</v>
      </c>
      <c r="D1086" s="2" t="s">
        <v>28</v>
      </c>
      <c r="E1086" s="11" t="s">
        <v>269</v>
      </c>
      <c r="F1086" s="11" t="s">
        <v>151</v>
      </c>
      <c r="G1086" s="11" t="s">
        <v>503</v>
      </c>
      <c r="H1086" s="11" t="s">
        <v>174</v>
      </c>
      <c r="I1086" s="12">
        <v>0.5</v>
      </c>
      <c r="J1086" s="12">
        <v>90</v>
      </c>
      <c r="K1086" s="12">
        <v>76.81</v>
      </c>
      <c r="L1086" s="12">
        <v>6912.9000000000005</v>
      </c>
      <c r="M1086" s="12">
        <v>0</v>
      </c>
      <c r="N1086" s="12">
        <v>-345.64504099999999</v>
      </c>
      <c r="O1086" s="12">
        <v>853.74309600000004</v>
      </c>
      <c r="P1086" s="12">
        <v>7420.998055</v>
      </c>
    </row>
    <row r="1087" spans="1:16" ht="14.5" x14ac:dyDescent="0.25">
      <c r="A1087" s="10">
        <v>45922</v>
      </c>
      <c r="B1087" s="2" t="str">
        <f t="shared" si="34"/>
        <v>Sep-2025</v>
      </c>
      <c r="C1087" s="2" t="str">
        <f t="shared" si="35"/>
        <v>Q2</v>
      </c>
      <c r="D1087" s="2" t="s">
        <v>28</v>
      </c>
      <c r="E1087" s="11" t="s">
        <v>269</v>
      </c>
      <c r="F1087" s="11" t="s">
        <v>151</v>
      </c>
      <c r="G1087" s="11" t="s">
        <v>505</v>
      </c>
      <c r="H1087" s="11" t="s">
        <v>50</v>
      </c>
      <c r="I1087" s="12">
        <v>0.5</v>
      </c>
      <c r="J1087" s="12">
        <v>40</v>
      </c>
      <c r="K1087" s="12">
        <v>154.87</v>
      </c>
      <c r="L1087" s="12">
        <v>6194.8</v>
      </c>
      <c r="M1087" s="12">
        <v>0</v>
      </c>
      <c r="N1087" s="12">
        <v>-309.74003599999998</v>
      </c>
      <c r="O1087" s="12">
        <v>765.05775200000005</v>
      </c>
      <c r="P1087" s="12">
        <v>6650.1177159999997</v>
      </c>
    </row>
    <row r="1088" spans="1:16" ht="14.5" x14ac:dyDescent="0.25">
      <c r="A1088" s="10">
        <v>45922</v>
      </c>
      <c r="B1088" s="2" t="str">
        <f t="shared" si="34"/>
        <v>Sep-2025</v>
      </c>
      <c r="C1088" s="2" t="str">
        <f t="shared" si="35"/>
        <v>Q2</v>
      </c>
      <c r="D1088" s="2" t="s">
        <v>28</v>
      </c>
      <c r="E1088" s="11" t="s">
        <v>269</v>
      </c>
      <c r="F1088" s="11" t="s">
        <v>151</v>
      </c>
      <c r="G1088" s="11" t="s">
        <v>504</v>
      </c>
      <c r="H1088" s="11" t="s">
        <v>68</v>
      </c>
      <c r="I1088" s="12">
        <v>1</v>
      </c>
      <c r="J1088" s="12">
        <v>40</v>
      </c>
      <c r="K1088" s="12">
        <v>238.5</v>
      </c>
      <c r="L1088" s="12">
        <v>9539.9999999999982</v>
      </c>
      <c r="M1088" s="12">
        <v>0</v>
      </c>
      <c r="N1088" s="12">
        <v>-477.00005600000003</v>
      </c>
      <c r="O1088" s="12">
        <v>1178.1899250000001</v>
      </c>
      <c r="P1088" s="12">
        <v>10241.189869</v>
      </c>
    </row>
    <row r="1089" spans="1:16" ht="14.5" x14ac:dyDescent="0.25">
      <c r="A1089" s="10">
        <v>45922</v>
      </c>
      <c r="B1089" s="2" t="str">
        <f t="shared" si="34"/>
        <v>Sep-2025</v>
      </c>
      <c r="C1089" s="2" t="str">
        <f t="shared" si="35"/>
        <v>Q2</v>
      </c>
      <c r="D1089" s="2" t="s">
        <v>28</v>
      </c>
      <c r="E1089" s="11" t="s">
        <v>269</v>
      </c>
      <c r="F1089" s="11" t="s">
        <v>151</v>
      </c>
      <c r="G1089" s="11" t="s">
        <v>503</v>
      </c>
      <c r="H1089" s="11" t="s">
        <v>57</v>
      </c>
      <c r="I1089" s="12">
        <v>0.5</v>
      </c>
      <c r="J1089" s="12">
        <v>90</v>
      </c>
      <c r="K1089" s="12">
        <v>108.41</v>
      </c>
      <c r="L1089" s="12">
        <v>9756.9</v>
      </c>
      <c r="M1089" s="12">
        <v>0</v>
      </c>
      <c r="N1089" s="12">
        <v>-487.845057</v>
      </c>
      <c r="O1089" s="12">
        <v>1204.9770739999999</v>
      </c>
      <c r="P1089" s="12">
        <v>10474.032017</v>
      </c>
    </row>
    <row r="1090" spans="1:16" ht="14.5" x14ac:dyDescent="0.25">
      <c r="A1090" s="10">
        <v>45922</v>
      </c>
      <c r="B1090" s="2" t="str">
        <f t="shared" si="34"/>
        <v>Sep-2025</v>
      </c>
      <c r="C1090" s="2" t="str">
        <f t="shared" si="35"/>
        <v>Q2</v>
      </c>
      <c r="D1090" s="2" t="s">
        <v>28</v>
      </c>
      <c r="E1090" s="11" t="s">
        <v>269</v>
      </c>
      <c r="F1090" s="11" t="s">
        <v>151</v>
      </c>
      <c r="G1090" s="11" t="s">
        <v>504</v>
      </c>
      <c r="H1090" s="11" t="s">
        <v>66</v>
      </c>
      <c r="I1090" s="12">
        <v>1</v>
      </c>
      <c r="J1090" s="12">
        <v>100</v>
      </c>
      <c r="K1090" s="12">
        <v>99.12</v>
      </c>
      <c r="L1090" s="12">
        <v>9912</v>
      </c>
      <c r="M1090" s="12">
        <v>0</v>
      </c>
      <c r="N1090" s="12">
        <v>-495.60005800000005</v>
      </c>
      <c r="O1090" s="12">
        <v>1224.1319229999999</v>
      </c>
      <c r="P1090" s="12">
        <v>10640.531865000001</v>
      </c>
    </row>
    <row r="1091" spans="1:16" ht="14.5" x14ac:dyDescent="0.25">
      <c r="A1091" s="10">
        <v>45922</v>
      </c>
      <c r="B1091" s="2" t="str">
        <f t="shared" si="34"/>
        <v>Sep-2025</v>
      </c>
      <c r="C1091" s="2" t="str">
        <f t="shared" si="35"/>
        <v>Q2</v>
      </c>
      <c r="D1091" s="2" t="s">
        <v>28</v>
      </c>
      <c r="E1091" s="11" t="s">
        <v>269</v>
      </c>
      <c r="F1091" s="11" t="s">
        <v>151</v>
      </c>
      <c r="G1091" s="11" t="s">
        <v>503</v>
      </c>
      <c r="H1091" s="11" t="s">
        <v>177</v>
      </c>
      <c r="I1091" s="12">
        <v>0.5</v>
      </c>
      <c r="J1091" s="12">
        <v>60</v>
      </c>
      <c r="K1091" s="12">
        <v>86.73</v>
      </c>
      <c r="L1091" s="12">
        <v>5203.8</v>
      </c>
      <c r="M1091" s="12">
        <v>0</v>
      </c>
      <c r="N1091" s="12">
        <v>-260.19003099999998</v>
      </c>
      <c r="O1091" s="12">
        <v>642.66925900000001</v>
      </c>
      <c r="P1091" s="12">
        <v>5586.2792280000003</v>
      </c>
    </row>
    <row r="1092" spans="1:16" ht="14.5" x14ac:dyDescent="0.25">
      <c r="A1092" s="10">
        <v>45922</v>
      </c>
      <c r="B1092" s="2" t="str">
        <f t="shared" si="34"/>
        <v>Sep-2025</v>
      </c>
      <c r="C1092" s="2" t="str">
        <f t="shared" si="35"/>
        <v>Q2</v>
      </c>
      <c r="D1092" s="2" t="s">
        <v>28</v>
      </c>
      <c r="E1092" s="11" t="s">
        <v>269</v>
      </c>
      <c r="F1092" s="11" t="s">
        <v>151</v>
      </c>
      <c r="G1092" s="11" t="s">
        <v>507</v>
      </c>
      <c r="H1092" s="11" t="s">
        <v>60</v>
      </c>
      <c r="I1092" s="12">
        <v>1</v>
      </c>
      <c r="J1092" s="12">
        <v>60</v>
      </c>
      <c r="K1092" s="12">
        <v>89.82</v>
      </c>
      <c r="L1092" s="12">
        <v>5389.2</v>
      </c>
      <c r="M1092" s="12">
        <v>0</v>
      </c>
      <c r="N1092" s="12">
        <v>-269.46003200000001</v>
      </c>
      <c r="O1092" s="12">
        <v>665.56615799999997</v>
      </c>
      <c r="P1092" s="12">
        <v>5785.3061260000004</v>
      </c>
    </row>
    <row r="1093" spans="1:16" ht="14.5" x14ac:dyDescent="0.25">
      <c r="A1093" s="10">
        <v>45922</v>
      </c>
      <c r="B1093" s="2" t="str">
        <f t="shared" si="34"/>
        <v>Sep-2025</v>
      </c>
      <c r="C1093" s="2" t="str">
        <f t="shared" si="35"/>
        <v>Q2</v>
      </c>
      <c r="D1093" s="2" t="s">
        <v>28</v>
      </c>
      <c r="E1093" s="11" t="s">
        <v>269</v>
      </c>
      <c r="F1093" s="11" t="s">
        <v>151</v>
      </c>
      <c r="G1093" s="11" t="s">
        <v>503</v>
      </c>
      <c r="H1093" s="11" t="s">
        <v>179</v>
      </c>
      <c r="I1093" s="12">
        <v>0.5</v>
      </c>
      <c r="J1093" s="12">
        <v>90</v>
      </c>
      <c r="K1093" s="12">
        <v>111.5</v>
      </c>
      <c r="L1093" s="12">
        <v>10035</v>
      </c>
      <c r="M1093" s="12">
        <v>0</v>
      </c>
      <c r="N1093" s="12">
        <v>-501.75005900000002</v>
      </c>
      <c r="O1093" s="12">
        <v>1239.322422</v>
      </c>
      <c r="P1093" s="12">
        <v>10772.572362999999</v>
      </c>
    </row>
    <row r="1094" spans="1:16" ht="14.5" x14ac:dyDescent="0.25">
      <c r="A1094" s="10">
        <v>45922</v>
      </c>
      <c r="B1094" s="2" t="str">
        <f t="shared" si="34"/>
        <v>Sep-2025</v>
      </c>
      <c r="C1094" s="2" t="str">
        <f t="shared" si="35"/>
        <v>Q2</v>
      </c>
      <c r="D1094" s="2" t="s">
        <v>28</v>
      </c>
      <c r="E1094" s="11" t="s">
        <v>269</v>
      </c>
      <c r="F1094" s="11" t="s">
        <v>151</v>
      </c>
      <c r="G1094" s="11" t="s">
        <v>505</v>
      </c>
      <c r="H1094" s="11" t="s">
        <v>167</v>
      </c>
      <c r="I1094" s="12">
        <v>0.5</v>
      </c>
      <c r="J1094" s="12">
        <v>90</v>
      </c>
      <c r="K1094" s="12">
        <v>83.63</v>
      </c>
      <c r="L1094" s="12">
        <v>7526.7</v>
      </c>
      <c r="M1094" s="12">
        <v>0</v>
      </c>
      <c r="N1094" s="12">
        <v>-376.33504399999998</v>
      </c>
      <c r="O1094" s="12">
        <v>929.54739099999995</v>
      </c>
      <c r="P1094" s="12">
        <v>8079.9123470000004</v>
      </c>
    </row>
    <row r="1095" spans="1:16" ht="14.5" x14ac:dyDescent="0.25">
      <c r="A1095" s="10">
        <v>45922</v>
      </c>
      <c r="B1095" s="2" t="str">
        <f t="shared" si="34"/>
        <v>Sep-2025</v>
      </c>
      <c r="C1095" s="2" t="str">
        <f t="shared" si="35"/>
        <v>Q2</v>
      </c>
      <c r="D1095" s="2" t="s">
        <v>28</v>
      </c>
      <c r="E1095" s="11" t="s">
        <v>269</v>
      </c>
      <c r="F1095" s="11" t="s">
        <v>151</v>
      </c>
      <c r="G1095" s="11" t="s">
        <v>508</v>
      </c>
      <c r="H1095" s="11" t="s">
        <v>178</v>
      </c>
      <c r="I1095" s="12">
        <v>1</v>
      </c>
      <c r="J1095" s="12">
        <v>60</v>
      </c>
      <c r="K1095" s="12">
        <v>136.28</v>
      </c>
      <c r="L1095" s="12">
        <v>8176.8</v>
      </c>
      <c r="M1095" s="12">
        <v>0</v>
      </c>
      <c r="N1095" s="12">
        <v>-408.84004800000002</v>
      </c>
      <c r="O1095" s="12">
        <v>1009.834736</v>
      </c>
      <c r="P1095" s="12">
        <v>8777.794688</v>
      </c>
    </row>
    <row r="1096" spans="1:16" ht="14.5" x14ac:dyDescent="0.25">
      <c r="A1096" s="10">
        <v>45922</v>
      </c>
      <c r="B1096" s="2" t="str">
        <f t="shared" si="34"/>
        <v>Sep-2025</v>
      </c>
      <c r="C1096" s="2" t="str">
        <f t="shared" si="35"/>
        <v>Q2</v>
      </c>
      <c r="D1096" s="2" t="s">
        <v>28</v>
      </c>
      <c r="E1096" s="11" t="s">
        <v>269</v>
      </c>
      <c r="F1096" s="11" t="s">
        <v>151</v>
      </c>
      <c r="G1096" s="11" t="s">
        <v>503</v>
      </c>
      <c r="H1096" s="11" t="s">
        <v>44</v>
      </c>
      <c r="I1096" s="12">
        <v>0.5</v>
      </c>
      <c r="J1096" s="12">
        <v>90</v>
      </c>
      <c r="K1096" s="12">
        <v>142.47999999999999</v>
      </c>
      <c r="L1096" s="12">
        <v>12823.199999999999</v>
      </c>
      <c r="M1096" s="12">
        <v>0</v>
      </c>
      <c r="N1096" s="12">
        <v>-641.16007500000001</v>
      </c>
      <c r="O1096" s="12">
        <v>1583.6650999999999</v>
      </c>
      <c r="P1096" s="12">
        <v>13765.705024999999</v>
      </c>
    </row>
    <row r="1097" spans="1:16" ht="14.5" x14ac:dyDescent="0.25">
      <c r="A1097" s="10">
        <v>45922</v>
      </c>
      <c r="B1097" s="2" t="str">
        <f t="shared" si="34"/>
        <v>Sep-2025</v>
      </c>
      <c r="C1097" s="2" t="str">
        <f t="shared" si="35"/>
        <v>Q2</v>
      </c>
      <c r="D1097" s="2" t="s">
        <v>28</v>
      </c>
      <c r="E1097" s="11" t="s">
        <v>269</v>
      </c>
      <c r="F1097" s="11" t="s">
        <v>151</v>
      </c>
      <c r="G1097" s="11" t="s">
        <v>506</v>
      </c>
      <c r="H1097" s="11" t="s">
        <v>54</v>
      </c>
      <c r="I1097" s="12">
        <v>1</v>
      </c>
      <c r="J1097" s="12">
        <v>48</v>
      </c>
      <c r="K1097" s="12">
        <v>284.95999999999998</v>
      </c>
      <c r="L1097" s="12">
        <v>13678.08</v>
      </c>
      <c r="M1097" s="12">
        <v>0</v>
      </c>
      <c r="N1097" s="12">
        <v>-683.90407999999991</v>
      </c>
      <c r="O1097" s="12">
        <v>1689.2427730000002</v>
      </c>
      <c r="P1097" s="12">
        <v>14683.418693</v>
      </c>
    </row>
    <row r="1098" spans="1:16" ht="14.5" x14ac:dyDescent="0.25">
      <c r="A1098" s="10">
        <v>45922</v>
      </c>
      <c r="B1098" s="2" t="str">
        <f t="shared" si="34"/>
        <v>Sep-2025</v>
      </c>
      <c r="C1098" s="2" t="str">
        <f t="shared" si="35"/>
        <v>Q2</v>
      </c>
      <c r="D1098" s="2" t="s">
        <v>28</v>
      </c>
      <c r="E1098" s="11" t="s">
        <v>269</v>
      </c>
      <c r="F1098" s="11" t="s">
        <v>151</v>
      </c>
      <c r="G1098" s="11" t="s">
        <v>503</v>
      </c>
      <c r="H1098" s="11" t="s">
        <v>47</v>
      </c>
      <c r="I1098" s="12">
        <v>1</v>
      </c>
      <c r="J1098" s="12">
        <v>120</v>
      </c>
      <c r="K1098" s="12">
        <v>108.41</v>
      </c>
      <c r="L1098" s="12">
        <v>13009.2</v>
      </c>
      <c r="M1098" s="12">
        <v>0</v>
      </c>
      <c r="N1098" s="12">
        <v>-650.46007599999996</v>
      </c>
      <c r="O1098" s="12">
        <v>1606.6360980000002</v>
      </c>
      <c r="P1098" s="12">
        <v>13965.376022</v>
      </c>
    </row>
    <row r="1099" spans="1:16" ht="14.5" x14ac:dyDescent="0.25">
      <c r="A1099" s="10">
        <v>45922</v>
      </c>
      <c r="B1099" s="2" t="str">
        <f t="shared" si="34"/>
        <v>Sep-2025</v>
      </c>
      <c r="C1099" s="2" t="str">
        <f t="shared" si="35"/>
        <v>Q2</v>
      </c>
      <c r="D1099" s="2" t="s">
        <v>28</v>
      </c>
      <c r="E1099" s="11" t="s">
        <v>270</v>
      </c>
      <c r="F1099" s="11" t="s">
        <v>151</v>
      </c>
      <c r="G1099" s="11" t="s">
        <v>503</v>
      </c>
      <c r="H1099" s="11" t="s">
        <v>172</v>
      </c>
      <c r="I1099" s="12">
        <v>0.5</v>
      </c>
      <c r="J1099" s="12">
        <v>90</v>
      </c>
      <c r="K1099" s="12">
        <v>89.82</v>
      </c>
      <c r="L1099" s="12">
        <v>8083.8</v>
      </c>
      <c r="M1099" s="12">
        <v>0</v>
      </c>
      <c r="N1099" s="12">
        <v>-404.18980999999997</v>
      </c>
      <c r="O1099" s="12">
        <v>998.3492040000001</v>
      </c>
      <c r="P1099" s="12">
        <v>8677.9593939999995</v>
      </c>
    </row>
    <row r="1100" spans="1:16" ht="14.5" x14ac:dyDescent="0.25">
      <c r="A1100" s="10">
        <v>45922</v>
      </c>
      <c r="B1100" s="2" t="str">
        <f t="shared" si="34"/>
        <v>Sep-2025</v>
      </c>
      <c r="C1100" s="2" t="str">
        <f t="shared" si="35"/>
        <v>Q2</v>
      </c>
      <c r="D1100" s="2" t="s">
        <v>28</v>
      </c>
      <c r="E1100" s="11" t="s">
        <v>270</v>
      </c>
      <c r="F1100" s="11" t="s">
        <v>151</v>
      </c>
      <c r="G1100" s="11" t="s">
        <v>503</v>
      </c>
      <c r="H1100" s="11" t="s">
        <v>87</v>
      </c>
      <c r="I1100" s="12">
        <v>0.5</v>
      </c>
      <c r="J1100" s="12">
        <v>90</v>
      </c>
      <c r="K1100" s="12">
        <v>105.31</v>
      </c>
      <c r="L1100" s="12">
        <v>9477.9</v>
      </c>
      <c r="M1100" s="12">
        <v>0</v>
      </c>
      <c r="N1100" s="12">
        <v>-473.89477700000003</v>
      </c>
      <c r="O1100" s="12">
        <v>1170.520538</v>
      </c>
      <c r="P1100" s="12">
        <v>10174.525761000001</v>
      </c>
    </row>
    <row r="1101" spans="1:16" ht="14.5" x14ac:dyDescent="0.25">
      <c r="A1101" s="10">
        <v>45922</v>
      </c>
      <c r="B1101" s="2" t="str">
        <f t="shared" si="34"/>
        <v>Sep-2025</v>
      </c>
      <c r="C1101" s="2" t="str">
        <f t="shared" si="35"/>
        <v>Q2</v>
      </c>
      <c r="D1101" s="2" t="s">
        <v>28</v>
      </c>
      <c r="E1101" s="11" t="s">
        <v>270</v>
      </c>
      <c r="F1101" s="11" t="s">
        <v>151</v>
      </c>
      <c r="G1101" s="11" t="s">
        <v>503</v>
      </c>
      <c r="H1101" s="11" t="s">
        <v>173</v>
      </c>
      <c r="I1101" s="12">
        <v>0.5</v>
      </c>
      <c r="J1101" s="12">
        <v>60</v>
      </c>
      <c r="K1101" s="12">
        <v>77.430000000000007</v>
      </c>
      <c r="L1101" s="12">
        <v>4645.8</v>
      </c>
      <c r="M1101" s="12">
        <v>0</v>
      </c>
      <c r="N1101" s="12">
        <v>-232.28989099999998</v>
      </c>
      <c r="O1101" s="12">
        <v>573.75624500000004</v>
      </c>
      <c r="P1101" s="12">
        <v>4987.2663540000003</v>
      </c>
    </row>
    <row r="1102" spans="1:16" ht="14.5" x14ac:dyDescent="0.25">
      <c r="A1102" s="10">
        <v>45922</v>
      </c>
      <c r="B1102" s="2" t="str">
        <f t="shared" si="34"/>
        <v>Sep-2025</v>
      </c>
      <c r="C1102" s="2" t="str">
        <f t="shared" si="35"/>
        <v>Q2</v>
      </c>
      <c r="D1102" s="2" t="s">
        <v>28</v>
      </c>
      <c r="E1102" s="11" t="s">
        <v>270</v>
      </c>
      <c r="F1102" s="11" t="s">
        <v>151</v>
      </c>
      <c r="G1102" s="11" t="s">
        <v>506</v>
      </c>
      <c r="H1102" s="11" t="s">
        <v>58</v>
      </c>
      <c r="I1102" s="12">
        <v>1</v>
      </c>
      <c r="J1102" s="12">
        <v>72</v>
      </c>
      <c r="K1102" s="12">
        <v>136.28</v>
      </c>
      <c r="L1102" s="12">
        <v>9812.16</v>
      </c>
      <c r="M1102" s="12">
        <v>0</v>
      </c>
      <c r="N1102" s="12">
        <v>-490.60776900000002</v>
      </c>
      <c r="O1102" s="12">
        <v>1211.8016440000001</v>
      </c>
      <c r="P1102" s="12">
        <v>10533.353875000001</v>
      </c>
    </row>
    <row r="1103" spans="1:16" ht="14.5" x14ac:dyDescent="0.25">
      <c r="A1103" s="10">
        <v>45922</v>
      </c>
      <c r="B1103" s="2" t="str">
        <f t="shared" si="34"/>
        <v>Sep-2025</v>
      </c>
      <c r="C1103" s="2" t="str">
        <f t="shared" si="35"/>
        <v>Q2</v>
      </c>
      <c r="D1103" s="2" t="s">
        <v>28</v>
      </c>
      <c r="E1103" s="11" t="s">
        <v>270</v>
      </c>
      <c r="F1103" s="11" t="s">
        <v>151</v>
      </c>
      <c r="G1103" s="11" t="s">
        <v>503</v>
      </c>
      <c r="H1103" s="11" t="s">
        <v>170</v>
      </c>
      <c r="I1103" s="12">
        <v>0.5</v>
      </c>
      <c r="J1103" s="12">
        <v>40</v>
      </c>
      <c r="K1103" s="12">
        <v>154.87</v>
      </c>
      <c r="L1103" s="12">
        <v>6194.8</v>
      </c>
      <c r="M1103" s="12">
        <v>0</v>
      </c>
      <c r="N1103" s="12">
        <v>-309.73985399999998</v>
      </c>
      <c r="O1103" s="12">
        <v>765.05772699999989</v>
      </c>
      <c r="P1103" s="12">
        <v>6650.1178730000001</v>
      </c>
    </row>
    <row r="1104" spans="1:16" ht="14.5" x14ac:dyDescent="0.25">
      <c r="A1104" s="10">
        <v>45922</v>
      </c>
      <c r="B1104" s="2" t="str">
        <f t="shared" si="34"/>
        <v>Sep-2025</v>
      </c>
      <c r="C1104" s="2" t="str">
        <f t="shared" si="35"/>
        <v>Q2</v>
      </c>
      <c r="D1104" s="2" t="s">
        <v>28</v>
      </c>
      <c r="E1104" s="11" t="s">
        <v>270</v>
      </c>
      <c r="F1104" s="11" t="s">
        <v>151</v>
      </c>
      <c r="G1104" s="11" t="s">
        <v>503</v>
      </c>
      <c r="H1104" s="11" t="s">
        <v>171</v>
      </c>
      <c r="I1104" s="12">
        <v>0.5</v>
      </c>
      <c r="J1104" s="12">
        <v>40</v>
      </c>
      <c r="K1104" s="12">
        <v>142.28</v>
      </c>
      <c r="L1104" s="12">
        <v>5691.2</v>
      </c>
      <c r="M1104" s="12">
        <v>0</v>
      </c>
      <c r="N1104" s="12">
        <v>-284.559866</v>
      </c>
      <c r="O1104" s="12">
        <v>702.86313299999995</v>
      </c>
      <c r="P1104" s="12">
        <v>6109.5032670000001</v>
      </c>
    </row>
    <row r="1105" spans="1:16" ht="14.5" x14ac:dyDescent="0.25">
      <c r="A1105" s="10">
        <v>45922</v>
      </c>
      <c r="B1105" s="2" t="str">
        <f t="shared" si="34"/>
        <v>Sep-2025</v>
      </c>
      <c r="C1105" s="2" t="str">
        <f t="shared" si="35"/>
        <v>Q2</v>
      </c>
      <c r="D1105" s="2" t="s">
        <v>28</v>
      </c>
      <c r="E1105" s="11" t="s">
        <v>270</v>
      </c>
      <c r="F1105" s="11" t="s">
        <v>151</v>
      </c>
      <c r="G1105" s="11" t="s">
        <v>503</v>
      </c>
      <c r="H1105" s="11" t="s">
        <v>166</v>
      </c>
      <c r="I1105" s="12">
        <v>0.5</v>
      </c>
      <c r="J1105" s="12">
        <v>60</v>
      </c>
      <c r="K1105" s="12">
        <v>58.85</v>
      </c>
      <c r="L1105" s="12">
        <v>3531.0000000000005</v>
      </c>
      <c r="M1105" s="12">
        <v>0</v>
      </c>
      <c r="N1105" s="12">
        <v>-176.54991700000002</v>
      </c>
      <c r="O1105" s="12">
        <v>436.07845800000001</v>
      </c>
      <c r="P1105" s="12">
        <v>3790.5285410000001</v>
      </c>
    </row>
    <row r="1106" spans="1:16" ht="14.5" x14ac:dyDescent="0.25">
      <c r="A1106" s="10">
        <v>45922</v>
      </c>
      <c r="B1106" s="2" t="str">
        <f t="shared" si="34"/>
        <v>Sep-2025</v>
      </c>
      <c r="C1106" s="2" t="str">
        <f t="shared" si="35"/>
        <v>Q2</v>
      </c>
      <c r="D1106" s="2" t="s">
        <v>28</v>
      </c>
      <c r="E1106" s="11" t="s">
        <v>270</v>
      </c>
      <c r="F1106" s="11" t="s">
        <v>151</v>
      </c>
      <c r="G1106" s="11" t="s">
        <v>504</v>
      </c>
      <c r="H1106" s="11" t="s">
        <v>67</v>
      </c>
      <c r="I1106" s="12">
        <v>1</v>
      </c>
      <c r="J1106" s="12">
        <v>40</v>
      </c>
      <c r="K1106" s="12">
        <v>360.53</v>
      </c>
      <c r="L1106" s="12">
        <v>14421.199999999999</v>
      </c>
      <c r="M1106" s="12">
        <v>0</v>
      </c>
      <c r="N1106" s="12">
        <v>-721.05966100000001</v>
      </c>
      <c r="O1106" s="12">
        <v>1781.0180290000001</v>
      </c>
      <c r="P1106" s="12">
        <v>15481.158368</v>
      </c>
    </row>
    <row r="1107" spans="1:16" ht="14.5" x14ac:dyDescent="0.25">
      <c r="A1107" s="10">
        <v>45922</v>
      </c>
      <c r="B1107" s="2" t="str">
        <f t="shared" si="34"/>
        <v>Sep-2025</v>
      </c>
      <c r="C1107" s="2" t="str">
        <f t="shared" si="35"/>
        <v>Q2</v>
      </c>
      <c r="D1107" s="2" t="s">
        <v>28</v>
      </c>
      <c r="E1107" s="11" t="s">
        <v>270</v>
      </c>
      <c r="F1107" s="11" t="s">
        <v>151</v>
      </c>
      <c r="G1107" s="11" t="s">
        <v>503</v>
      </c>
      <c r="H1107" s="11" t="s">
        <v>180</v>
      </c>
      <c r="I1107" s="12">
        <v>0.5</v>
      </c>
      <c r="J1107" s="12">
        <v>40</v>
      </c>
      <c r="K1107" s="12">
        <v>130.09</v>
      </c>
      <c r="L1107" s="12">
        <v>5203.5999999999995</v>
      </c>
      <c r="M1107" s="12">
        <v>0</v>
      </c>
      <c r="N1107" s="12">
        <v>-260.17987800000003</v>
      </c>
      <c r="O1107" s="12">
        <v>642.64453800000001</v>
      </c>
      <c r="P1107" s="12">
        <v>5586.06466</v>
      </c>
    </row>
    <row r="1108" spans="1:16" ht="14.5" x14ac:dyDescent="0.25">
      <c r="A1108" s="10">
        <v>45922</v>
      </c>
      <c r="B1108" s="2" t="str">
        <f t="shared" si="34"/>
        <v>Sep-2025</v>
      </c>
      <c r="C1108" s="2" t="str">
        <f t="shared" si="35"/>
        <v>Q2</v>
      </c>
      <c r="D1108" s="2" t="s">
        <v>28</v>
      </c>
      <c r="E1108" s="11" t="s">
        <v>270</v>
      </c>
      <c r="F1108" s="11" t="s">
        <v>151</v>
      </c>
      <c r="G1108" s="11" t="s">
        <v>504</v>
      </c>
      <c r="H1108" s="11" t="s">
        <v>69</v>
      </c>
      <c r="I1108" s="12">
        <v>1</v>
      </c>
      <c r="J1108" s="12">
        <v>100</v>
      </c>
      <c r="K1108" s="12">
        <v>148.66999999999999</v>
      </c>
      <c r="L1108" s="12">
        <v>14867</v>
      </c>
      <c r="M1108" s="12">
        <v>0</v>
      </c>
      <c r="N1108" s="12">
        <v>-743.34965000000011</v>
      </c>
      <c r="O1108" s="12">
        <v>1836.0743239999999</v>
      </c>
      <c r="P1108" s="12">
        <v>15959.724673999999</v>
      </c>
    </row>
    <row r="1109" spans="1:16" ht="14.5" x14ac:dyDescent="0.25">
      <c r="A1109" s="10">
        <v>45922</v>
      </c>
      <c r="B1109" s="2" t="str">
        <f t="shared" si="34"/>
        <v>Sep-2025</v>
      </c>
      <c r="C1109" s="2" t="str">
        <f t="shared" si="35"/>
        <v>Q2</v>
      </c>
      <c r="D1109" s="2" t="s">
        <v>28</v>
      </c>
      <c r="E1109" s="11" t="s">
        <v>270</v>
      </c>
      <c r="F1109" s="11" t="s">
        <v>151</v>
      </c>
      <c r="G1109" s="11" t="s">
        <v>503</v>
      </c>
      <c r="H1109" s="11" t="s">
        <v>175</v>
      </c>
      <c r="I1109" s="12">
        <v>0.5</v>
      </c>
      <c r="J1109" s="12">
        <v>60</v>
      </c>
      <c r="K1109" s="12">
        <v>71.239999999999995</v>
      </c>
      <c r="L1109" s="12">
        <v>4274.3999999999996</v>
      </c>
      <c r="M1109" s="12">
        <v>0</v>
      </c>
      <c r="N1109" s="12">
        <v>-213.719899</v>
      </c>
      <c r="O1109" s="12">
        <v>527.88834900000006</v>
      </c>
      <c r="P1109" s="12">
        <v>4588.5684499999998</v>
      </c>
    </row>
    <row r="1110" spans="1:16" ht="14.5" x14ac:dyDescent="0.25">
      <c r="A1110" s="10">
        <v>45922</v>
      </c>
      <c r="B1110" s="2" t="str">
        <f t="shared" si="34"/>
        <v>Sep-2025</v>
      </c>
      <c r="C1110" s="2" t="str">
        <f t="shared" si="35"/>
        <v>Q2</v>
      </c>
      <c r="D1110" s="2" t="s">
        <v>28</v>
      </c>
      <c r="E1110" s="11" t="s">
        <v>270</v>
      </c>
      <c r="F1110" s="11" t="s">
        <v>151</v>
      </c>
      <c r="G1110" s="11" t="s">
        <v>507</v>
      </c>
      <c r="H1110" s="11" t="s">
        <v>90</v>
      </c>
      <c r="I1110" s="12">
        <v>0.5</v>
      </c>
      <c r="J1110" s="12">
        <v>60</v>
      </c>
      <c r="K1110" s="12">
        <v>52.65</v>
      </c>
      <c r="L1110" s="12">
        <v>3159.0000000000005</v>
      </c>
      <c r="M1110" s="12">
        <v>0</v>
      </c>
      <c r="N1110" s="12">
        <v>-157.949926</v>
      </c>
      <c r="O1110" s="12">
        <v>390.13646299999999</v>
      </c>
      <c r="P1110" s="12">
        <v>3391.186537</v>
      </c>
    </row>
    <row r="1111" spans="1:16" ht="14.5" x14ac:dyDescent="0.25">
      <c r="A1111" s="10">
        <v>45922</v>
      </c>
      <c r="B1111" s="2" t="str">
        <f t="shared" si="34"/>
        <v>Sep-2025</v>
      </c>
      <c r="C1111" s="2" t="str">
        <f t="shared" si="35"/>
        <v>Q2</v>
      </c>
      <c r="D1111" s="2" t="s">
        <v>28</v>
      </c>
      <c r="E1111" s="11" t="s">
        <v>270</v>
      </c>
      <c r="F1111" s="11" t="s">
        <v>151</v>
      </c>
      <c r="G1111" s="11" t="s">
        <v>503</v>
      </c>
      <c r="H1111" s="11" t="s">
        <v>63</v>
      </c>
      <c r="I1111" s="12">
        <v>1</v>
      </c>
      <c r="J1111" s="12">
        <v>80</v>
      </c>
      <c r="K1111" s="12">
        <v>170.35</v>
      </c>
      <c r="L1111" s="12">
        <v>13628.000000000002</v>
      </c>
      <c r="M1111" s="12">
        <v>0</v>
      </c>
      <c r="N1111" s="12">
        <v>-681.39967899999999</v>
      </c>
      <c r="O1111" s="12">
        <v>1683.0578389999998</v>
      </c>
      <c r="P1111" s="12">
        <v>14629.658160000001</v>
      </c>
    </row>
    <row r="1112" spans="1:16" ht="14.5" x14ac:dyDescent="0.25">
      <c r="A1112" s="10">
        <v>45922</v>
      </c>
      <c r="B1112" s="2" t="str">
        <f t="shared" si="34"/>
        <v>Sep-2025</v>
      </c>
      <c r="C1112" s="2" t="str">
        <f t="shared" si="35"/>
        <v>Q2</v>
      </c>
      <c r="D1112" s="2" t="s">
        <v>28</v>
      </c>
      <c r="E1112" s="11" t="s">
        <v>270</v>
      </c>
      <c r="F1112" s="11" t="s">
        <v>151</v>
      </c>
      <c r="G1112" s="11" t="s">
        <v>505</v>
      </c>
      <c r="H1112" s="11" t="s">
        <v>168</v>
      </c>
      <c r="I1112" s="12">
        <v>0.5</v>
      </c>
      <c r="J1112" s="12">
        <v>40</v>
      </c>
      <c r="K1112" s="12">
        <v>210.62</v>
      </c>
      <c r="L1112" s="12">
        <v>8424.7999999999993</v>
      </c>
      <c r="M1112" s="12">
        <v>0</v>
      </c>
      <c r="N1112" s="12">
        <v>-421.239802</v>
      </c>
      <c r="O1112" s="12">
        <v>1040.4627</v>
      </c>
      <c r="P1112" s="12">
        <v>9044.0228979999993</v>
      </c>
    </row>
    <row r="1113" spans="1:16" ht="14.5" x14ac:dyDescent="0.25">
      <c r="A1113" s="10">
        <v>45922</v>
      </c>
      <c r="B1113" s="2" t="str">
        <f t="shared" si="34"/>
        <v>Sep-2025</v>
      </c>
      <c r="C1113" s="2" t="str">
        <f t="shared" si="35"/>
        <v>Q2</v>
      </c>
      <c r="D1113" s="2" t="s">
        <v>28</v>
      </c>
      <c r="E1113" s="11" t="s">
        <v>270</v>
      </c>
      <c r="F1113" s="11" t="s">
        <v>151</v>
      </c>
      <c r="G1113" s="11" t="s">
        <v>505</v>
      </c>
      <c r="H1113" s="11" t="s">
        <v>62</v>
      </c>
      <c r="I1113" s="12">
        <v>1</v>
      </c>
      <c r="J1113" s="12">
        <v>40</v>
      </c>
      <c r="K1113" s="12">
        <v>402.65</v>
      </c>
      <c r="L1113" s="12">
        <v>16106</v>
      </c>
      <c r="M1113" s="12">
        <v>0</v>
      </c>
      <c r="N1113" s="12">
        <v>-805.299621</v>
      </c>
      <c r="O1113" s="12">
        <v>1989.090809</v>
      </c>
      <c r="P1113" s="12">
        <v>17289.791187999999</v>
      </c>
    </row>
    <row r="1114" spans="1:16" ht="14.5" x14ac:dyDescent="0.25">
      <c r="A1114" s="10">
        <v>45922</v>
      </c>
      <c r="B1114" s="2" t="str">
        <f t="shared" si="34"/>
        <v>Sep-2025</v>
      </c>
      <c r="C1114" s="2" t="str">
        <f t="shared" si="35"/>
        <v>Q2</v>
      </c>
      <c r="D1114" s="2" t="s">
        <v>28</v>
      </c>
      <c r="E1114" s="11" t="s">
        <v>271</v>
      </c>
      <c r="F1114" s="11" t="s">
        <v>151</v>
      </c>
      <c r="G1114" s="11" t="s">
        <v>504</v>
      </c>
      <c r="H1114" s="11" t="s">
        <v>53</v>
      </c>
      <c r="I1114" s="12">
        <v>1</v>
      </c>
      <c r="J1114" s="12">
        <v>100</v>
      </c>
      <c r="K1114" s="12">
        <v>126</v>
      </c>
      <c r="L1114" s="12">
        <v>12600</v>
      </c>
      <c r="M1114" s="12">
        <v>0</v>
      </c>
      <c r="N1114" s="12">
        <v>-630</v>
      </c>
      <c r="O1114" s="12">
        <v>0</v>
      </c>
      <c r="P1114" s="12">
        <v>11970</v>
      </c>
    </row>
    <row r="1115" spans="1:16" ht="14.5" x14ac:dyDescent="0.25">
      <c r="A1115" s="10">
        <v>45922</v>
      </c>
      <c r="B1115" s="2" t="str">
        <f t="shared" si="34"/>
        <v>Sep-2025</v>
      </c>
      <c r="C1115" s="2" t="str">
        <f t="shared" si="35"/>
        <v>Q2</v>
      </c>
      <c r="D1115" s="2" t="s">
        <v>28</v>
      </c>
      <c r="E1115" s="11" t="s">
        <v>271</v>
      </c>
      <c r="F1115" s="11" t="s">
        <v>151</v>
      </c>
      <c r="G1115" s="11" t="s">
        <v>504</v>
      </c>
      <c r="H1115" s="11" t="s">
        <v>61</v>
      </c>
      <c r="I1115" s="12">
        <v>2</v>
      </c>
      <c r="J1115" s="12">
        <v>80</v>
      </c>
      <c r="K1115" s="12">
        <v>308</v>
      </c>
      <c r="L1115" s="12">
        <v>24640</v>
      </c>
      <c r="M1115" s="12">
        <v>0</v>
      </c>
      <c r="N1115" s="12">
        <v>-1232</v>
      </c>
      <c r="O1115" s="12">
        <v>0</v>
      </c>
      <c r="P1115" s="12">
        <v>23408</v>
      </c>
    </row>
    <row r="1116" spans="1:16" ht="14.5" x14ac:dyDescent="0.25">
      <c r="A1116" s="10">
        <v>45922</v>
      </c>
      <c r="B1116" s="2" t="str">
        <f t="shared" si="34"/>
        <v>Sep-2025</v>
      </c>
      <c r="C1116" s="2" t="str">
        <f t="shared" si="35"/>
        <v>Q2</v>
      </c>
      <c r="D1116" s="2" t="s">
        <v>28</v>
      </c>
      <c r="E1116" s="11" t="s">
        <v>272</v>
      </c>
      <c r="F1116" s="11" t="s">
        <v>236</v>
      </c>
      <c r="G1116" s="11" t="s">
        <v>507</v>
      </c>
      <c r="H1116" s="11" t="s">
        <v>90</v>
      </c>
      <c r="I1116" s="12">
        <v>2</v>
      </c>
      <c r="J1116" s="12">
        <v>240</v>
      </c>
      <c r="K1116" s="12">
        <v>57.46</v>
      </c>
      <c r="L1116" s="12">
        <v>13790.4</v>
      </c>
      <c r="M1116" s="12">
        <v>-1253.55</v>
      </c>
      <c r="N1116" s="12">
        <v>0</v>
      </c>
      <c r="O1116" s="12">
        <v>1629.79</v>
      </c>
      <c r="P1116" s="12">
        <v>14166.64</v>
      </c>
    </row>
    <row r="1117" spans="1:16" ht="14.5" x14ac:dyDescent="0.25">
      <c r="A1117" s="10">
        <v>45923</v>
      </c>
      <c r="B1117" s="2" t="str">
        <f t="shared" si="34"/>
        <v>Sep-2025</v>
      </c>
      <c r="C1117" s="2" t="str">
        <f t="shared" si="35"/>
        <v>Q2</v>
      </c>
      <c r="D1117" s="2" t="s">
        <v>28</v>
      </c>
      <c r="E1117" s="11" t="s">
        <v>273</v>
      </c>
      <c r="F1117" s="11" t="s">
        <v>151</v>
      </c>
      <c r="G1117" s="11" t="s">
        <v>504</v>
      </c>
      <c r="H1117" s="11" t="s">
        <v>53</v>
      </c>
      <c r="I1117" s="12">
        <v>0.4</v>
      </c>
      <c r="J1117" s="12">
        <v>40</v>
      </c>
      <c r="K1117" s="12">
        <v>126</v>
      </c>
      <c r="L1117" s="12">
        <v>5040</v>
      </c>
      <c r="M1117" s="12">
        <v>0</v>
      </c>
      <c r="N1117" s="12">
        <v>-252</v>
      </c>
      <c r="O1117" s="12">
        <v>0</v>
      </c>
      <c r="P1117" s="12">
        <v>4788</v>
      </c>
    </row>
    <row r="1118" spans="1:16" ht="14.5" x14ac:dyDescent="0.25">
      <c r="A1118" s="10">
        <v>45923</v>
      </c>
      <c r="B1118" s="2" t="str">
        <f t="shared" si="34"/>
        <v>Sep-2025</v>
      </c>
      <c r="C1118" s="2" t="str">
        <f t="shared" si="35"/>
        <v>Q2</v>
      </c>
      <c r="D1118" s="2" t="s">
        <v>28</v>
      </c>
      <c r="E1118" s="11" t="s">
        <v>273</v>
      </c>
      <c r="F1118" s="11" t="s">
        <v>151</v>
      </c>
      <c r="G1118" s="11" t="s">
        <v>504</v>
      </c>
      <c r="H1118" s="11" t="s">
        <v>61</v>
      </c>
      <c r="I1118" s="12">
        <v>1</v>
      </c>
      <c r="J1118" s="12">
        <v>40</v>
      </c>
      <c r="K1118" s="12">
        <v>308</v>
      </c>
      <c r="L1118" s="12">
        <v>12320</v>
      </c>
      <c r="M1118" s="12">
        <v>0</v>
      </c>
      <c r="N1118" s="12">
        <v>-616</v>
      </c>
      <c r="O1118" s="12">
        <v>0</v>
      </c>
      <c r="P1118" s="12">
        <v>11704</v>
      </c>
    </row>
    <row r="1119" spans="1:16" ht="14.5" x14ac:dyDescent="0.25">
      <c r="A1119" s="10">
        <v>45923</v>
      </c>
      <c r="B1119" s="2" t="str">
        <f t="shared" si="34"/>
        <v>Sep-2025</v>
      </c>
      <c r="C1119" s="2" t="str">
        <f t="shared" si="35"/>
        <v>Q2</v>
      </c>
      <c r="D1119" s="2" t="s">
        <v>28</v>
      </c>
      <c r="E1119" s="11" t="s">
        <v>274</v>
      </c>
      <c r="F1119" s="11" t="s">
        <v>151</v>
      </c>
      <c r="G1119" s="11" t="s">
        <v>504</v>
      </c>
      <c r="H1119" s="11" t="s">
        <v>53</v>
      </c>
      <c r="I1119" s="12">
        <v>2</v>
      </c>
      <c r="J1119" s="12">
        <v>200</v>
      </c>
      <c r="K1119" s="12">
        <v>126</v>
      </c>
      <c r="L1119" s="12">
        <v>25200</v>
      </c>
      <c r="M1119" s="12">
        <v>0</v>
      </c>
      <c r="N1119" s="12">
        <v>-1260</v>
      </c>
      <c r="O1119" s="12">
        <v>0</v>
      </c>
      <c r="P1119" s="12">
        <v>23940</v>
      </c>
    </row>
    <row r="1120" spans="1:16" ht="14.5" x14ac:dyDescent="0.25">
      <c r="A1120" s="10">
        <v>45923</v>
      </c>
      <c r="B1120" s="2" t="str">
        <f t="shared" si="34"/>
        <v>Sep-2025</v>
      </c>
      <c r="C1120" s="2" t="str">
        <f t="shared" si="35"/>
        <v>Q2</v>
      </c>
      <c r="D1120" s="2" t="s">
        <v>28</v>
      </c>
      <c r="E1120" s="11" t="s">
        <v>274</v>
      </c>
      <c r="F1120" s="11" t="s">
        <v>151</v>
      </c>
      <c r="G1120" s="11" t="s">
        <v>504</v>
      </c>
      <c r="H1120" s="11" t="s">
        <v>61</v>
      </c>
      <c r="I1120" s="12">
        <v>2</v>
      </c>
      <c r="J1120" s="12">
        <v>80</v>
      </c>
      <c r="K1120" s="12">
        <v>308</v>
      </c>
      <c r="L1120" s="12">
        <v>24640</v>
      </c>
      <c r="M1120" s="12">
        <v>0</v>
      </c>
      <c r="N1120" s="12">
        <v>-1232</v>
      </c>
      <c r="O1120" s="12">
        <v>0</v>
      </c>
      <c r="P1120" s="12">
        <v>23408</v>
      </c>
    </row>
    <row r="1121" spans="1:16" ht="14.5" x14ac:dyDescent="0.25">
      <c r="A1121" s="10">
        <v>45923</v>
      </c>
      <c r="B1121" s="2" t="str">
        <f t="shared" si="34"/>
        <v>Sep-2025</v>
      </c>
      <c r="C1121" s="2" t="str">
        <f t="shared" si="35"/>
        <v>Q2</v>
      </c>
      <c r="D1121" s="2" t="s">
        <v>28</v>
      </c>
      <c r="E1121" s="11" t="s">
        <v>275</v>
      </c>
      <c r="F1121" s="11" t="s">
        <v>151</v>
      </c>
      <c r="G1121" s="11" t="s">
        <v>507</v>
      </c>
      <c r="H1121" s="11" t="s">
        <v>60</v>
      </c>
      <c r="I1121" s="12">
        <v>1</v>
      </c>
      <c r="J1121" s="12">
        <v>60</v>
      </c>
      <c r="K1121" s="12">
        <v>89.82</v>
      </c>
      <c r="L1121" s="12">
        <v>5389.2</v>
      </c>
      <c r="M1121" s="12">
        <v>0</v>
      </c>
      <c r="N1121" s="12">
        <v>-269.45999999999998</v>
      </c>
      <c r="O1121" s="12">
        <v>665.56607200000008</v>
      </c>
      <c r="P1121" s="12">
        <v>5785.3060720000003</v>
      </c>
    </row>
    <row r="1122" spans="1:16" ht="14.5" x14ac:dyDescent="0.25">
      <c r="A1122" s="10">
        <v>45923</v>
      </c>
      <c r="B1122" s="2" t="str">
        <f t="shared" si="34"/>
        <v>Sep-2025</v>
      </c>
      <c r="C1122" s="2" t="str">
        <f t="shared" si="35"/>
        <v>Q2</v>
      </c>
      <c r="D1122" s="2" t="s">
        <v>28</v>
      </c>
      <c r="E1122" s="11" t="s">
        <v>275</v>
      </c>
      <c r="F1122" s="11" t="s">
        <v>151</v>
      </c>
      <c r="G1122" s="11" t="s">
        <v>508</v>
      </c>
      <c r="H1122" s="11" t="s">
        <v>178</v>
      </c>
      <c r="I1122" s="12">
        <v>1</v>
      </c>
      <c r="J1122" s="12">
        <v>60</v>
      </c>
      <c r="K1122" s="12">
        <v>136.28</v>
      </c>
      <c r="L1122" s="12">
        <v>8176.8</v>
      </c>
      <c r="M1122" s="12">
        <v>0</v>
      </c>
      <c r="N1122" s="12">
        <v>-408.84</v>
      </c>
      <c r="O1122" s="12">
        <v>1009.834607</v>
      </c>
      <c r="P1122" s="12">
        <v>8777.7946069999998</v>
      </c>
    </row>
    <row r="1123" spans="1:16" ht="14.5" x14ac:dyDescent="0.25">
      <c r="A1123" s="10">
        <v>45923</v>
      </c>
      <c r="B1123" s="2" t="str">
        <f t="shared" ref="B1123:B1186" si="36">+TEXT(A1123,"MMM-yyy")</f>
        <v>Sep-2025</v>
      </c>
      <c r="C1123" s="2" t="str">
        <f t="shared" ref="C1123:C1186" si="37">"Q" &amp; CHOOSE(MONTH(A1123),4,4,4,1,1,1,2,2,2,3,3,3)</f>
        <v>Q2</v>
      </c>
      <c r="D1123" s="2" t="s">
        <v>28</v>
      </c>
      <c r="E1123" s="11" t="s">
        <v>275</v>
      </c>
      <c r="F1123" s="11" t="s">
        <v>151</v>
      </c>
      <c r="G1123" s="11" t="s">
        <v>503</v>
      </c>
      <c r="H1123" s="11" t="s">
        <v>177</v>
      </c>
      <c r="I1123" s="12">
        <v>0.5</v>
      </c>
      <c r="J1123" s="12">
        <v>60</v>
      </c>
      <c r="K1123" s="12">
        <v>86.73</v>
      </c>
      <c r="L1123" s="12">
        <v>5203.8</v>
      </c>
      <c r="M1123" s="12">
        <v>0</v>
      </c>
      <c r="N1123" s="12">
        <v>-260.19</v>
      </c>
      <c r="O1123" s="12">
        <v>642.66917699999999</v>
      </c>
      <c r="P1123" s="12">
        <v>5586.2791770000003</v>
      </c>
    </row>
    <row r="1124" spans="1:16" ht="14.5" x14ac:dyDescent="0.25">
      <c r="A1124" s="10">
        <v>45923</v>
      </c>
      <c r="B1124" s="2" t="str">
        <f t="shared" si="36"/>
        <v>Sep-2025</v>
      </c>
      <c r="C1124" s="2" t="str">
        <f t="shared" si="37"/>
        <v>Q2</v>
      </c>
      <c r="D1124" s="2" t="s">
        <v>28</v>
      </c>
      <c r="E1124" s="11" t="s">
        <v>275</v>
      </c>
      <c r="F1124" s="11" t="s">
        <v>151</v>
      </c>
      <c r="G1124" s="11" t="s">
        <v>503</v>
      </c>
      <c r="H1124" s="11" t="s">
        <v>179</v>
      </c>
      <c r="I1124" s="12">
        <v>0.5</v>
      </c>
      <c r="J1124" s="12">
        <v>90</v>
      </c>
      <c r="K1124" s="12">
        <v>111.5</v>
      </c>
      <c r="L1124" s="12">
        <v>10035</v>
      </c>
      <c r="M1124" s="12">
        <v>0</v>
      </c>
      <c r="N1124" s="12">
        <v>-501.75</v>
      </c>
      <c r="O1124" s="12">
        <v>1239.322263</v>
      </c>
      <c r="P1124" s="12">
        <v>10772.572263</v>
      </c>
    </row>
    <row r="1125" spans="1:16" ht="14.5" x14ac:dyDescent="0.25">
      <c r="A1125" s="10">
        <v>45923</v>
      </c>
      <c r="B1125" s="2" t="str">
        <f t="shared" si="36"/>
        <v>Sep-2025</v>
      </c>
      <c r="C1125" s="2" t="str">
        <f t="shared" si="37"/>
        <v>Q2</v>
      </c>
      <c r="D1125" s="2" t="s">
        <v>28</v>
      </c>
      <c r="E1125" s="11" t="s">
        <v>275</v>
      </c>
      <c r="F1125" s="11" t="s">
        <v>151</v>
      </c>
      <c r="G1125" s="11" t="s">
        <v>503</v>
      </c>
      <c r="H1125" s="11" t="s">
        <v>176</v>
      </c>
      <c r="I1125" s="12">
        <v>0.5</v>
      </c>
      <c r="J1125" s="12">
        <v>60</v>
      </c>
      <c r="K1125" s="12">
        <v>145.58000000000001</v>
      </c>
      <c r="L1125" s="12">
        <v>8734.7999999999993</v>
      </c>
      <c r="M1125" s="12">
        <v>0</v>
      </c>
      <c r="N1125" s="12">
        <v>-436.74</v>
      </c>
      <c r="O1125" s="12">
        <v>1078.7475930000001</v>
      </c>
      <c r="P1125" s="12">
        <v>9376.8075929999995</v>
      </c>
    </row>
    <row r="1126" spans="1:16" ht="14.5" x14ac:dyDescent="0.25">
      <c r="A1126" s="10">
        <v>45923</v>
      </c>
      <c r="B1126" s="2" t="str">
        <f t="shared" si="36"/>
        <v>Sep-2025</v>
      </c>
      <c r="C1126" s="2" t="str">
        <f t="shared" si="37"/>
        <v>Q2</v>
      </c>
      <c r="D1126" s="2" t="s">
        <v>28</v>
      </c>
      <c r="E1126" s="11" t="s">
        <v>275</v>
      </c>
      <c r="F1126" s="11" t="s">
        <v>151</v>
      </c>
      <c r="G1126" s="11" t="s">
        <v>503</v>
      </c>
      <c r="H1126" s="11" t="s">
        <v>166</v>
      </c>
      <c r="I1126" s="12">
        <v>0.5</v>
      </c>
      <c r="J1126" s="12">
        <v>60</v>
      </c>
      <c r="K1126" s="12">
        <v>58.85</v>
      </c>
      <c r="L1126" s="12">
        <v>3531.0000000000005</v>
      </c>
      <c r="M1126" s="12">
        <v>0</v>
      </c>
      <c r="N1126" s="12">
        <v>-176.55</v>
      </c>
      <c r="O1126" s="12">
        <v>436.078416</v>
      </c>
      <c r="P1126" s="12">
        <v>3790.5284160000001</v>
      </c>
    </row>
    <row r="1127" spans="1:16" ht="14.5" x14ac:dyDescent="0.25">
      <c r="A1127" s="10">
        <v>45923</v>
      </c>
      <c r="B1127" s="2" t="str">
        <f t="shared" si="36"/>
        <v>Sep-2025</v>
      </c>
      <c r="C1127" s="2" t="str">
        <f t="shared" si="37"/>
        <v>Q2</v>
      </c>
      <c r="D1127" s="2" t="s">
        <v>28</v>
      </c>
      <c r="E1127" s="11" t="s">
        <v>275</v>
      </c>
      <c r="F1127" s="11" t="s">
        <v>151</v>
      </c>
      <c r="G1127" s="11" t="s">
        <v>505</v>
      </c>
      <c r="H1127" s="11" t="s">
        <v>168</v>
      </c>
      <c r="I1127" s="12">
        <v>0.5</v>
      </c>
      <c r="J1127" s="12">
        <v>40</v>
      </c>
      <c r="K1127" s="12">
        <v>210.62</v>
      </c>
      <c r="L1127" s="12">
        <v>8424.7999999999993</v>
      </c>
      <c r="M1127" s="12">
        <v>0</v>
      </c>
      <c r="N1127" s="12">
        <v>-421.24</v>
      </c>
      <c r="O1127" s="12">
        <v>1040.4626009999999</v>
      </c>
      <c r="P1127" s="12">
        <v>9044.0226010000006</v>
      </c>
    </row>
    <row r="1128" spans="1:16" ht="14.5" x14ac:dyDescent="0.25">
      <c r="A1128" s="10">
        <v>45923</v>
      </c>
      <c r="B1128" s="2" t="str">
        <f t="shared" si="36"/>
        <v>Sep-2025</v>
      </c>
      <c r="C1128" s="2" t="str">
        <f t="shared" si="37"/>
        <v>Q2</v>
      </c>
      <c r="D1128" s="2" t="s">
        <v>28</v>
      </c>
      <c r="E1128" s="11" t="s">
        <v>275</v>
      </c>
      <c r="F1128" s="11" t="s">
        <v>151</v>
      </c>
      <c r="G1128" s="11" t="s">
        <v>506</v>
      </c>
      <c r="H1128" s="11" t="s">
        <v>39</v>
      </c>
      <c r="I1128" s="12">
        <v>1</v>
      </c>
      <c r="J1128" s="12">
        <v>72</v>
      </c>
      <c r="K1128" s="12">
        <v>120.8</v>
      </c>
      <c r="L1128" s="12">
        <v>8697.6</v>
      </c>
      <c r="M1128" s="12">
        <v>0</v>
      </c>
      <c r="N1128" s="12">
        <v>-434.88</v>
      </c>
      <c r="O1128" s="12">
        <v>1074.1533940000002</v>
      </c>
      <c r="P1128" s="12">
        <v>9336.8733940000002</v>
      </c>
    </row>
    <row r="1129" spans="1:16" ht="14.5" x14ac:dyDescent="0.25">
      <c r="A1129" s="10">
        <v>45923</v>
      </c>
      <c r="B1129" s="2" t="str">
        <f t="shared" si="36"/>
        <v>Sep-2025</v>
      </c>
      <c r="C1129" s="2" t="str">
        <f t="shared" si="37"/>
        <v>Q2</v>
      </c>
      <c r="D1129" s="2" t="s">
        <v>28</v>
      </c>
      <c r="E1129" s="11" t="s">
        <v>275</v>
      </c>
      <c r="F1129" s="11" t="s">
        <v>151</v>
      </c>
      <c r="G1129" s="11" t="s">
        <v>503</v>
      </c>
      <c r="H1129" s="11" t="s">
        <v>174</v>
      </c>
      <c r="I1129" s="12">
        <v>0.5</v>
      </c>
      <c r="J1129" s="12">
        <v>90</v>
      </c>
      <c r="K1129" s="12">
        <v>76.81</v>
      </c>
      <c r="L1129" s="12">
        <v>6912.9000000000005</v>
      </c>
      <c r="M1129" s="12">
        <v>0</v>
      </c>
      <c r="N1129" s="12">
        <v>-345.64499999999998</v>
      </c>
      <c r="O1129" s="12">
        <v>853.74298599999997</v>
      </c>
      <c r="P1129" s="12">
        <v>7420.9979860000003</v>
      </c>
    </row>
    <row r="1130" spans="1:16" ht="14.5" x14ac:dyDescent="0.25">
      <c r="A1130" s="10">
        <v>45923</v>
      </c>
      <c r="B1130" s="2" t="str">
        <f t="shared" si="36"/>
        <v>Sep-2025</v>
      </c>
      <c r="C1130" s="2" t="str">
        <f t="shared" si="37"/>
        <v>Q2</v>
      </c>
      <c r="D1130" s="2" t="s">
        <v>28</v>
      </c>
      <c r="E1130" s="11" t="s">
        <v>275</v>
      </c>
      <c r="F1130" s="11" t="s">
        <v>151</v>
      </c>
      <c r="G1130" s="11" t="s">
        <v>507</v>
      </c>
      <c r="H1130" s="11" t="s">
        <v>90</v>
      </c>
      <c r="I1130" s="12">
        <v>0.5</v>
      </c>
      <c r="J1130" s="12">
        <v>60</v>
      </c>
      <c r="K1130" s="12">
        <v>52.65</v>
      </c>
      <c r="L1130" s="12">
        <v>3159.0000000000005</v>
      </c>
      <c r="M1130" s="12">
        <v>0</v>
      </c>
      <c r="N1130" s="12">
        <v>-157.94999999999999</v>
      </c>
      <c r="O1130" s="12">
        <v>390.13642500000003</v>
      </c>
      <c r="P1130" s="12">
        <v>3391.1864249999999</v>
      </c>
    </row>
    <row r="1131" spans="1:16" ht="14.5" x14ac:dyDescent="0.25">
      <c r="A1131" s="10">
        <v>45923</v>
      </c>
      <c r="B1131" s="2" t="str">
        <f t="shared" si="36"/>
        <v>Sep-2025</v>
      </c>
      <c r="C1131" s="2" t="str">
        <f t="shared" si="37"/>
        <v>Q2</v>
      </c>
      <c r="D1131" s="2" t="s">
        <v>28</v>
      </c>
      <c r="E1131" s="11" t="s">
        <v>275</v>
      </c>
      <c r="F1131" s="11" t="s">
        <v>151</v>
      </c>
      <c r="G1131" s="11" t="s">
        <v>505</v>
      </c>
      <c r="H1131" s="11" t="s">
        <v>62</v>
      </c>
      <c r="I1131" s="12">
        <v>1</v>
      </c>
      <c r="J1131" s="12">
        <v>40</v>
      </c>
      <c r="K1131" s="12">
        <v>402.65</v>
      </c>
      <c r="L1131" s="12">
        <v>16106</v>
      </c>
      <c r="M1131" s="12">
        <v>0</v>
      </c>
      <c r="N1131" s="12">
        <v>-805.3</v>
      </c>
      <c r="O1131" s="12">
        <v>1989.0906190000001</v>
      </c>
      <c r="P1131" s="12">
        <v>17289.790618999999</v>
      </c>
    </row>
    <row r="1132" spans="1:16" ht="14.5" x14ac:dyDescent="0.25">
      <c r="A1132" s="10">
        <v>45923</v>
      </c>
      <c r="B1132" s="2" t="str">
        <f t="shared" si="36"/>
        <v>Sep-2025</v>
      </c>
      <c r="C1132" s="2" t="str">
        <f t="shared" si="37"/>
        <v>Q2</v>
      </c>
      <c r="D1132" s="2" t="s">
        <v>28</v>
      </c>
      <c r="E1132" s="11" t="s">
        <v>275</v>
      </c>
      <c r="F1132" s="11" t="s">
        <v>151</v>
      </c>
      <c r="G1132" s="11" t="s">
        <v>503</v>
      </c>
      <c r="H1132" s="11" t="s">
        <v>190</v>
      </c>
      <c r="I1132" s="12">
        <v>0.5</v>
      </c>
      <c r="J1132" s="12">
        <v>90</v>
      </c>
      <c r="K1132" s="12">
        <v>74.34</v>
      </c>
      <c r="L1132" s="12">
        <v>6690.5999999999995</v>
      </c>
      <c r="M1132" s="12">
        <v>0</v>
      </c>
      <c r="N1132" s="12">
        <v>-334.53</v>
      </c>
      <c r="O1132" s="12">
        <v>826.28894199999991</v>
      </c>
      <c r="P1132" s="12">
        <v>7182.3589419999998</v>
      </c>
    </row>
    <row r="1133" spans="1:16" ht="14.5" x14ac:dyDescent="0.25">
      <c r="A1133" s="10">
        <v>45923</v>
      </c>
      <c r="B1133" s="2" t="str">
        <f t="shared" si="36"/>
        <v>Sep-2025</v>
      </c>
      <c r="C1133" s="2" t="str">
        <f t="shared" si="37"/>
        <v>Q2</v>
      </c>
      <c r="D1133" s="2" t="s">
        <v>28</v>
      </c>
      <c r="E1133" s="11" t="s">
        <v>275</v>
      </c>
      <c r="F1133" s="11" t="s">
        <v>151</v>
      </c>
      <c r="G1133" s="11" t="s">
        <v>503</v>
      </c>
      <c r="H1133" s="11" t="s">
        <v>172</v>
      </c>
      <c r="I1133" s="12">
        <v>0.5</v>
      </c>
      <c r="J1133" s="12">
        <v>90</v>
      </c>
      <c r="K1133" s="12">
        <v>89.82</v>
      </c>
      <c r="L1133" s="12">
        <v>8083.8</v>
      </c>
      <c r="M1133" s="12">
        <v>0</v>
      </c>
      <c r="N1133" s="12">
        <v>-404.19</v>
      </c>
      <c r="O1133" s="12">
        <v>998.349109</v>
      </c>
      <c r="P1133" s="12">
        <v>8677.9591089999994</v>
      </c>
    </row>
    <row r="1134" spans="1:16" ht="14.5" x14ac:dyDescent="0.25">
      <c r="A1134" s="10">
        <v>45923</v>
      </c>
      <c r="B1134" s="2" t="str">
        <f t="shared" si="36"/>
        <v>Sep-2025</v>
      </c>
      <c r="C1134" s="2" t="str">
        <f t="shared" si="37"/>
        <v>Q2</v>
      </c>
      <c r="D1134" s="2" t="s">
        <v>28</v>
      </c>
      <c r="E1134" s="11" t="s">
        <v>275</v>
      </c>
      <c r="F1134" s="11" t="s">
        <v>151</v>
      </c>
      <c r="G1134" s="11" t="s">
        <v>505</v>
      </c>
      <c r="H1134" s="11" t="s">
        <v>50</v>
      </c>
      <c r="I1134" s="12">
        <v>0.5</v>
      </c>
      <c r="J1134" s="12">
        <v>40</v>
      </c>
      <c r="K1134" s="12">
        <v>154.87</v>
      </c>
      <c r="L1134" s="12">
        <v>6194.8</v>
      </c>
      <c r="M1134" s="12">
        <v>0</v>
      </c>
      <c r="N1134" s="12">
        <v>-309.74</v>
      </c>
      <c r="O1134" s="12">
        <v>765.05765299999996</v>
      </c>
      <c r="P1134" s="12">
        <v>6650.1176530000002</v>
      </c>
    </row>
    <row r="1135" spans="1:16" ht="14.5" x14ac:dyDescent="0.25">
      <c r="A1135" s="10">
        <v>45923</v>
      </c>
      <c r="B1135" s="2" t="str">
        <f t="shared" si="36"/>
        <v>Sep-2025</v>
      </c>
      <c r="C1135" s="2" t="str">
        <f t="shared" si="37"/>
        <v>Q2</v>
      </c>
      <c r="D1135" s="2" t="s">
        <v>28</v>
      </c>
      <c r="E1135" s="11" t="s">
        <v>275</v>
      </c>
      <c r="F1135" s="11" t="s">
        <v>151</v>
      </c>
      <c r="G1135" s="11" t="s">
        <v>503</v>
      </c>
      <c r="H1135" s="11" t="s">
        <v>170</v>
      </c>
      <c r="I1135" s="12">
        <v>0.5</v>
      </c>
      <c r="J1135" s="12">
        <v>40</v>
      </c>
      <c r="K1135" s="12">
        <v>154.87</v>
      </c>
      <c r="L1135" s="12">
        <v>6194.8</v>
      </c>
      <c r="M1135" s="12">
        <v>0</v>
      </c>
      <c r="N1135" s="12">
        <v>-309.74</v>
      </c>
      <c r="O1135" s="12">
        <v>765.05765299999996</v>
      </c>
      <c r="P1135" s="12">
        <v>6650.1176530000002</v>
      </c>
    </row>
    <row r="1136" spans="1:16" ht="14.5" x14ac:dyDescent="0.25">
      <c r="A1136" s="10">
        <v>45923</v>
      </c>
      <c r="B1136" s="2" t="str">
        <f t="shared" si="36"/>
        <v>Sep-2025</v>
      </c>
      <c r="C1136" s="2" t="str">
        <f t="shared" si="37"/>
        <v>Q2</v>
      </c>
      <c r="D1136" s="2" t="s">
        <v>28</v>
      </c>
      <c r="E1136" s="11" t="s">
        <v>275</v>
      </c>
      <c r="F1136" s="11" t="s">
        <v>151</v>
      </c>
      <c r="G1136" s="11" t="s">
        <v>503</v>
      </c>
      <c r="H1136" s="11" t="s">
        <v>171</v>
      </c>
      <c r="I1136" s="12">
        <v>0.5</v>
      </c>
      <c r="J1136" s="12">
        <v>40</v>
      </c>
      <c r="K1136" s="12">
        <v>142.47999999999999</v>
      </c>
      <c r="L1136" s="12">
        <v>5699.2</v>
      </c>
      <c r="M1136" s="12">
        <v>0</v>
      </c>
      <c r="N1136" s="12">
        <v>-284.95999999999998</v>
      </c>
      <c r="O1136" s="12">
        <v>703.85106499999995</v>
      </c>
      <c r="P1136" s="12">
        <v>6118.0910649999996</v>
      </c>
    </row>
    <row r="1137" spans="1:16" ht="14.5" x14ac:dyDescent="0.25">
      <c r="A1137" s="10">
        <v>45923</v>
      </c>
      <c r="B1137" s="2" t="str">
        <f t="shared" si="36"/>
        <v>Sep-2025</v>
      </c>
      <c r="C1137" s="2" t="str">
        <f t="shared" si="37"/>
        <v>Q2</v>
      </c>
      <c r="D1137" s="2" t="s">
        <v>28</v>
      </c>
      <c r="E1137" s="11" t="s">
        <v>275</v>
      </c>
      <c r="F1137" s="11" t="s">
        <v>151</v>
      </c>
      <c r="G1137" s="11" t="s">
        <v>504</v>
      </c>
      <c r="H1137" s="11" t="s">
        <v>67</v>
      </c>
      <c r="I1137" s="12">
        <v>2</v>
      </c>
      <c r="J1137" s="12">
        <v>80</v>
      </c>
      <c r="K1137" s="12">
        <v>360.53</v>
      </c>
      <c r="L1137" s="12">
        <v>28842.399999999998</v>
      </c>
      <c r="M1137" s="12">
        <v>0</v>
      </c>
      <c r="N1137" s="12">
        <v>-1442.12</v>
      </c>
      <c r="O1137" s="12">
        <v>3562.0357180000001</v>
      </c>
      <c r="P1137" s="12">
        <v>30962.315718000002</v>
      </c>
    </row>
    <row r="1138" spans="1:16" ht="14.5" x14ac:dyDescent="0.25">
      <c r="A1138" s="10">
        <v>45923</v>
      </c>
      <c r="B1138" s="2" t="str">
        <f t="shared" si="36"/>
        <v>Sep-2025</v>
      </c>
      <c r="C1138" s="2" t="str">
        <f t="shared" si="37"/>
        <v>Q2</v>
      </c>
      <c r="D1138" s="2" t="s">
        <v>28</v>
      </c>
      <c r="E1138" s="11" t="s">
        <v>275</v>
      </c>
      <c r="F1138" s="11" t="s">
        <v>151</v>
      </c>
      <c r="G1138" s="11" t="s">
        <v>505</v>
      </c>
      <c r="H1138" s="11" t="s">
        <v>167</v>
      </c>
      <c r="I1138" s="12">
        <v>0.5</v>
      </c>
      <c r="J1138" s="12">
        <v>90</v>
      </c>
      <c r="K1138" s="12">
        <v>83.63</v>
      </c>
      <c r="L1138" s="12">
        <v>7526.7</v>
      </c>
      <c r="M1138" s="12">
        <v>0</v>
      </c>
      <c r="N1138" s="12">
        <v>-376.33500000000004</v>
      </c>
      <c r="O1138" s="12">
        <v>929.54727200000002</v>
      </c>
      <c r="P1138" s="12">
        <v>8079.9122719999996</v>
      </c>
    </row>
    <row r="1139" spans="1:16" ht="14.5" x14ac:dyDescent="0.25">
      <c r="A1139" s="10">
        <v>45923</v>
      </c>
      <c r="B1139" s="2" t="str">
        <f t="shared" si="36"/>
        <v>Sep-2025</v>
      </c>
      <c r="C1139" s="2" t="str">
        <f t="shared" si="37"/>
        <v>Q2</v>
      </c>
      <c r="D1139" s="2" t="s">
        <v>28</v>
      </c>
      <c r="E1139" s="11" t="s">
        <v>275</v>
      </c>
      <c r="F1139" s="11" t="s">
        <v>151</v>
      </c>
      <c r="G1139" s="11" t="s">
        <v>506</v>
      </c>
      <c r="H1139" s="11" t="s">
        <v>181</v>
      </c>
      <c r="I1139" s="12">
        <v>0.5</v>
      </c>
      <c r="J1139" s="12">
        <v>50</v>
      </c>
      <c r="K1139" s="12">
        <v>89.82</v>
      </c>
      <c r="L1139" s="12">
        <v>4491</v>
      </c>
      <c r="M1139" s="12">
        <v>0</v>
      </c>
      <c r="N1139" s="12">
        <v>-224.55</v>
      </c>
      <c r="O1139" s="12">
        <v>554.63839400000006</v>
      </c>
      <c r="P1139" s="12">
        <v>4821.0883940000003</v>
      </c>
    </row>
    <row r="1140" spans="1:16" ht="14.5" x14ac:dyDescent="0.25">
      <c r="A1140" s="10">
        <v>45923</v>
      </c>
      <c r="B1140" s="2" t="str">
        <f t="shared" si="36"/>
        <v>Sep-2025</v>
      </c>
      <c r="C1140" s="2" t="str">
        <f t="shared" si="37"/>
        <v>Q2</v>
      </c>
      <c r="D1140" s="2" t="s">
        <v>28</v>
      </c>
      <c r="E1140" s="11" t="s">
        <v>275</v>
      </c>
      <c r="F1140" s="11" t="s">
        <v>151</v>
      </c>
      <c r="G1140" s="11" t="s">
        <v>504</v>
      </c>
      <c r="H1140" s="11" t="s">
        <v>69</v>
      </c>
      <c r="I1140" s="12">
        <v>2</v>
      </c>
      <c r="J1140" s="12">
        <v>200</v>
      </c>
      <c r="K1140" s="12">
        <v>148.66999999999999</v>
      </c>
      <c r="L1140" s="12">
        <v>29734</v>
      </c>
      <c r="M1140" s="12">
        <v>0</v>
      </c>
      <c r="N1140" s="12">
        <v>-1486.7</v>
      </c>
      <c r="O1140" s="12">
        <v>3672.1482960000003</v>
      </c>
      <c r="P1140" s="12">
        <v>31919.448295999999</v>
      </c>
    </row>
    <row r="1141" spans="1:16" ht="14.5" x14ac:dyDescent="0.25">
      <c r="A1141" s="10">
        <v>45923</v>
      </c>
      <c r="B1141" s="2" t="str">
        <f t="shared" si="36"/>
        <v>Sep-2025</v>
      </c>
      <c r="C1141" s="2" t="str">
        <f t="shared" si="37"/>
        <v>Q2</v>
      </c>
      <c r="D1141" s="2" t="s">
        <v>28</v>
      </c>
      <c r="E1141" s="11" t="s">
        <v>275</v>
      </c>
      <c r="F1141" s="11" t="s">
        <v>151</v>
      </c>
      <c r="G1141" s="11" t="s">
        <v>503</v>
      </c>
      <c r="H1141" s="11" t="s">
        <v>42</v>
      </c>
      <c r="I1141" s="12">
        <v>0.5</v>
      </c>
      <c r="J1141" s="12">
        <v>60</v>
      </c>
      <c r="K1141" s="12">
        <v>130.09</v>
      </c>
      <c r="L1141" s="12">
        <v>7805.4000000000005</v>
      </c>
      <c r="M1141" s="12">
        <v>0</v>
      </c>
      <c r="N1141" s="12">
        <v>-390.27</v>
      </c>
      <c r="O1141" s="12">
        <v>963.96671499999991</v>
      </c>
      <c r="P1141" s="12">
        <v>8379.0967149999997</v>
      </c>
    </row>
    <row r="1142" spans="1:16" ht="14.5" x14ac:dyDescent="0.25">
      <c r="A1142" s="10">
        <v>45923</v>
      </c>
      <c r="B1142" s="2" t="str">
        <f t="shared" si="36"/>
        <v>Sep-2025</v>
      </c>
      <c r="C1142" s="2" t="str">
        <f t="shared" si="37"/>
        <v>Q2</v>
      </c>
      <c r="D1142" s="2" t="s">
        <v>28</v>
      </c>
      <c r="E1142" s="11" t="s">
        <v>275</v>
      </c>
      <c r="F1142" s="11" t="s">
        <v>151</v>
      </c>
      <c r="G1142" s="11" t="s">
        <v>503</v>
      </c>
      <c r="H1142" s="11" t="s">
        <v>173</v>
      </c>
      <c r="I1142" s="12">
        <v>0.5</v>
      </c>
      <c r="J1142" s="12">
        <v>60</v>
      </c>
      <c r="K1142" s="12">
        <v>77.430000000000007</v>
      </c>
      <c r="L1142" s="12">
        <v>4645.8</v>
      </c>
      <c r="M1142" s="12">
        <v>0</v>
      </c>
      <c r="N1142" s="12">
        <v>-232.29</v>
      </c>
      <c r="O1142" s="12">
        <v>573.75619000000006</v>
      </c>
      <c r="P1142" s="12">
        <v>4987.2661900000003</v>
      </c>
    </row>
    <row r="1143" spans="1:16" ht="14.5" x14ac:dyDescent="0.25">
      <c r="A1143" s="10">
        <v>45923</v>
      </c>
      <c r="B1143" s="2" t="str">
        <f t="shared" si="36"/>
        <v>Sep-2025</v>
      </c>
      <c r="C1143" s="2" t="str">
        <f t="shared" si="37"/>
        <v>Q2</v>
      </c>
      <c r="D1143" s="2" t="s">
        <v>28</v>
      </c>
      <c r="E1143" s="11" t="s">
        <v>275</v>
      </c>
      <c r="F1143" s="11" t="s">
        <v>151</v>
      </c>
      <c r="G1143" s="11" t="s">
        <v>503</v>
      </c>
      <c r="H1143" s="11" t="s">
        <v>63</v>
      </c>
      <c r="I1143" s="12">
        <v>0.5</v>
      </c>
      <c r="J1143" s="12">
        <v>40</v>
      </c>
      <c r="K1143" s="12">
        <v>170.35</v>
      </c>
      <c r="L1143" s="12">
        <v>6814.0000000000009</v>
      </c>
      <c r="M1143" s="12">
        <v>0</v>
      </c>
      <c r="N1143" s="12">
        <v>-340.7</v>
      </c>
      <c r="O1143" s="12">
        <v>841.52883900000006</v>
      </c>
      <c r="P1143" s="12">
        <v>7314.8288389999998</v>
      </c>
    </row>
    <row r="1144" spans="1:16" ht="14.5" x14ac:dyDescent="0.25">
      <c r="A1144" s="10">
        <v>45923</v>
      </c>
      <c r="B1144" s="2" t="str">
        <f t="shared" si="36"/>
        <v>Sep-2025</v>
      </c>
      <c r="C1144" s="2" t="str">
        <f t="shared" si="37"/>
        <v>Q2</v>
      </c>
      <c r="D1144" s="2" t="s">
        <v>28</v>
      </c>
      <c r="E1144" s="11" t="s">
        <v>276</v>
      </c>
      <c r="F1144" s="11" t="s">
        <v>151</v>
      </c>
      <c r="G1144" s="11" t="s">
        <v>505</v>
      </c>
      <c r="H1144" s="11" t="s">
        <v>43</v>
      </c>
      <c r="I1144" s="12">
        <v>1</v>
      </c>
      <c r="J1144" s="12">
        <v>40</v>
      </c>
      <c r="K1144" s="12">
        <v>260.18</v>
      </c>
      <c r="L1144" s="12">
        <v>10407.199999999999</v>
      </c>
      <c r="M1144" s="12">
        <v>0</v>
      </c>
      <c r="N1144" s="12">
        <v>-520.36030000000005</v>
      </c>
      <c r="O1144" s="12">
        <v>1285.28847</v>
      </c>
      <c r="P1144" s="12">
        <v>11172.12817</v>
      </c>
    </row>
    <row r="1145" spans="1:16" ht="14.5" x14ac:dyDescent="0.25">
      <c r="A1145" s="10">
        <v>45923</v>
      </c>
      <c r="B1145" s="2" t="str">
        <f t="shared" si="36"/>
        <v>Sep-2025</v>
      </c>
      <c r="C1145" s="2" t="str">
        <f t="shared" si="37"/>
        <v>Q2</v>
      </c>
      <c r="D1145" s="2" t="s">
        <v>28</v>
      </c>
      <c r="E1145" s="11" t="s">
        <v>276</v>
      </c>
      <c r="F1145" s="11" t="s">
        <v>151</v>
      </c>
      <c r="G1145" s="11" t="s">
        <v>503</v>
      </c>
      <c r="H1145" s="11" t="s">
        <v>46</v>
      </c>
      <c r="I1145" s="12">
        <v>0.25</v>
      </c>
      <c r="J1145" s="12">
        <v>30</v>
      </c>
      <c r="K1145" s="12">
        <v>108.41</v>
      </c>
      <c r="L1145" s="12">
        <v>3252.3</v>
      </c>
      <c r="M1145" s="12">
        <v>0</v>
      </c>
      <c r="N1145" s="12">
        <v>-162.615094</v>
      </c>
      <c r="O1145" s="12">
        <v>401.65882199999999</v>
      </c>
      <c r="P1145" s="12">
        <v>3491.3437279999998</v>
      </c>
    </row>
    <row r="1146" spans="1:16" ht="14.5" x14ac:dyDescent="0.25">
      <c r="A1146" s="10">
        <v>45923</v>
      </c>
      <c r="B1146" s="2" t="str">
        <f t="shared" si="36"/>
        <v>Sep-2025</v>
      </c>
      <c r="C1146" s="2" t="str">
        <f t="shared" si="37"/>
        <v>Q2</v>
      </c>
      <c r="D1146" s="2" t="s">
        <v>28</v>
      </c>
      <c r="E1146" s="11" t="s">
        <v>276</v>
      </c>
      <c r="F1146" s="11" t="s">
        <v>151</v>
      </c>
      <c r="G1146" s="11" t="s">
        <v>503</v>
      </c>
      <c r="H1146" s="11" t="s">
        <v>42</v>
      </c>
      <c r="I1146" s="12">
        <v>0.25</v>
      </c>
      <c r="J1146" s="12">
        <v>30</v>
      </c>
      <c r="K1146" s="12">
        <v>130.09</v>
      </c>
      <c r="L1146" s="12">
        <v>3902.7000000000003</v>
      </c>
      <c r="M1146" s="12">
        <v>0</v>
      </c>
      <c r="N1146" s="12">
        <v>-195.13511299999999</v>
      </c>
      <c r="O1146" s="12">
        <v>481.98317599999996</v>
      </c>
      <c r="P1146" s="12">
        <v>4189.5480630000002</v>
      </c>
    </row>
    <row r="1147" spans="1:16" ht="14.5" x14ac:dyDescent="0.25">
      <c r="A1147" s="10">
        <v>45923</v>
      </c>
      <c r="B1147" s="2" t="str">
        <f t="shared" si="36"/>
        <v>Sep-2025</v>
      </c>
      <c r="C1147" s="2" t="str">
        <f t="shared" si="37"/>
        <v>Q2</v>
      </c>
      <c r="D1147" s="2" t="s">
        <v>28</v>
      </c>
      <c r="E1147" s="11" t="s">
        <v>276</v>
      </c>
      <c r="F1147" s="11" t="s">
        <v>151</v>
      </c>
      <c r="G1147" s="11" t="s">
        <v>506</v>
      </c>
      <c r="H1147" s="11" t="s">
        <v>54</v>
      </c>
      <c r="I1147" s="12">
        <v>0.75</v>
      </c>
      <c r="J1147" s="12">
        <v>36</v>
      </c>
      <c r="K1147" s="12">
        <v>284.95999999999998</v>
      </c>
      <c r="L1147" s="12">
        <v>10258.56</v>
      </c>
      <c r="M1147" s="12">
        <v>0</v>
      </c>
      <c r="N1147" s="12">
        <v>-512.92829599999993</v>
      </c>
      <c r="O1147" s="12">
        <v>1266.9314409999999</v>
      </c>
      <c r="P1147" s="12">
        <v>11012.563145</v>
      </c>
    </row>
    <row r="1148" spans="1:16" ht="14.5" x14ac:dyDescent="0.25">
      <c r="A1148" s="10">
        <v>45923</v>
      </c>
      <c r="B1148" s="2" t="str">
        <f t="shared" si="36"/>
        <v>Sep-2025</v>
      </c>
      <c r="C1148" s="2" t="str">
        <f t="shared" si="37"/>
        <v>Q2</v>
      </c>
      <c r="D1148" s="2" t="s">
        <v>28</v>
      </c>
      <c r="E1148" s="11" t="s">
        <v>276</v>
      </c>
      <c r="F1148" s="11" t="s">
        <v>151</v>
      </c>
      <c r="G1148" s="11" t="s">
        <v>503</v>
      </c>
      <c r="H1148" s="11" t="s">
        <v>44</v>
      </c>
      <c r="I1148" s="12">
        <v>0.22</v>
      </c>
      <c r="J1148" s="12">
        <v>40</v>
      </c>
      <c r="K1148" s="12">
        <v>142.47999999999999</v>
      </c>
      <c r="L1148" s="12">
        <v>5699.2</v>
      </c>
      <c r="M1148" s="12">
        <v>0</v>
      </c>
      <c r="N1148" s="12">
        <v>-284.96016399999996</v>
      </c>
      <c r="O1148" s="12">
        <v>703.85080000000005</v>
      </c>
      <c r="P1148" s="12">
        <v>6118.0906359999999</v>
      </c>
    </row>
    <row r="1149" spans="1:16" ht="14.5" x14ac:dyDescent="0.25">
      <c r="A1149" s="10">
        <v>45923</v>
      </c>
      <c r="B1149" s="2" t="str">
        <f t="shared" si="36"/>
        <v>Sep-2025</v>
      </c>
      <c r="C1149" s="2" t="str">
        <f t="shared" si="37"/>
        <v>Q2</v>
      </c>
      <c r="D1149" s="2" t="s">
        <v>28</v>
      </c>
      <c r="E1149" s="11" t="s">
        <v>276</v>
      </c>
      <c r="F1149" s="11" t="s">
        <v>151</v>
      </c>
      <c r="G1149" s="11" t="s">
        <v>505</v>
      </c>
      <c r="H1149" s="11" t="s">
        <v>49</v>
      </c>
      <c r="I1149" s="12">
        <v>0.22</v>
      </c>
      <c r="J1149" s="12">
        <v>40</v>
      </c>
      <c r="K1149" s="12">
        <v>145.58000000000001</v>
      </c>
      <c r="L1149" s="12">
        <v>5823.2</v>
      </c>
      <c r="M1149" s="12">
        <v>0</v>
      </c>
      <c r="N1149" s="12">
        <v>-291.160168</v>
      </c>
      <c r="O1149" s="12">
        <v>719.16479200000003</v>
      </c>
      <c r="P1149" s="12">
        <v>6251.204624</v>
      </c>
    </row>
    <row r="1150" spans="1:16" ht="14.5" x14ac:dyDescent="0.25">
      <c r="A1150" s="10">
        <v>45923</v>
      </c>
      <c r="B1150" s="2" t="str">
        <f t="shared" si="36"/>
        <v>Sep-2025</v>
      </c>
      <c r="C1150" s="2" t="str">
        <f t="shared" si="37"/>
        <v>Q2</v>
      </c>
      <c r="D1150" s="2" t="s">
        <v>28</v>
      </c>
      <c r="E1150" s="11" t="s">
        <v>276</v>
      </c>
      <c r="F1150" s="11" t="s">
        <v>151</v>
      </c>
      <c r="G1150" s="11" t="s">
        <v>504</v>
      </c>
      <c r="H1150" s="11" t="s">
        <v>66</v>
      </c>
      <c r="I1150" s="12">
        <v>0.4</v>
      </c>
      <c r="J1150" s="12">
        <v>40</v>
      </c>
      <c r="K1150" s="12">
        <v>99.12</v>
      </c>
      <c r="L1150" s="12">
        <v>3964.8</v>
      </c>
      <c r="M1150" s="12">
        <v>0</v>
      </c>
      <c r="N1150" s="12">
        <v>-198.24011400000001</v>
      </c>
      <c r="O1150" s="12">
        <v>489.65252200000003</v>
      </c>
      <c r="P1150" s="12">
        <v>4256.2124080000003</v>
      </c>
    </row>
    <row r="1151" spans="1:16" ht="14.5" x14ac:dyDescent="0.25">
      <c r="A1151" s="10">
        <v>45923</v>
      </c>
      <c r="B1151" s="2" t="str">
        <f t="shared" si="36"/>
        <v>Sep-2025</v>
      </c>
      <c r="C1151" s="2" t="str">
        <f t="shared" si="37"/>
        <v>Q2</v>
      </c>
      <c r="D1151" s="2" t="s">
        <v>28</v>
      </c>
      <c r="E1151" s="11" t="s">
        <v>276</v>
      </c>
      <c r="F1151" s="11" t="s">
        <v>151</v>
      </c>
      <c r="G1151" s="11" t="s">
        <v>503</v>
      </c>
      <c r="H1151" s="11" t="s">
        <v>177</v>
      </c>
      <c r="I1151" s="12">
        <v>0.17</v>
      </c>
      <c r="J1151" s="12">
        <v>20</v>
      </c>
      <c r="K1151" s="12">
        <v>86.73</v>
      </c>
      <c r="L1151" s="12">
        <v>1734.6</v>
      </c>
      <c r="M1151" s="12">
        <v>0</v>
      </c>
      <c r="N1151" s="12">
        <v>-86.730049999999991</v>
      </c>
      <c r="O1151" s="12">
        <v>214.22297799999998</v>
      </c>
      <c r="P1151" s="12">
        <v>1862.092928</v>
      </c>
    </row>
    <row r="1152" spans="1:16" ht="14.5" x14ac:dyDescent="0.25">
      <c r="A1152" s="10">
        <v>45923</v>
      </c>
      <c r="B1152" s="2" t="str">
        <f t="shared" si="36"/>
        <v>Sep-2025</v>
      </c>
      <c r="C1152" s="2" t="str">
        <f t="shared" si="37"/>
        <v>Q2</v>
      </c>
      <c r="D1152" s="2" t="s">
        <v>28</v>
      </c>
      <c r="E1152" s="11" t="s">
        <v>276</v>
      </c>
      <c r="F1152" s="11" t="s">
        <v>151</v>
      </c>
      <c r="G1152" s="11" t="s">
        <v>504</v>
      </c>
      <c r="H1152" s="11" t="s">
        <v>68</v>
      </c>
      <c r="I1152" s="12">
        <v>1</v>
      </c>
      <c r="J1152" s="12">
        <v>40</v>
      </c>
      <c r="K1152" s="12">
        <v>238.5</v>
      </c>
      <c r="L1152" s="12">
        <v>9539.9999999999982</v>
      </c>
      <c r="M1152" s="12">
        <v>0</v>
      </c>
      <c r="N1152" s="12">
        <v>-477.00027499999999</v>
      </c>
      <c r="O1152" s="12">
        <v>1178.189331</v>
      </c>
      <c r="P1152" s="12">
        <v>10241.189055999999</v>
      </c>
    </row>
    <row r="1153" spans="1:16" ht="14.5" x14ac:dyDescent="0.25">
      <c r="A1153" s="10">
        <v>45923</v>
      </c>
      <c r="B1153" s="2" t="str">
        <f t="shared" si="36"/>
        <v>Sep-2025</v>
      </c>
      <c r="C1153" s="2" t="str">
        <f t="shared" si="37"/>
        <v>Q2</v>
      </c>
      <c r="D1153" s="2" t="s">
        <v>28</v>
      </c>
      <c r="E1153" s="11" t="s">
        <v>276</v>
      </c>
      <c r="F1153" s="11" t="s">
        <v>151</v>
      </c>
      <c r="G1153" s="11" t="s">
        <v>505</v>
      </c>
      <c r="H1153" s="11" t="s">
        <v>56</v>
      </c>
      <c r="I1153" s="12">
        <v>0.25</v>
      </c>
      <c r="J1153" s="12">
        <v>30</v>
      </c>
      <c r="K1153" s="12">
        <v>46.46</v>
      </c>
      <c r="L1153" s="12">
        <v>1393.8</v>
      </c>
      <c r="M1153" s="12">
        <v>0</v>
      </c>
      <c r="N1153" s="12">
        <v>-69.690039999999996</v>
      </c>
      <c r="O1153" s="12">
        <v>172.13420199999999</v>
      </c>
      <c r="P1153" s="12">
        <v>1496.244162</v>
      </c>
    </row>
    <row r="1154" spans="1:16" ht="14.5" x14ac:dyDescent="0.25">
      <c r="A1154" s="10">
        <v>45923</v>
      </c>
      <c r="B1154" s="2" t="str">
        <f t="shared" si="36"/>
        <v>Sep-2025</v>
      </c>
      <c r="C1154" s="2" t="str">
        <f t="shared" si="37"/>
        <v>Q2</v>
      </c>
      <c r="D1154" s="2" t="s">
        <v>28</v>
      </c>
      <c r="E1154" s="11" t="s">
        <v>276</v>
      </c>
      <c r="F1154" s="11" t="s">
        <v>151</v>
      </c>
      <c r="G1154" s="11" t="s">
        <v>503</v>
      </c>
      <c r="H1154" s="11" t="s">
        <v>48</v>
      </c>
      <c r="I1154" s="12">
        <v>0.17</v>
      </c>
      <c r="J1154" s="12">
        <v>30</v>
      </c>
      <c r="K1154" s="12">
        <v>123.89</v>
      </c>
      <c r="L1154" s="12">
        <v>3716.7000000000003</v>
      </c>
      <c r="M1154" s="12">
        <v>0</v>
      </c>
      <c r="N1154" s="12">
        <v>-185.83510699999999</v>
      </c>
      <c r="O1154" s="12">
        <v>459.01218900000003</v>
      </c>
      <c r="P1154" s="12">
        <v>3989.877082</v>
      </c>
    </row>
    <row r="1155" spans="1:16" ht="14.5" x14ac:dyDescent="0.25">
      <c r="A1155" s="10">
        <v>45923</v>
      </c>
      <c r="B1155" s="2" t="str">
        <f t="shared" si="36"/>
        <v>Sep-2025</v>
      </c>
      <c r="C1155" s="2" t="str">
        <f t="shared" si="37"/>
        <v>Q2</v>
      </c>
      <c r="D1155" s="2" t="s">
        <v>28</v>
      </c>
      <c r="E1155" s="11" t="s">
        <v>276</v>
      </c>
      <c r="F1155" s="11" t="s">
        <v>151</v>
      </c>
      <c r="G1155" s="11" t="s">
        <v>508</v>
      </c>
      <c r="H1155" s="11" t="s">
        <v>178</v>
      </c>
      <c r="I1155" s="12">
        <v>0.17</v>
      </c>
      <c r="J1155" s="12">
        <v>10</v>
      </c>
      <c r="K1155" s="12">
        <v>136.28</v>
      </c>
      <c r="L1155" s="12">
        <v>1362.8</v>
      </c>
      <c r="M1155" s="12">
        <v>0</v>
      </c>
      <c r="N1155" s="12">
        <v>-68.140039000000002</v>
      </c>
      <c r="O1155" s="12">
        <v>168.30570399999999</v>
      </c>
      <c r="P1155" s="12">
        <v>1462.9656649999999</v>
      </c>
    </row>
    <row r="1156" spans="1:16" ht="14.5" x14ac:dyDescent="0.25">
      <c r="A1156" s="10">
        <v>45923</v>
      </c>
      <c r="B1156" s="2" t="str">
        <f t="shared" si="36"/>
        <v>Sep-2025</v>
      </c>
      <c r="C1156" s="2" t="str">
        <f t="shared" si="37"/>
        <v>Q2</v>
      </c>
      <c r="D1156" s="2" t="s">
        <v>28</v>
      </c>
      <c r="E1156" s="11" t="s">
        <v>276</v>
      </c>
      <c r="F1156" s="11" t="s">
        <v>151</v>
      </c>
      <c r="G1156" s="11" t="s">
        <v>503</v>
      </c>
      <c r="H1156" s="11" t="s">
        <v>52</v>
      </c>
      <c r="I1156" s="12">
        <v>0.22</v>
      </c>
      <c r="J1156" s="12">
        <v>40</v>
      </c>
      <c r="K1156" s="12">
        <v>65.040000000000006</v>
      </c>
      <c r="L1156" s="12">
        <v>2601.6</v>
      </c>
      <c r="M1156" s="12">
        <v>0</v>
      </c>
      <c r="N1156" s="12">
        <v>-130.08007499999999</v>
      </c>
      <c r="O1156" s="12">
        <v>321.29741800000005</v>
      </c>
      <c r="P1156" s="12">
        <v>2792.8173430000002</v>
      </c>
    </row>
    <row r="1157" spans="1:16" ht="14.5" x14ac:dyDescent="0.25">
      <c r="A1157" s="10">
        <v>45923</v>
      </c>
      <c r="B1157" s="2" t="str">
        <f t="shared" si="36"/>
        <v>Sep-2025</v>
      </c>
      <c r="C1157" s="2" t="str">
        <f t="shared" si="37"/>
        <v>Q2</v>
      </c>
      <c r="D1157" s="2" t="s">
        <v>28</v>
      </c>
      <c r="E1157" s="11" t="s">
        <v>276</v>
      </c>
      <c r="F1157" s="11" t="s">
        <v>151</v>
      </c>
      <c r="G1157" s="11" t="s">
        <v>503</v>
      </c>
      <c r="H1157" s="11" t="s">
        <v>179</v>
      </c>
      <c r="I1157" s="12">
        <v>0.17</v>
      </c>
      <c r="J1157" s="12">
        <v>30</v>
      </c>
      <c r="K1157" s="12">
        <v>111.5</v>
      </c>
      <c r="L1157" s="12">
        <v>3344.9999999999995</v>
      </c>
      <c r="M1157" s="12">
        <v>0</v>
      </c>
      <c r="N1157" s="12">
        <v>-167.25009699999998</v>
      </c>
      <c r="O1157" s="12">
        <v>413.10726499999998</v>
      </c>
      <c r="P1157" s="12">
        <v>3590.857168</v>
      </c>
    </row>
    <row r="1158" spans="1:16" ht="14.5" x14ac:dyDescent="0.25">
      <c r="A1158" s="10">
        <v>45923</v>
      </c>
      <c r="B1158" s="2" t="str">
        <f t="shared" si="36"/>
        <v>Sep-2025</v>
      </c>
      <c r="C1158" s="2" t="str">
        <f t="shared" si="37"/>
        <v>Q2</v>
      </c>
      <c r="D1158" s="2" t="s">
        <v>28</v>
      </c>
      <c r="E1158" s="11" t="s">
        <v>276</v>
      </c>
      <c r="F1158" s="11" t="s">
        <v>151</v>
      </c>
      <c r="G1158" s="11" t="s">
        <v>503</v>
      </c>
      <c r="H1158" s="11" t="s">
        <v>174</v>
      </c>
      <c r="I1158" s="12">
        <v>0.17</v>
      </c>
      <c r="J1158" s="12">
        <v>30</v>
      </c>
      <c r="K1158" s="12">
        <v>76.81</v>
      </c>
      <c r="L1158" s="12">
        <v>2304.3000000000002</v>
      </c>
      <c r="M1158" s="12">
        <v>0</v>
      </c>
      <c r="N1158" s="12">
        <v>-115.21506599999999</v>
      </c>
      <c r="O1158" s="12">
        <v>284.58088800000002</v>
      </c>
      <c r="P1158" s="12">
        <v>2473.6658219999999</v>
      </c>
    </row>
    <row r="1159" spans="1:16" ht="14.5" x14ac:dyDescent="0.25">
      <c r="A1159" s="10">
        <v>45923</v>
      </c>
      <c r="B1159" s="2" t="str">
        <f t="shared" si="36"/>
        <v>Sep-2025</v>
      </c>
      <c r="C1159" s="2" t="str">
        <f t="shared" si="37"/>
        <v>Q2</v>
      </c>
      <c r="D1159" s="2" t="s">
        <v>28</v>
      </c>
      <c r="E1159" s="11" t="s">
        <v>277</v>
      </c>
      <c r="F1159" s="11" t="s">
        <v>151</v>
      </c>
      <c r="G1159" s="11" t="s">
        <v>503</v>
      </c>
      <c r="H1159" s="11" t="s">
        <v>63</v>
      </c>
      <c r="I1159" s="12">
        <v>0.38</v>
      </c>
      <c r="J1159" s="12">
        <v>30</v>
      </c>
      <c r="K1159" s="12">
        <v>170.35</v>
      </c>
      <c r="L1159" s="12">
        <v>5110.5</v>
      </c>
      <c r="M1159" s="12">
        <v>0</v>
      </c>
      <c r="N1159" s="12">
        <v>-255.52507499999999</v>
      </c>
      <c r="O1159" s="12">
        <v>631.14656100000002</v>
      </c>
      <c r="P1159" s="12">
        <v>5486.121486</v>
      </c>
    </row>
    <row r="1160" spans="1:16" ht="14.5" x14ac:dyDescent="0.25">
      <c r="A1160" s="10">
        <v>45923</v>
      </c>
      <c r="B1160" s="2" t="str">
        <f t="shared" si="36"/>
        <v>Sep-2025</v>
      </c>
      <c r="C1160" s="2" t="str">
        <f t="shared" si="37"/>
        <v>Q2</v>
      </c>
      <c r="D1160" s="2" t="s">
        <v>28</v>
      </c>
      <c r="E1160" s="11" t="s">
        <v>277</v>
      </c>
      <c r="F1160" s="11" t="s">
        <v>151</v>
      </c>
      <c r="G1160" s="11" t="s">
        <v>505</v>
      </c>
      <c r="H1160" s="11" t="s">
        <v>168</v>
      </c>
      <c r="I1160" s="12">
        <v>0.5</v>
      </c>
      <c r="J1160" s="12">
        <v>40</v>
      </c>
      <c r="K1160" s="12">
        <v>210.62</v>
      </c>
      <c r="L1160" s="12">
        <v>8424.7999999999993</v>
      </c>
      <c r="M1160" s="12">
        <v>0</v>
      </c>
      <c r="N1160" s="12">
        <v>-421.24012300000004</v>
      </c>
      <c r="O1160" s="12">
        <v>1040.462489</v>
      </c>
      <c r="P1160" s="12">
        <v>9044.0223659999992</v>
      </c>
    </row>
    <row r="1161" spans="1:16" ht="14.5" x14ac:dyDescent="0.25">
      <c r="A1161" s="10">
        <v>45923</v>
      </c>
      <c r="B1161" s="2" t="str">
        <f t="shared" si="36"/>
        <v>Sep-2025</v>
      </c>
      <c r="C1161" s="2" t="str">
        <f t="shared" si="37"/>
        <v>Q2</v>
      </c>
      <c r="D1161" s="2" t="s">
        <v>28</v>
      </c>
      <c r="E1161" s="11" t="s">
        <v>277</v>
      </c>
      <c r="F1161" s="11" t="s">
        <v>151</v>
      </c>
      <c r="G1161" s="11" t="s">
        <v>507</v>
      </c>
      <c r="H1161" s="11" t="s">
        <v>90</v>
      </c>
      <c r="I1161" s="12">
        <v>0.3</v>
      </c>
      <c r="J1161" s="12">
        <v>36</v>
      </c>
      <c r="K1161" s="12">
        <v>52.65</v>
      </c>
      <c r="L1161" s="12">
        <v>1895.4</v>
      </c>
      <c r="M1161" s="12">
        <v>0</v>
      </c>
      <c r="N1161" s="12">
        <v>-94.770027999999996</v>
      </c>
      <c r="O1161" s="12">
        <v>234.08183</v>
      </c>
      <c r="P1161" s="12">
        <v>2034.711802</v>
      </c>
    </row>
    <row r="1162" spans="1:16" ht="14.5" x14ac:dyDescent="0.25">
      <c r="A1162" s="10">
        <v>45923</v>
      </c>
      <c r="B1162" s="2" t="str">
        <f t="shared" si="36"/>
        <v>Sep-2025</v>
      </c>
      <c r="C1162" s="2" t="str">
        <f t="shared" si="37"/>
        <v>Q2</v>
      </c>
      <c r="D1162" s="2" t="s">
        <v>28</v>
      </c>
      <c r="E1162" s="11" t="s">
        <v>277</v>
      </c>
      <c r="F1162" s="11" t="s">
        <v>151</v>
      </c>
      <c r="G1162" s="11" t="s">
        <v>505</v>
      </c>
      <c r="H1162" s="11" t="s">
        <v>62</v>
      </c>
      <c r="I1162" s="12">
        <v>0.5</v>
      </c>
      <c r="J1162" s="12">
        <v>20</v>
      </c>
      <c r="K1162" s="12">
        <v>402.65</v>
      </c>
      <c r="L1162" s="12">
        <v>8053</v>
      </c>
      <c r="M1162" s="12">
        <v>0</v>
      </c>
      <c r="N1162" s="12">
        <v>-402.65011699999997</v>
      </c>
      <c r="O1162" s="12">
        <v>994.54520300000001</v>
      </c>
      <c r="P1162" s="12">
        <v>8644.8950860000004</v>
      </c>
    </row>
    <row r="1163" spans="1:16" ht="14.5" x14ac:dyDescent="0.25">
      <c r="A1163" s="10">
        <v>45923</v>
      </c>
      <c r="B1163" s="2" t="str">
        <f t="shared" si="36"/>
        <v>Sep-2025</v>
      </c>
      <c r="C1163" s="2" t="str">
        <f t="shared" si="37"/>
        <v>Q2</v>
      </c>
      <c r="D1163" s="2" t="s">
        <v>28</v>
      </c>
      <c r="E1163" s="11" t="s">
        <v>277</v>
      </c>
      <c r="F1163" s="11" t="s">
        <v>151</v>
      </c>
      <c r="G1163" s="11" t="s">
        <v>504</v>
      </c>
      <c r="H1163" s="11" t="s">
        <v>67</v>
      </c>
      <c r="I1163" s="12">
        <v>1</v>
      </c>
      <c r="J1163" s="12">
        <v>40</v>
      </c>
      <c r="K1163" s="12">
        <v>360.53</v>
      </c>
      <c r="L1163" s="12">
        <v>14421.199999999999</v>
      </c>
      <c r="M1163" s="12">
        <v>0</v>
      </c>
      <c r="N1163" s="12">
        <v>-721.0602100000001</v>
      </c>
      <c r="O1163" s="12">
        <v>1781.017668</v>
      </c>
      <c r="P1163" s="12">
        <v>15481.157458</v>
      </c>
    </row>
    <row r="1164" spans="1:16" ht="14.5" x14ac:dyDescent="0.25">
      <c r="A1164" s="10">
        <v>45923</v>
      </c>
      <c r="B1164" s="2" t="str">
        <f t="shared" si="36"/>
        <v>Sep-2025</v>
      </c>
      <c r="C1164" s="2" t="str">
        <f t="shared" si="37"/>
        <v>Q2</v>
      </c>
      <c r="D1164" s="2" t="s">
        <v>28</v>
      </c>
      <c r="E1164" s="11" t="s">
        <v>277</v>
      </c>
      <c r="F1164" s="11" t="s">
        <v>151</v>
      </c>
      <c r="G1164" s="11" t="s">
        <v>503</v>
      </c>
      <c r="H1164" s="11" t="s">
        <v>180</v>
      </c>
      <c r="I1164" s="12">
        <v>0.38</v>
      </c>
      <c r="J1164" s="12">
        <v>30</v>
      </c>
      <c r="K1164" s="12">
        <v>130.09</v>
      </c>
      <c r="L1164" s="12">
        <v>3902.7000000000003</v>
      </c>
      <c r="M1164" s="12">
        <v>0</v>
      </c>
      <c r="N1164" s="12">
        <v>-195.13505699999999</v>
      </c>
      <c r="O1164" s="12">
        <v>481.98330600000003</v>
      </c>
      <c r="P1164" s="12">
        <v>4189.5482490000004</v>
      </c>
    </row>
    <row r="1165" spans="1:16" ht="14.5" x14ac:dyDescent="0.25">
      <c r="A1165" s="10">
        <v>45923</v>
      </c>
      <c r="B1165" s="2" t="str">
        <f t="shared" si="36"/>
        <v>Sep-2025</v>
      </c>
      <c r="C1165" s="2" t="str">
        <f t="shared" si="37"/>
        <v>Q2</v>
      </c>
      <c r="D1165" s="2" t="s">
        <v>28</v>
      </c>
      <c r="E1165" s="11" t="s">
        <v>277</v>
      </c>
      <c r="F1165" s="11" t="s">
        <v>151</v>
      </c>
      <c r="G1165" s="11" t="s">
        <v>503</v>
      </c>
      <c r="H1165" s="11" t="s">
        <v>175</v>
      </c>
      <c r="I1165" s="12">
        <v>0.25</v>
      </c>
      <c r="J1165" s="12">
        <v>30</v>
      </c>
      <c r="K1165" s="12">
        <v>71.239999999999995</v>
      </c>
      <c r="L1165" s="12">
        <v>2137.1999999999998</v>
      </c>
      <c r="M1165" s="12">
        <v>0</v>
      </c>
      <c r="N1165" s="12">
        <v>-106.86003100000001</v>
      </c>
      <c r="O1165" s="12">
        <v>263.944121</v>
      </c>
      <c r="P1165" s="12">
        <v>2294.2840900000001</v>
      </c>
    </row>
    <row r="1166" spans="1:16" ht="14.5" x14ac:dyDescent="0.25">
      <c r="A1166" s="10">
        <v>45923</v>
      </c>
      <c r="B1166" s="2" t="str">
        <f t="shared" si="36"/>
        <v>Sep-2025</v>
      </c>
      <c r="C1166" s="2" t="str">
        <f t="shared" si="37"/>
        <v>Q2</v>
      </c>
      <c r="D1166" s="2" t="s">
        <v>28</v>
      </c>
      <c r="E1166" s="11" t="s">
        <v>277</v>
      </c>
      <c r="F1166" s="11" t="s">
        <v>151</v>
      </c>
      <c r="G1166" s="11" t="s">
        <v>506</v>
      </c>
      <c r="H1166" s="11" t="s">
        <v>58</v>
      </c>
      <c r="I1166" s="12">
        <v>0.5</v>
      </c>
      <c r="J1166" s="12">
        <v>36</v>
      </c>
      <c r="K1166" s="12">
        <v>136.28</v>
      </c>
      <c r="L1166" s="12">
        <v>4906.08</v>
      </c>
      <c r="M1166" s="12">
        <v>0</v>
      </c>
      <c r="N1166" s="12">
        <v>-245.30407199999999</v>
      </c>
      <c r="O1166" s="12">
        <v>605.90069899999992</v>
      </c>
      <c r="P1166" s="12">
        <v>5266.6766269999998</v>
      </c>
    </row>
    <row r="1167" spans="1:16" ht="14.5" x14ac:dyDescent="0.25">
      <c r="A1167" s="10">
        <v>45923</v>
      </c>
      <c r="B1167" s="2" t="str">
        <f t="shared" si="36"/>
        <v>Sep-2025</v>
      </c>
      <c r="C1167" s="2" t="str">
        <f t="shared" si="37"/>
        <v>Q2</v>
      </c>
      <c r="D1167" s="2" t="s">
        <v>28</v>
      </c>
      <c r="E1167" s="11" t="s">
        <v>277</v>
      </c>
      <c r="F1167" s="11" t="s">
        <v>151</v>
      </c>
      <c r="G1167" s="11" t="s">
        <v>506</v>
      </c>
      <c r="H1167" s="11" t="s">
        <v>181</v>
      </c>
      <c r="I1167" s="12">
        <v>0.3</v>
      </c>
      <c r="J1167" s="12">
        <v>30</v>
      </c>
      <c r="K1167" s="12">
        <v>89.82</v>
      </c>
      <c r="L1167" s="12">
        <v>2694.6</v>
      </c>
      <c r="M1167" s="12">
        <v>0</v>
      </c>
      <c r="N1167" s="12">
        <v>-134.730039</v>
      </c>
      <c r="O1167" s="12">
        <v>332.78300100000001</v>
      </c>
      <c r="P1167" s="12">
        <v>2892.6529620000001</v>
      </c>
    </row>
    <row r="1168" spans="1:16" ht="14.5" x14ac:dyDescent="0.25">
      <c r="A1168" s="10">
        <v>45923</v>
      </c>
      <c r="B1168" s="2" t="str">
        <f t="shared" si="36"/>
        <v>Sep-2025</v>
      </c>
      <c r="C1168" s="2" t="str">
        <f t="shared" si="37"/>
        <v>Q2</v>
      </c>
      <c r="D1168" s="2" t="s">
        <v>28</v>
      </c>
      <c r="E1168" s="11" t="s">
        <v>277</v>
      </c>
      <c r="F1168" s="11" t="s">
        <v>151</v>
      </c>
      <c r="G1168" s="11" t="s">
        <v>503</v>
      </c>
      <c r="H1168" s="11" t="s">
        <v>89</v>
      </c>
      <c r="I1168" s="12">
        <v>0.25</v>
      </c>
      <c r="J1168" s="12">
        <v>30</v>
      </c>
      <c r="K1168" s="12">
        <v>105.31</v>
      </c>
      <c r="L1168" s="12">
        <v>3159.2999999999997</v>
      </c>
      <c r="M1168" s="12">
        <v>0</v>
      </c>
      <c r="N1168" s="12">
        <v>-157.965046</v>
      </c>
      <c r="O1168" s="12">
        <v>390.17343300000005</v>
      </c>
      <c r="P1168" s="12">
        <v>3391.5083869999999</v>
      </c>
    </row>
    <row r="1169" spans="1:16" ht="14.5" x14ac:dyDescent="0.25">
      <c r="A1169" s="10">
        <v>45923</v>
      </c>
      <c r="B1169" s="2" t="str">
        <f t="shared" si="36"/>
        <v>Sep-2025</v>
      </c>
      <c r="C1169" s="2" t="str">
        <f t="shared" si="37"/>
        <v>Q2</v>
      </c>
      <c r="D1169" s="2" t="s">
        <v>28</v>
      </c>
      <c r="E1169" s="11" t="s">
        <v>277</v>
      </c>
      <c r="F1169" s="11" t="s">
        <v>151</v>
      </c>
      <c r="G1169" s="11" t="s">
        <v>503</v>
      </c>
      <c r="H1169" s="11" t="s">
        <v>166</v>
      </c>
      <c r="I1169" s="12">
        <v>0.25</v>
      </c>
      <c r="J1169" s="12">
        <v>30</v>
      </c>
      <c r="K1169" s="12">
        <v>58.85</v>
      </c>
      <c r="L1169" s="12">
        <v>1765.5000000000002</v>
      </c>
      <c r="M1169" s="12">
        <v>0</v>
      </c>
      <c r="N1169" s="12">
        <v>-88.275025999999997</v>
      </c>
      <c r="O1169" s="12">
        <v>218.039185</v>
      </c>
      <c r="P1169" s="12">
        <v>1895.2641590000001</v>
      </c>
    </row>
    <row r="1170" spans="1:16" ht="14.5" x14ac:dyDescent="0.25">
      <c r="A1170" s="10">
        <v>45923</v>
      </c>
      <c r="B1170" s="2" t="str">
        <f t="shared" si="36"/>
        <v>Sep-2025</v>
      </c>
      <c r="C1170" s="2" t="str">
        <f t="shared" si="37"/>
        <v>Q2</v>
      </c>
      <c r="D1170" s="2" t="s">
        <v>28</v>
      </c>
      <c r="E1170" s="11" t="s">
        <v>277</v>
      </c>
      <c r="F1170" s="11" t="s">
        <v>151</v>
      </c>
      <c r="G1170" s="11" t="s">
        <v>504</v>
      </c>
      <c r="H1170" s="11" t="s">
        <v>69</v>
      </c>
      <c r="I1170" s="12">
        <v>0.4</v>
      </c>
      <c r="J1170" s="12">
        <v>40</v>
      </c>
      <c r="K1170" s="12">
        <v>148.66999999999999</v>
      </c>
      <c r="L1170" s="12">
        <v>5946.8</v>
      </c>
      <c r="M1170" s="12">
        <v>0</v>
      </c>
      <c r="N1170" s="12">
        <v>-297.34008699999998</v>
      </c>
      <c r="O1170" s="12">
        <v>734.42958099999998</v>
      </c>
      <c r="P1170" s="12">
        <v>6383.889494</v>
      </c>
    </row>
    <row r="1171" spans="1:16" ht="14.5" x14ac:dyDescent="0.25">
      <c r="A1171" s="10">
        <v>45923</v>
      </c>
      <c r="B1171" s="2" t="str">
        <f t="shared" si="36"/>
        <v>Sep-2025</v>
      </c>
      <c r="C1171" s="2" t="str">
        <f t="shared" si="37"/>
        <v>Q2</v>
      </c>
      <c r="D1171" s="2" t="s">
        <v>28</v>
      </c>
      <c r="E1171" s="11" t="s">
        <v>277</v>
      </c>
      <c r="F1171" s="11" t="s">
        <v>151</v>
      </c>
      <c r="G1171" s="11" t="s">
        <v>505</v>
      </c>
      <c r="H1171" s="11" t="s">
        <v>40</v>
      </c>
      <c r="I1171" s="12">
        <v>0.22</v>
      </c>
      <c r="J1171" s="12">
        <v>40</v>
      </c>
      <c r="K1171" s="12">
        <v>74.34</v>
      </c>
      <c r="L1171" s="12">
        <v>2973.6</v>
      </c>
      <c r="M1171" s="12">
        <v>0</v>
      </c>
      <c r="N1171" s="12">
        <v>-148.68004299999998</v>
      </c>
      <c r="O1171" s="12">
        <v>367.23948999999999</v>
      </c>
      <c r="P1171" s="12">
        <v>3192.159447</v>
      </c>
    </row>
    <row r="1172" spans="1:16" ht="14.5" x14ac:dyDescent="0.25">
      <c r="A1172" s="10">
        <v>45923</v>
      </c>
      <c r="B1172" s="2" t="str">
        <f t="shared" si="36"/>
        <v>Sep-2025</v>
      </c>
      <c r="C1172" s="2" t="str">
        <f t="shared" si="37"/>
        <v>Q2</v>
      </c>
      <c r="D1172" s="2" t="s">
        <v>28</v>
      </c>
      <c r="E1172" s="11" t="s">
        <v>277</v>
      </c>
      <c r="F1172" s="11" t="s">
        <v>151</v>
      </c>
      <c r="G1172" s="11" t="s">
        <v>503</v>
      </c>
      <c r="H1172" s="11" t="s">
        <v>87</v>
      </c>
      <c r="I1172" s="12">
        <v>0.17</v>
      </c>
      <c r="J1172" s="12">
        <v>30</v>
      </c>
      <c r="K1172" s="12">
        <v>105.31</v>
      </c>
      <c r="L1172" s="12">
        <v>3159.2999999999997</v>
      </c>
      <c r="M1172" s="12">
        <v>0</v>
      </c>
      <c r="N1172" s="12">
        <v>-157.965046</v>
      </c>
      <c r="O1172" s="12">
        <v>390.17343300000005</v>
      </c>
      <c r="P1172" s="12">
        <v>3391.5083869999999</v>
      </c>
    </row>
    <row r="1173" spans="1:16" ht="14.5" x14ac:dyDescent="0.25">
      <c r="A1173" s="10">
        <v>45923</v>
      </c>
      <c r="B1173" s="2" t="str">
        <f t="shared" si="36"/>
        <v>Sep-2025</v>
      </c>
      <c r="C1173" s="2" t="str">
        <f t="shared" si="37"/>
        <v>Q2</v>
      </c>
      <c r="D1173" s="2" t="s">
        <v>28</v>
      </c>
      <c r="E1173" s="11" t="s">
        <v>278</v>
      </c>
      <c r="F1173" s="11" t="s">
        <v>22</v>
      </c>
      <c r="G1173" s="11" t="s">
        <v>506</v>
      </c>
      <c r="H1173" s="11" t="s">
        <v>54</v>
      </c>
      <c r="I1173" s="12">
        <v>1</v>
      </c>
      <c r="J1173" s="12">
        <v>48</v>
      </c>
      <c r="K1173" s="12">
        <v>313.14</v>
      </c>
      <c r="L1173" s="12">
        <v>15030.72</v>
      </c>
      <c r="M1173" s="12">
        <v>0</v>
      </c>
      <c r="N1173" s="12">
        <v>0</v>
      </c>
      <c r="O1173" s="12">
        <v>1953.99207</v>
      </c>
      <c r="P1173" s="12">
        <v>16984.712070000001</v>
      </c>
    </row>
    <row r="1174" spans="1:16" ht="14.5" x14ac:dyDescent="0.25">
      <c r="A1174" s="10">
        <v>45923</v>
      </c>
      <c r="B1174" s="2" t="str">
        <f t="shared" si="36"/>
        <v>Sep-2025</v>
      </c>
      <c r="C1174" s="2" t="str">
        <f t="shared" si="37"/>
        <v>Q2</v>
      </c>
      <c r="D1174" s="2" t="s">
        <v>28</v>
      </c>
      <c r="E1174" s="11" t="s">
        <v>278</v>
      </c>
      <c r="F1174" s="11" t="s">
        <v>22</v>
      </c>
      <c r="G1174" s="11" t="s">
        <v>506</v>
      </c>
      <c r="H1174" s="11" t="s">
        <v>58</v>
      </c>
      <c r="I1174" s="12">
        <v>1</v>
      </c>
      <c r="J1174" s="12">
        <v>72</v>
      </c>
      <c r="K1174" s="12">
        <v>149.76</v>
      </c>
      <c r="L1174" s="12">
        <v>10782.72</v>
      </c>
      <c r="M1174" s="12">
        <v>0</v>
      </c>
      <c r="N1174" s="12">
        <v>0</v>
      </c>
      <c r="O1174" s="12">
        <v>1401.7525030000002</v>
      </c>
      <c r="P1174" s="12">
        <v>12184.472503000001</v>
      </c>
    </row>
    <row r="1175" spans="1:16" ht="14.5" x14ac:dyDescent="0.25">
      <c r="A1175" s="10">
        <v>45923</v>
      </c>
      <c r="B1175" s="2" t="str">
        <f t="shared" si="36"/>
        <v>Sep-2025</v>
      </c>
      <c r="C1175" s="2" t="str">
        <f t="shared" si="37"/>
        <v>Q2</v>
      </c>
      <c r="D1175" s="2" t="s">
        <v>28</v>
      </c>
      <c r="E1175" s="11" t="s">
        <v>278</v>
      </c>
      <c r="F1175" s="11" t="s">
        <v>22</v>
      </c>
      <c r="G1175" s="11" t="s">
        <v>506</v>
      </c>
      <c r="H1175" s="11" t="s">
        <v>39</v>
      </c>
      <c r="I1175" s="12">
        <v>1</v>
      </c>
      <c r="J1175" s="12">
        <v>72</v>
      </c>
      <c r="K1175" s="12">
        <v>132.74</v>
      </c>
      <c r="L1175" s="12">
        <v>9557.2799999999988</v>
      </c>
      <c r="M1175" s="12">
        <v>0</v>
      </c>
      <c r="N1175" s="12">
        <v>0</v>
      </c>
      <c r="O1175" s="12">
        <v>1242.4454270000001</v>
      </c>
      <c r="P1175" s="12">
        <v>10799.725426999999</v>
      </c>
    </row>
    <row r="1176" spans="1:16" ht="14.5" x14ac:dyDescent="0.25">
      <c r="A1176" s="10">
        <v>45924</v>
      </c>
      <c r="B1176" s="2" t="str">
        <f t="shared" si="36"/>
        <v>Sep-2025</v>
      </c>
      <c r="C1176" s="2" t="str">
        <f t="shared" si="37"/>
        <v>Q2</v>
      </c>
      <c r="D1176" s="2" t="s">
        <v>28</v>
      </c>
      <c r="E1176" s="11" t="s">
        <v>279</v>
      </c>
      <c r="F1176" s="11" t="s">
        <v>15</v>
      </c>
      <c r="G1176" s="11" t="s">
        <v>505</v>
      </c>
      <c r="H1176" s="11" t="s">
        <v>40</v>
      </c>
      <c r="I1176" s="12">
        <v>3</v>
      </c>
      <c r="J1176" s="12">
        <v>540</v>
      </c>
      <c r="K1176" s="12">
        <v>94.65</v>
      </c>
      <c r="L1176" s="12">
        <v>51110.999999999993</v>
      </c>
      <c r="M1176" s="12">
        <v>-4645.99</v>
      </c>
      <c r="N1176" s="12">
        <v>0</v>
      </c>
      <c r="O1176" s="12">
        <v>6040.45</v>
      </c>
      <c r="P1176" s="12">
        <v>52505.46</v>
      </c>
    </row>
    <row r="1177" spans="1:16" ht="14.5" x14ac:dyDescent="0.25">
      <c r="A1177" s="10">
        <v>45924</v>
      </c>
      <c r="B1177" s="2" t="str">
        <f t="shared" si="36"/>
        <v>Sep-2025</v>
      </c>
      <c r="C1177" s="2" t="str">
        <f t="shared" si="37"/>
        <v>Q2</v>
      </c>
      <c r="D1177" s="2" t="s">
        <v>28</v>
      </c>
      <c r="E1177" s="11" t="s">
        <v>280</v>
      </c>
      <c r="F1177" s="11" t="s">
        <v>104</v>
      </c>
      <c r="G1177" s="11" t="s">
        <v>503</v>
      </c>
      <c r="H1177" s="11" t="s">
        <v>46</v>
      </c>
      <c r="I1177" s="12">
        <v>0.04</v>
      </c>
      <c r="J1177" s="12">
        <v>5</v>
      </c>
      <c r="K1177" s="12">
        <v>127.43</v>
      </c>
      <c r="L1177" s="12">
        <v>637.15000000000009</v>
      </c>
      <c r="M1177" s="12">
        <v>0</v>
      </c>
      <c r="N1177" s="12">
        <v>0</v>
      </c>
      <c r="O1177" s="12">
        <v>82.829031999999998</v>
      </c>
      <c r="P1177" s="12">
        <v>719.97903199999996</v>
      </c>
    </row>
    <row r="1178" spans="1:16" ht="14.5" x14ac:dyDescent="0.25">
      <c r="A1178" s="10">
        <v>45924</v>
      </c>
      <c r="B1178" s="2" t="str">
        <f t="shared" si="36"/>
        <v>Sep-2025</v>
      </c>
      <c r="C1178" s="2" t="str">
        <f t="shared" si="37"/>
        <v>Q2</v>
      </c>
      <c r="D1178" s="2" t="s">
        <v>28</v>
      </c>
      <c r="E1178" s="11" t="s">
        <v>280</v>
      </c>
      <c r="F1178" s="11" t="s">
        <v>104</v>
      </c>
      <c r="G1178" s="11" t="s">
        <v>503</v>
      </c>
      <c r="H1178" s="11" t="s">
        <v>52</v>
      </c>
      <c r="I1178" s="12">
        <v>0.03</v>
      </c>
      <c r="J1178" s="12">
        <v>5</v>
      </c>
      <c r="K1178" s="12">
        <v>74.34</v>
      </c>
      <c r="L1178" s="12">
        <v>371.7</v>
      </c>
      <c r="M1178" s="12">
        <v>0</v>
      </c>
      <c r="N1178" s="12">
        <v>0</v>
      </c>
      <c r="O1178" s="12">
        <v>48.320727000000005</v>
      </c>
      <c r="P1178" s="12">
        <v>420.02072700000002</v>
      </c>
    </row>
    <row r="1179" spans="1:16" ht="14.5" x14ac:dyDescent="0.25">
      <c r="A1179" s="10">
        <v>45924</v>
      </c>
      <c r="B1179" s="2" t="str">
        <f t="shared" si="36"/>
        <v>Sep-2025</v>
      </c>
      <c r="C1179" s="2" t="str">
        <f t="shared" si="37"/>
        <v>Q2</v>
      </c>
      <c r="D1179" s="2" t="s">
        <v>28</v>
      </c>
      <c r="E1179" s="11" t="s">
        <v>280</v>
      </c>
      <c r="F1179" s="11" t="s">
        <v>104</v>
      </c>
      <c r="G1179" s="11" t="s">
        <v>503</v>
      </c>
      <c r="H1179" s="11" t="s">
        <v>59</v>
      </c>
      <c r="I1179" s="12">
        <v>0.04</v>
      </c>
      <c r="J1179" s="12">
        <v>7</v>
      </c>
      <c r="K1179" s="12">
        <v>67.260000000000005</v>
      </c>
      <c r="L1179" s="12">
        <v>470.82</v>
      </c>
      <c r="M1179" s="12">
        <v>0</v>
      </c>
      <c r="N1179" s="12">
        <v>0</v>
      </c>
      <c r="O1179" s="12">
        <v>61.206254000000001</v>
      </c>
      <c r="P1179" s="12">
        <v>532.02625399999999</v>
      </c>
    </row>
    <row r="1180" spans="1:16" ht="14.5" x14ac:dyDescent="0.25">
      <c r="A1180" s="10">
        <v>45924</v>
      </c>
      <c r="B1180" s="2" t="str">
        <f t="shared" si="36"/>
        <v>Sep-2025</v>
      </c>
      <c r="C1180" s="2" t="str">
        <f t="shared" si="37"/>
        <v>Q2</v>
      </c>
      <c r="D1180" s="2" t="s">
        <v>28</v>
      </c>
      <c r="E1180" s="11" t="s">
        <v>280</v>
      </c>
      <c r="F1180" s="11" t="s">
        <v>104</v>
      </c>
      <c r="G1180" s="11" t="s">
        <v>503</v>
      </c>
      <c r="H1180" s="11" t="s">
        <v>57</v>
      </c>
      <c r="I1180" s="12">
        <v>0.03</v>
      </c>
      <c r="J1180" s="12">
        <v>5</v>
      </c>
      <c r="K1180" s="12">
        <v>127.43</v>
      </c>
      <c r="L1180" s="12">
        <v>637.15000000000009</v>
      </c>
      <c r="M1180" s="12">
        <v>0</v>
      </c>
      <c r="N1180" s="12">
        <v>0</v>
      </c>
      <c r="O1180" s="12">
        <v>82.829031999999998</v>
      </c>
      <c r="P1180" s="12">
        <v>719.97903199999996</v>
      </c>
    </row>
    <row r="1181" spans="1:16" ht="14.5" x14ac:dyDescent="0.25">
      <c r="A1181" s="10">
        <v>45924</v>
      </c>
      <c r="B1181" s="2" t="str">
        <f t="shared" si="36"/>
        <v>Sep-2025</v>
      </c>
      <c r="C1181" s="2" t="str">
        <f t="shared" si="37"/>
        <v>Q2</v>
      </c>
      <c r="D1181" s="2" t="s">
        <v>28</v>
      </c>
      <c r="E1181" s="11" t="s">
        <v>280</v>
      </c>
      <c r="F1181" s="11" t="s">
        <v>104</v>
      </c>
      <c r="G1181" s="11" t="s">
        <v>503</v>
      </c>
      <c r="H1181" s="11" t="s">
        <v>42</v>
      </c>
      <c r="I1181" s="12">
        <v>0.04</v>
      </c>
      <c r="J1181" s="12">
        <v>5</v>
      </c>
      <c r="K1181" s="12">
        <v>148.66999999999999</v>
      </c>
      <c r="L1181" s="12">
        <v>743.35</v>
      </c>
      <c r="M1181" s="12">
        <v>0</v>
      </c>
      <c r="N1181" s="12">
        <v>0</v>
      </c>
      <c r="O1181" s="12">
        <v>96.634953999999993</v>
      </c>
      <c r="P1181" s="12">
        <v>839.98495400000002</v>
      </c>
    </row>
    <row r="1182" spans="1:16" ht="14.5" x14ac:dyDescent="0.25">
      <c r="A1182" s="10">
        <v>45924</v>
      </c>
      <c r="B1182" s="2" t="str">
        <f t="shared" si="36"/>
        <v>Sep-2025</v>
      </c>
      <c r="C1182" s="2" t="str">
        <f t="shared" si="37"/>
        <v>Q2</v>
      </c>
      <c r="D1182" s="2" t="s">
        <v>28</v>
      </c>
      <c r="E1182" s="11" t="s">
        <v>281</v>
      </c>
      <c r="F1182" s="11" t="s">
        <v>236</v>
      </c>
      <c r="G1182" s="11" t="s">
        <v>507</v>
      </c>
      <c r="H1182" s="11" t="s">
        <v>60</v>
      </c>
      <c r="I1182" s="12">
        <v>2</v>
      </c>
      <c r="J1182" s="12">
        <v>120</v>
      </c>
      <c r="K1182" s="12">
        <v>98.03</v>
      </c>
      <c r="L1182" s="12">
        <v>11763.6</v>
      </c>
      <c r="M1182" s="12">
        <v>-1069.3100000000002</v>
      </c>
      <c r="N1182" s="12">
        <v>0</v>
      </c>
      <c r="O1182" s="12">
        <v>1390.2599999999998</v>
      </c>
      <c r="P1182" s="12">
        <v>12084.55</v>
      </c>
    </row>
    <row r="1183" spans="1:16" ht="14.5" x14ac:dyDescent="0.25">
      <c r="A1183" s="10">
        <v>45939</v>
      </c>
      <c r="B1183" s="2" t="str">
        <f t="shared" si="36"/>
        <v>Oct-2025</v>
      </c>
      <c r="C1183" s="2" t="str">
        <f t="shared" si="37"/>
        <v>Q3</v>
      </c>
      <c r="D1183" s="2" t="s">
        <v>28</v>
      </c>
      <c r="E1183" s="11" t="s">
        <v>282</v>
      </c>
      <c r="F1183" s="11" t="s">
        <v>151</v>
      </c>
      <c r="G1183" s="11" t="s">
        <v>509</v>
      </c>
      <c r="H1183" s="11" t="s">
        <v>283</v>
      </c>
      <c r="I1183" s="12">
        <v>3</v>
      </c>
      <c r="J1183" s="12">
        <v>360</v>
      </c>
      <c r="K1183" s="12">
        <v>229.2</v>
      </c>
      <c r="L1183" s="12">
        <v>82512</v>
      </c>
      <c r="M1183" s="12">
        <v>0</v>
      </c>
      <c r="N1183" s="12">
        <v>-4125.6000000000004</v>
      </c>
      <c r="O1183" s="12">
        <v>10190.232639</v>
      </c>
      <c r="P1183" s="12">
        <v>88576.632639000003</v>
      </c>
    </row>
    <row r="1184" spans="1:16" ht="14.5" x14ac:dyDescent="0.25">
      <c r="A1184" s="10">
        <v>45939</v>
      </c>
      <c r="B1184" s="2" t="str">
        <f t="shared" si="36"/>
        <v>Oct-2025</v>
      </c>
      <c r="C1184" s="2" t="str">
        <f t="shared" si="37"/>
        <v>Q3</v>
      </c>
      <c r="D1184" s="2" t="s">
        <v>28</v>
      </c>
      <c r="E1184" s="11" t="s">
        <v>282</v>
      </c>
      <c r="F1184" s="11" t="s">
        <v>151</v>
      </c>
      <c r="G1184" s="11" t="s">
        <v>509</v>
      </c>
      <c r="H1184" s="11" t="s">
        <v>284</v>
      </c>
      <c r="I1184" s="12">
        <v>3</v>
      </c>
      <c r="J1184" s="12">
        <v>600</v>
      </c>
      <c r="K1184" s="12">
        <v>117.7</v>
      </c>
      <c r="L1184" s="12">
        <v>70620</v>
      </c>
      <c r="M1184" s="12">
        <v>0</v>
      </c>
      <c r="N1184" s="12">
        <v>-3531.0000000000005</v>
      </c>
      <c r="O1184" s="12">
        <v>8721.5705469999994</v>
      </c>
      <c r="P1184" s="12">
        <v>75810.570546999996</v>
      </c>
    </row>
    <row r="1185" spans="1:16" ht="14.5" x14ac:dyDescent="0.25">
      <c r="A1185" s="10">
        <v>45939</v>
      </c>
      <c r="B1185" s="2" t="str">
        <f t="shared" si="36"/>
        <v>Oct-2025</v>
      </c>
      <c r="C1185" s="2" t="str">
        <f t="shared" si="37"/>
        <v>Q3</v>
      </c>
      <c r="D1185" s="2" t="s">
        <v>28</v>
      </c>
      <c r="E1185" s="11" t="s">
        <v>282</v>
      </c>
      <c r="F1185" s="11" t="s">
        <v>151</v>
      </c>
      <c r="G1185" s="11" t="s">
        <v>509</v>
      </c>
      <c r="H1185" s="11" t="s">
        <v>285</v>
      </c>
      <c r="I1185" s="12">
        <v>2</v>
      </c>
      <c r="J1185" s="12">
        <v>120</v>
      </c>
      <c r="K1185" s="12">
        <v>446.02</v>
      </c>
      <c r="L1185" s="12">
        <v>53522.399999999994</v>
      </c>
      <c r="M1185" s="12">
        <v>0</v>
      </c>
      <c r="N1185" s="12">
        <v>-2676.1200000000003</v>
      </c>
      <c r="O1185" s="12">
        <v>6610.0168140000005</v>
      </c>
      <c r="P1185" s="12">
        <v>57456.296814000001</v>
      </c>
    </row>
    <row r="1186" spans="1:16" ht="14.5" x14ac:dyDescent="0.25">
      <c r="A1186" s="10">
        <v>45940</v>
      </c>
      <c r="B1186" s="2" t="str">
        <f t="shared" si="36"/>
        <v>Oct-2025</v>
      </c>
      <c r="C1186" s="2" t="str">
        <f t="shared" si="37"/>
        <v>Q3</v>
      </c>
      <c r="D1186" s="2" t="s">
        <v>28</v>
      </c>
      <c r="E1186" s="11" t="s">
        <v>286</v>
      </c>
      <c r="F1186" s="11" t="s">
        <v>104</v>
      </c>
      <c r="G1186" s="11" t="s">
        <v>506</v>
      </c>
      <c r="H1186" s="11" t="s">
        <v>39</v>
      </c>
      <c r="I1186" s="12">
        <v>0.15</v>
      </c>
      <c r="J1186" s="12">
        <v>11</v>
      </c>
      <c r="K1186" s="12">
        <v>138.05000000000001</v>
      </c>
      <c r="L1186" s="12">
        <v>1518.55</v>
      </c>
      <c r="M1186" s="12">
        <v>0</v>
      </c>
      <c r="N1186" s="12">
        <v>0</v>
      </c>
      <c r="O1186" s="12">
        <v>197.41181300000002</v>
      </c>
      <c r="P1186" s="12">
        <v>1715.9618129999999</v>
      </c>
    </row>
    <row r="1187" spans="1:16" ht="14.5" x14ac:dyDescent="0.25">
      <c r="A1187" s="10">
        <v>45940</v>
      </c>
      <c r="B1187" s="2" t="str">
        <f t="shared" ref="B1187:B1250" si="38">+TEXT(A1187,"MMM-yyy")</f>
        <v>Oct-2025</v>
      </c>
      <c r="C1187" s="2" t="str">
        <f t="shared" ref="C1187:C1250" si="39">"Q" &amp; CHOOSE(MONTH(A1187),4,4,4,1,1,1,2,2,2,3,3,3)</f>
        <v>Q3</v>
      </c>
      <c r="D1187" s="2" t="s">
        <v>28</v>
      </c>
      <c r="E1187" s="11" t="s">
        <v>286</v>
      </c>
      <c r="F1187" s="11" t="s">
        <v>104</v>
      </c>
      <c r="G1187" s="11" t="s">
        <v>503</v>
      </c>
      <c r="H1187" s="11" t="s">
        <v>46</v>
      </c>
      <c r="I1187" s="12">
        <v>0.04</v>
      </c>
      <c r="J1187" s="12">
        <v>5</v>
      </c>
      <c r="K1187" s="12">
        <v>127.43</v>
      </c>
      <c r="L1187" s="12">
        <v>637.15000000000009</v>
      </c>
      <c r="M1187" s="12">
        <v>0</v>
      </c>
      <c r="N1187" s="12">
        <v>0</v>
      </c>
      <c r="O1187" s="12">
        <v>82.829631000000006</v>
      </c>
      <c r="P1187" s="12">
        <v>719.97963100000004</v>
      </c>
    </row>
    <row r="1188" spans="1:16" ht="14.5" x14ac:dyDescent="0.25">
      <c r="A1188" s="10">
        <v>45940</v>
      </c>
      <c r="B1188" s="2" t="str">
        <f t="shared" si="38"/>
        <v>Oct-2025</v>
      </c>
      <c r="C1188" s="2" t="str">
        <f t="shared" si="39"/>
        <v>Q3</v>
      </c>
      <c r="D1188" s="2" t="s">
        <v>28</v>
      </c>
      <c r="E1188" s="11" t="s">
        <v>286</v>
      </c>
      <c r="F1188" s="11" t="s">
        <v>104</v>
      </c>
      <c r="G1188" s="11" t="s">
        <v>503</v>
      </c>
      <c r="H1188" s="11" t="s">
        <v>41</v>
      </c>
      <c r="I1188" s="12">
        <v>0.09</v>
      </c>
      <c r="J1188" s="12">
        <v>16</v>
      </c>
      <c r="K1188" s="12">
        <v>63.72</v>
      </c>
      <c r="L1188" s="12">
        <v>1019.52</v>
      </c>
      <c r="M1188" s="12">
        <v>0</v>
      </c>
      <c r="N1188" s="12">
        <v>0</v>
      </c>
      <c r="O1188" s="12">
        <v>132.53780999999998</v>
      </c>
      <c r="P1188" s="12">
        <v>1152.05781</v>
      </c>
    </row>
    <row r="1189" spans="1:16" ht="14.5" x14ac:dyDescent="0.25">
      <c r="A1189" s="10">
        <v>45940</v>
      </c>
      <c r="B1189" s="2" t="str">
        <f t="shared" si="38"/>
        <v>Oct-2025</v>
      </c>
      <c r="C1189" s="2" t="str">
        <f t="shared" si="39"/>
        <v>Q3</v>
      </c>
      <c r="D1189" s="2" t="s">
        <v>28</v>
      </c>
      <c r="E1189" s="11" t="s">
        <v>286</v>
      </c>
      <c r="F1189" s="11" t="s">
        <v>104</v>
      </c>
      <c r="G1189" s="11" t="s">
        <v>503</v>
      </c>
      <c r="H1189" s="11" t="s">
        <v>42</v>
      </c>
      <c r="I1189" s="12">
        <v>0.09</v>
      </c>
      <c r="J1189" s="12">
        <v>11</v>
      </c>
      <c r="K1189" s="12">
        <v>148.66999999999999</v>
      </c>
      <c r="L1189" s="12">
        <v>1635.37</v>
      </c>
      <c r="M1189" s="12">
        <v>0</v>
      </c>
      <c r="N1189" s="12">
        <v>0</v>
      </c>
      <c r="O1189" s="12">
        <v>212.59843700000002</v>
      </c>
      <c r="P1189" s="12">
        <v>1847.968437</v>
      </c>
    </row>
    <row r="1190" spans="1:16" ht="14.5" x14ac:dyDescent="0.25">
      <c r="A1190" s="10">
        <v>45940</v>
      </c>
      <c r="B1190" s="2" t="str">
        <f t="shared" si="38"/>
        <v>Oct-2025</v>
      </c>
      <c r="C1190" s="2" t="str">
        <f t="shared" si="39"/>
        <v>Q3</v>
      </c>
      <c r="D1190" s="2" t="s">
        <v>28</v>
      </c>
      <c r="E1190" s="11" t="s">
        <v>286</v>
      </c>
      <c r="F1190" s="11" t="s">
        <v>104</v>
      </c>
      <c r="G1190" s="11" t="s">
        <v>505</v>
      </c>
      <c r="H1190" s="11" t="s">
        <v>40</v>
      </c>
      <c r="I1190" s="12">
        <v>0.12</v>
      </c>
      <c r="J1190" s="12">
        <v>22</v>
      </c>
      <c r="K1190" s="12">
        <v>99.12</v>
      </c>
      <c r="L1190" s="12">
        <v>2180.64</v>
      </c>
      <c r="M1190" s="12">
        <v>0</v>
      </c>
      <c r="N1190" s="12">
        <v>0</v>
      </c>
      <c r="O1190" s="12">
        <v>283.48364900000001</v>
      </c>
      <c r="P1190" s="12">
        <v>2464.1236490000001</v>
      </c>
    </row>
    <row r="1191" spans="1:16" ht="14.5" x14ac:dyDescent="0.25">
      <c r="A1191" s="10">
        <v>45940</v>
      </c>
      <c r="B1191" s="2" t="str">
        <f t="shared" si="38"/>
        <v>Oct-2025</v>
      </c>
      <c r="C1191" s="2" t="str">
        <f t="shared" si="39"/>
        <v>Q3</v>
      </c>
      <c r="D1191" s="2" t="s">
        <v>28</v>
      </c>
      <c r="E1191" s="11" t="s">
        <v>286</v>
      </c>
      <c r="F1191" s="11" t="s">
        <v>104</v>
      </c>
      <c r="G1191" s="11" t="s">
        <v>505</v>
      </c>
      <c r="H1191" s="11" t="s">
        <v>56</v>
      </c>
      <c r="I1191" s="12">
        <v>0.38</v>
      </c>
      <c r="J1191" s="12">
        <v>46</v>
      </c>
      <c r="K1191" s="12">
        <v>53.1</v>
      </c>
      <c r="L1191" s="12">
        <v>2442.6</v>
      </c>
      <c r="M1191" s="12">
        <v>0</v>
      </c>
      <c r="N1191" s="12">
        <v>0</v>
      </c>
      <c r="O1191" s="12">
        <v>317.53850299999999</v>
      </c>
      <c r="P1191" s="12">
        <v>2760.1385030000001</v>
      </c>
    </row>
    <row r="1192" spans="1:16" ht="14.5" x14ac:dyDescent="0.25">
      <c r="A1192" s="10">
        <v>45940</v>
      </c>
      <c r="B1192" s="2" t="str">
        <f t="shared" si="38"/>
        <v>Oct-2025</v>
      </c>
      <c r="C1192" s="2" t="str">
        <f t="shared" si="39"/>
        <v>Q3</v>
      </c>
      <c r="D1192" s="2" t="s">
        <v>28</v>
      </c>
      <c r="E1192" s="11" t="s">
        <v>286</v>
      </c>
      <c r="F1192" s="11" t="s">
        <v>104</v>
      </c>
      <c r="G1192" s="11" t="s">
        <v>507</v>
      </c>
      <c r="H1192" s="11" t="s">
        <v>60</v>
      </c>
      <c r="I1192" s="12">
        <v>0.17</v>
      </c>
      <c r="J1192" s="12">
        <v>10</v>
      </c>
      <c r="K1192" s="12">
        <v>102.65</v>
      </c>
      <c r="L1192" s="12">
        <v>1026.5</v>
      </c>
      <c r="M1192" s="12">
        <v>0</v>
      </c>
      <c r="N1192" s="12">
        <v>0</v>
      </c>
      <c r="O1192" s="12">
        <v>133.445211</v>
      </c>
      <c r="P1192" s="12">
        <v>1159.945211</v>
      </c>
    </row>
    <row r="1193" spans="1:16" ht="14.5" x14ac:dyDescent="0.25">
      <c r="A1193" s="10">
        <v>45940</v>
      </c>
      <c r="B1193" s="2" t="str">
        <f t="shared" si="38"/>
        <v>Oct-2025</v>
      </c>
      <c r="C1193" s="2" t="str">
        <f t="shared" si="39"/>
        <v>Q3</v>
      </c>
      <c r="D1193" s="2" t="s">
        <v>28</v>
      </c>
      <c r="E1193" s="11" t="s">
        <v>286</v>
      </c>
      <c r="F1193" s="11" t="s">
        <v>104</v>
      </c>
      <c r="G1193" s="11" t="s">
        <v>503</v>
      </c>
      <c r="H1193" s="11" t="s">
        <v>57</v>
      </c>
      <c r="I1193" s="12">
        <v>0.06</v>
      </c>
      <c r="J1193" s="12">
        <v>10</v>
      </c>
      <c r="K1193" s="12">
        <v>127.43</v>
      </c>
      <c r="L1193" s="12">
        <v>1274.3000000000002</v>
      </c>
      <c r="M1193" s="12">
        <v>0</v>
      </c>
      <c r="N1193" s="12">
        <v>0</v>
      </c>
      <c r="O1193" s="12">
        <v>165.65926300000001</v>
      </c>
      <c r="P1193" s="12">
        <v>1439.959263</v>
      </c>
    </row>
    <row r="1194" spans="1:16" ht="14.5" x14ac:dyDescent="0.25">
      <c r="A1194" s="10">
        <v>45940</v>
      </c>
      <c r="B1194" s="2" t="str">
        <f t="shared" si="38"/>
        <v>Oct-2025</v>
      </c>
      <c r="C1194" s="2" t="str">
        <f t="shared" si="39"/>
        <v>Q3</v>
      </c>
      <c r="D1194" s="2" t="s">
        <v>28</v>
      </c>
      <c r="E1194" s="11" t="s">
        <v>286</v>
      </c>
      <c r="F1194" s="11" t="s">
        <v>104</v>
      </c>
      <c r="G1194" s="11" t="s">
        <v>503</v>
      </c>
      <c r="H1194" s="11" t="s">
        <v>51</v>
      </c>
      <c r="I1194" s="12">
        <v>0.03</v>
      </c>
      <c r="J1194" s="12">
        <v>6</v>
      </c>
      <c r="K1194" s="12">
        <v>67.260000000000005</v>
      </c>
      <c r="L1194" s="12">
        <v>403.56</v>
      </c>
      <c r="M1194" s="12">
        <v>0</v>
      </c>
      <c r="N1194" s="12">
        <v>0</v>
      </c>
      <c r="O1194" s="12">
        <v>52.462883000000005</v>
      </c>
      <c r="P1194" s="12">
        <v>456.02288299999998</v>
      </c>
    </row>
    <row r="1195" spans="1:16" ht="14.5" x14ac:dyDescent="0.25">
      <c r="A1195" s="10">
        <v>45940</v>
      </c>
      <c r="B1195" s="2" t="str">
        <f t="shared" si="38"/>
        <v>Oct-2025</v>
      </c>
      <c r="C1195" s="2" t="str">
        <f t="shared" si="39"/>
        <v>Q3</v>
      </c>
      <c r="D1195" s="2" t="s">
        <v>28</v>
      </c>
      <c r="E1195" s="11" t="s">
        <v>286</v>
      </c>
      <c r="F1195" s="11" t="s">
        <v>104</v>
      </c>
      <c r="G1195" s="11" t="s">
        <v>503</v>
      </c>
      <c r="H1195" s="11" t="s">
        <v>52</v>
      </c>
      <c r="I1195" s="12">
        <v>0.08</v>
      </c>
      <c r="J1195" s="12">
        <v>15</v>
      </c>
      <c r="K1195" s="12">
        <v>74.34</v>
      </c>
      <c r="L1195" s="12">
        <v>1115.0999999999999</v>
      </c>
      <c r="M1195" s="12">
        <v>0</v>
      </c>
      <c r="N1195" s="12">
        <v>0</v>
      </c>
      <c r="O1195" s="12">
        <v>144.96323000000001</v>
      </c>
      <c r="P1195" s="12">
        <v>1260.06323</v>
      </c>
    </row>
    <row r="1196" spans="1:16" ht="14.5" x14ac:dyDescent="0.25">
      <c r="A1196" s="10">
        <v>45940</v>
      </c>
      <c r="B1196" s="2" t="str">
        <f t="shared" si="38"/>
        <v>Oct-2025</v>
      </c>
      <c r="C1196" s="2" t="str">
        <f t="shared" si="39"/>
        <v>Q3</v>
      </c>
      <c r="D1196" s="2" t="s">
        <v>28</v>
      </c>
      <c r="E1196" s="11" t="s">
        <v>286</v>
      </c>
      <c r="F1196" s="11" t="s">
        <v>104</v>
      </c>
      <c r="G1196" s="11" t="s">
        <v>503</v>
      </c>
      <c r="H1196" s="11" t="s">
        <v>45</v>
      </c>
      <c r="I1196" s="12">
        <v>0.09</v>
      </c>
      <c r="J1196" s="12">
        <v>16</v>
      </c>
      <c r="K1196" s="12">
        <v>67.260000000000005</v>
      </c>
      <c r="L1196" s="12">
        <v>1076.1600000000001</v>
      </c>
      <c r="M1196" s="12">
        <v>0</v>
      </c>
      <c r="N1196" s="12">
        <v>0</v>
      </c>
      <c r="O1196" s="12">
        <v>139.90102200000001</v>
      </c>
      <c r="P1196" s="12">
        <v>1216.0610220000001</v>
      </c>
    </row>
    <row r="1197" spans="1:16" ht="14.5" x14ac:dyDescent="0.25">
      <c r="A1197" s="10">
        <v>45940</v>
      </c>
      <c r="B1197" s="2" t="str">
        <f t="shared" si="38"/>
        <v>Oct-2025</v>
      </c>
      <c r="C1197" s="2" t="str">
        <f t="shared" si="39"/>
        <v>Q3</v>
      </c>
      <c r="D1197" s="2" t="s">
        <v>28</v>
      </c>
      <c r="E1197" s="11" t="s">
        <v>286</v>
      </c>
      <c r="F1197" s="11" t="s">
        <v>104</v>
      </c>
      <c r="G1197" s="11" t="s">
        <v>506</v>
      </c>
      <c r="H1197" s="11" t="s">
        <v>58</v>
      </c>
      <c r="I1197" s="12">
        <v>0.25</v>
      </c>
      <c r="J1197" s="12">
        <v>18</v>
      </c>
      <c r="K1197" s="12">
        <v>155.75</v>
      </c>
      <c r="L1197" s="12">
        <v>2803.5</v>
      </c>
      <c r="M1197" s="12">
        <v>0</v>
      </c>
      <c r="N1197" s="12">
        <v>0</v>
      </c>
      <c r="O1197" s="12">
        <v>364.455578</v>
      </c>
      <c r="P1197" s="12">
        <v>3167.9555780000001</v>
      </c>
    </row>
    <row r="1198" spans="1:16" ht="14.5" x14ac:dyDescent="0.25">
      <c r="A1198" s="10">
        <v>45940</v>
      </c>
      <c r="B1198" s="2" t="str">
        <f t="shared" si="38"/>
        <v>Oct-2025</v>
      </c>
      <c r="C1198" s="2" t="str">
        <f t="shared" si="39"/>
        <v>Q3</v>
      </c>
      <c r="D1198" s="2" t="s">
        <v>28</v>
      </c>
      <c r="E1198" s="11" t="s">
        <v>286</v>
      </c>
      <c r="F1198" s="11" t="s">
        <v>104</v>
      </c>
      <c r="G1198" s="11" t="s">
        <v>503</v>
      </c>
      <c r="H1198" s="11" t="s">
        <v>59</v>
      </c>
      <c r="I1198" s="12">
        <v>0.14000000000000001</v>
      </c>
      <c r="J1198" s="12">
        <v>25</v>
      </c>
      <c r="K1198" s="12">
        <v>67.260000000000005</v>
      </c>
      <c r="L1198" s="12">
        <v>1681.5000000000002</v>
      </c>
      <c r="M1198" s="12">
        <v>0</v>
      </c>
      <c r="N1198" s="12">
        <v>0</v>
      </c>
      <c r="O1198" s="12">
        <v>218.59534599999998</v>
      </c>
      <c r="P1198" s="12">
        <v>1900.0953460000001</v>
      </c>
    </row>
    <row r="1199" spans="1:16" ht="14.5" x14ac:dyDescent="0.25">
      <c r="A1199" s="10">
        <v>45940</v>
      </c>
      <c r="B1199" s="2" t="str">
        <f t="shared" si="38"/>
        <v>Oct-2025</v>
      </c>
      <c r="C1199" s="2" t="str">
        <f t="shared" si="39"/>
        <v>Q3</v>
      </c>
      <c r="D1199" s="2" t="s">
        <v>28</v>
      </c>
      <c r="E1199" s="11" t="s">
        <v>286</v>
      </c>
      <c r="F1199" s="11" t="s">
        <v>104</v>
      </c>
      <c r="G1199" s="11" t="s">
        <v>503</v>
      </c>
      <c r="H1199" s="11" t="s">
        <v>89</v>
      </c>
      <c r="I1199" s="12">
        <v>0.04</v>
      </c>
      <c r="J1199" s="12">
        <v>5</v>
      </c>
      <c r="K1199" s="12">
        <v>120.35</v>
      </c>
      <c r="L1199" s="12">
        <v>601.75000000000011</v>
      </c>
      <c r="M1199" s="12">
        <v>0</v>
      </c>
      <c r="N1199" s="12">
        <v>0</v>
      </c>
      <c r="O1199" s="12">
        <v>78.227624000000006</v>
      </c>
      <c r="P1199" s="12">
        <v>679.97762399999999</v>
      </c>
    </row>
    <row r="1200" spans="1:16" ht="14.5" x14ac:dyDescent="0.25">
      <c r="A1200" s="10">
        <v>45941</v>
      </c>
      <c r="B1200" s="2" t="str">
        <f t="shared" si="38"/>
        <v>Oct-2025</v>
      </c>
      <c r="C1200" s="2" t="str">
        <f t="shared" si="39"/>
        <v>Q3</v>
      </c>
      <c r="D1200" s="2" t="s">
        <v>28</v>
      </c>
      <c r="E1200" s="11" t="s">
        <v>287</v>
      </c>
      <c r="F1200" s="11" t="s">
        <v>151</v>
      </c>
      <c r="G1200" s="11" t="s">
        <v>509</v>
      </c>
      <c r="H1200" s="11" t="s">
        <v>285</v>
      </c>
      <c r="I1200" s="12">
        <v>0.5</v>
      </c>
      <c r="J1200" s="12">
        <v>30</v>
      </c>
      <c r="K1200" s="12">
        <v>446.02</v>
      </c>
      <c r="L1200" s="12">
        <v>13380.599999999999</v>
      </c>
      <c r="M1200" s="12">
        <v>0</v>
      </c>
      <c r="N1200" s="12">
        <v>-669.03000000000009</v>
      </c>
      <c r="O1200" s="12">
        <v>1652.5037219999999</v>
      </c>
      <c r="P1200" s="12">
        <v>14364.073721999999</v>
      </c>
    </row>
    <row r="1201" spans="1:16" ht="14.5" x14ac:dyDescent="0.25">
      <c r="A1201" s="10">
        <v>45941</v>
      </c>
      <c r="B1201" s="2" t="str">
        <f t="shared" si="38"/>
        <v>Oct-2025</v>
      </c>
      <c r="C1201" s="2" t="str">
        <f t="shared" si="39"/>
        <v>Q3</v>
      </c>
      <c r="D1201" s="2" t="s">
        <v>28</v>
      </c>
      <c r="E1201" s="11" t="s">
        <v>287</v>
      </c>
      <c r="F1201" s="11" t="s">
        <v>151</v>
      </c>
      <c r="G1201" s="11" t="s">
        <v>509</v>
      </c>
      <c r="H1201" s="11" t="s">
        <v>283</v>
      </c>
      <c r="I1201" s="12">
        <v>0.5</v>
      </c>
      <c r="J1201" s="12">
        <v>60</v>
      </c>
      <c r="K1201" s="12">
        <v>229.2</v>
      </c>
      <c r="L1201" s="12">
        <v>13752</v>
      </c>
      <c r="M1201" s="12">
        <v>0</v>
      </c>
      <c r="N1201" s="12">
        <v>-687.6</v>
      </c>
      <c r="O1201" s="12">
        <v>1698.371611</v>
      </c>
      <c r="P1201" s="12">
        <v>14762.771611</v>
      </c>
    </row>
    <row r="1202" spans="1:16" ht="14.5" x14ac:dyDescent="0.25">
      <c r="A1202" s="10">
        <v>45941</v>
      </c>
      <c r="B1202" s="2" t="str">
        <f t="shared" si="38"/>
        <v>Oct-2025</v>
      </c>
      <c r="C1202" s="2" t="str">
        <f t="shared" si="39"/>
        <v>Q3</v>
      </c>
      <c r="D1202" s="2" t="s">
        <v>28</v>
      </c>
      <c r="E1202" s="11" t="s">
        <v>287</v>
      </c>
      <c r="F1202" s="11" t="s">
        <v>151</v>
      </c>
      <c r="G1202" s="11" t="s">
        <v>509</v>
      </c>
      <c r="H1202" s="11" t="s">
        <v>284</v>
      </c>
      <c r="I1202" s="12">
        <v>0.5</v>
      </c>
      <c r="J1202" s="12">
        <v>100</v>
      </c>
      <c r="K1202" s="12">
        <v>117.7</v>
      </c>
      <c r="L1202" s="12">
        <v>11770</v>
      </c>
      <c r="M1202" s="12">
        <v>0</v>
      </c>
      <c r="N1202" s="12">
        <v>-588.5</v>
      </c>
      <c r="O1202" s="12">
        <v>1453.5946669999998</v>
      </c>
      <c r="P1202" s="12">
        <v>12635.094666999999</v>
      </c>
    </row>
    <row r="1203" spans="1:16" ht="14.5" x14ac:dyDescent="0.25">
      <c r="A1203" s="10">
        <v>45941</v>
      </c>
      <c r="B1203" s="2" t="str">
        <f t="shared" si="38"/>
        <v>Oct-2025</v>
      </c>
      <c r="C1203" s="2" t="str">
        <f t="shared" si="39"/>
        <v>Q3</v>
      </c>
      <c r="D1203" s="2" t="s">
        <v>28</v>
      </c>
      <c r="E1203" s="11" t="s">
        <v>288</v>
      </c>
      <c r="F1203" s="11" t="s">
        <v>151</v>
      </c>
      <c r="G1203" s="11" t="s">
        <v>509</v>
      </c>
      <c r="H1203" s="11" t="s">
        <v>284</v>
      </c>
      <c r="I1203" s="12">
        <v>0.5</v>
      </c>
      <c r="J1203" s="12">
        <v>100</v>
      </c>
      <c r="K1203" s="12">
        <v>117.7</v>
      </c>
      <c r="L1203" s="12">
        <v>11770</v>
      </c>
      <c r="M1203" s="12">
        <v>0</v>
      </c>
      <c r="N1203" s="12">
        <v>-588.5</v>
      </c>
      <c r="O1203" s="12">
        <v>1453.5963840000002</v>
      </c>
      <c r="P1203" s="12">
        <v>12635.096384</v>
      </c>
    </row>
    <row r="1204" spans="1:16" ht="14.5" x14ac:dyDescent="0.25">
      <c r="A1204" s="10">
        <v>45941</v>
      </c>
      <c r="B1204" s="2" t="str">
        <f t="shared" si="38"/>
        <v>Oct-2025</v>
      </c>
      <c r="C1204" s="2" t="str">
        <f t="shared" si="39"/>
        <v>Q3</v>
      </c>
      <c r="D1204" s="2" t="s">
        <v>28</v>
      </c>
      <c r="E1204" s="11" t="s">
        <v>288</v>
      </c>
      <c r="F1204" s="11" t="s">
        <v>151</v>
      </c>
      <c r="G1204" s="11" t="s">
        <v>509</v>
      </c>
      <c r="H1204" s="11" t="s">
        <v>283</v>
      </c>
      <c r="I1204" s="12">
        <v>0.5</v>
      </c>
      <c r="J1204" s="12">
        <v>60</v>
      </c>
      <c r="K1204" s="12">
        <v>229.2</v>
      </c>
      <c r="L1204" s="12">
        <v>13752</v>
      </c>
      <c r="M1204" s="12">
        <v>0</v>
      </c>
      <c r="N1204" s="12">
        <v>-687.6</v>
      </c>
      <c r="O1204" s="12">
        <v>1698.3736160000001</v>
      </c>
      <c r="P1204" s="12">
        <v>14762.773616</v>
      </c>
    </row>
    <row r="1205" spans="1:16" ht="14.5" x14ac:dyDescent="0.25">
      <c r="A1205" s="10">
        <v>45941</v>
      </c>
      <c r="B1205" s="2" t="str">
        <f t="shared" si="38"/>
        <v>Oct-2025</v>
      </c>
      <c r="C1205" s="2" t="str">
        <f t="shared" si="39"/>
        <v>Q3</v>
      </c>
      <c r="D1205" s="2" t="s">
        <v>28</v>
      </c>
      <c r="E1205" s="11" t="s">
        <v>289</v>
      </c>
      <c r="F1205" s="11" t="s">
        <v>151</v>
      </c>
      <c r="G1205" s="11" t="s">
        <v>504</v>
      </c>
      <c r="H1205" s="11" t="s">
        <v>68</v>
      </c>
      <c r="I1205" s="12">
        <v>0.5</v>
      </c>
      <c r="J1205" s="12">
        <v>20</v>
      </c>
      <c r="K1205" s="12">
        <v>238.5</v>
      </c>
      <c r="L1205" s="12">
        <v>4769.9999999999991</v>
      </c>
      <c r="M1205" s="12">
        <v>0</v>
      </c>
      <c r="N1205" s="12">
        <v>-238.50021099999998</v>
      </c>
      <c r="O1205" s="12">
        <v>589.09488799999997</v>
      </c>
      <c r="P1205" s="12">
        <v>5120.594677</v>
      </c>
    </row>
    <row r="1206" spans="1:16" ht="14.5" x14ac:dyDescent="0.25">
      <c r="A1206" s="10">
        <v>45941</v>
      </c>
      <c r="B1206" s="2" t="str">
        <f t="shared" si="38"/>
        <v>Oct-2025</v>
      </c>
      <c r="C1206" s="2" t="str">
        <f t="shared" si="39"/>
        <v>Q3</v>
      </c>
      <c r="D1206" s="2" t="s">
        <v>28</v>
      </c>
      <c r="E1206" s="11" t="s">
        <v>289</v>
      </c>
      <c r="F1206" s="11" t="s">
        <v>151</v>
      </c>
      <c r="G1206" s="11" t="s">
        <v>503</v>
      </c>
      <c r="H1206" s="11" t="s">
        <v>177</v>
      </c>
      <c r="I1206" s="12">
        <v>0.25</v>
      </c>
      <c r="J1206" s="12">
        <v>30</v>
      </c>
      <c r="K1206" s="12">
        <v>86.73</v>
      </c>
      <c r="L1206" s="12">
        <v>2601.9</v>
      </c>
      <c r="M1206" s="12">
        <v>0</v>
      </c>
      <c r="N1206" s="12">
        <v>-130.09511499999999</v>
      </c>
      <c r="O1206" s="12">
        <v>321.33458899999999</v>
      </c>
      <c r="P1206" s="12">
        <v>2793.1394740000001</v>
      </c>
    </row>
    <row r="1207" spans="1:16" ht="14.5" x14ac:dyDescent="0.25">
      <c r="A1207" s="10">
        <v>45941</v>
      </c>
      <c r="B1207" s="2" t="str">
        <f t="shared" si="38"/>
        <v>Oct-2025</v>
      </c>
      <c r="C1207" s="2" t="str">
        <f t="shared" si="39"/>
        <v>Q3</v>
      </c>
      <c r="D1207" s="2" t="s">
        <v>28</v>
      </c>
      <c r="E1207" s="11" t="s">
        <v>289</v>
      </c>
      <c r="F1207" s="11" t="s">
        <v>151</v>
      </c>
      <c r="G1207" s="11" t="s">
        <v>503</v>
      </c>
      <c r="H1207" s="11" t="s">
        <v>176</v>
      </c>
      <c r="I1207" s="12">
        <v>0.25</v>
      </c>
      <c r="J1207" s="12">
        <v>30</v>
      </c>
      <c r="K1207" s="12">
        <v>145.58000000000001</v>
      </c>
      <c r="L1207" s="12">
        <v>4367.3999999999996</v>
      </c>
      <c r="M1207" s="12">
        <v>0</v>
      </c>
      <c r="N1207" s="12">
        <v>-218.370193</v>
      </c>
      <c r="O1207" s="12">
        <v>539.37379699999997</v>
      </c>
      <c r="P1207" s="12">
        <v>4688.4036040000001</v>
      </c>
    </row>
    <row r="1208" spans="1:16" ht="14.5" x14ac:dyDescent="0.25">
      <c r="A1208" s="10">
        <v>45941</v>
      </c>
      <c r="B1208" s="2" t="str">
        <f t="shared" si="38"/>
        <v>Oct-2025</v>
      </c>
      <c r="C1208" s="2" t="str">
        <f t="shared" si="39"/>
        <v>Q3</v>
      </c>
      <c r="D1208" s="2" t="s">
        <v>28</v>
      </c>
      <c r="E1208" s="11" t="s">
        <v>289</v>
      </c>
      <c r="F1208" s="11" t="s">
        <v>151</v>
      </c>
      <c r="G1208" s="11" t="s">
        <v>504</v>
      </c>
      <c r="H1208" s="11" t="s">
        <v>66</v>
      </c>
      <c r="I1208" s="12">
        <v>0.5</v>
      </c>
      <c r="J1208" s="12">
        <v>50</v>
      </c>
      <c r="K1208" s="12">
        <v>99.12</v>
      </c>
      <c r="L1208" s="12">
        <v>4956</v>
      </c>
      <c r="M1208" s="12">
        <v>0</v>
      </c>
      <c r="N1208" s="12">
        <v>-247.80022000000002</v>
      </c>
      <c r="O1208" s="12">
        <v>612.06588399999998</v>
      </c>
      <c r="P1208" s="12">
        <v>5320.2656639999996</v>
      </c>
    </row>
    <row r="1209" spans="1:16" ht="14.5" x14ac:dyDescent="0.25">
      <c r="A1209" s="10">
        <v>45941</v>
      </c>
      <c r="B1209" s="2" t="str">
        <f t="shared" si="38"/>
        <v>Oct-2025</v>
      </c>
      <c r="C1209" s="2" t="str">
        <f t="shared" si="39"/>
        <v>Q3</v>
      </c>
      <c r="D1209" s="2" t="s">
        <v>28</v>
      </c>
      <c r="E1209" s="11" t="s">
        <v>289</v>
      </c>
      <c r="F1209" s="11" t="s">
        <v>151</v>
      </c>
      <c r="G1209" s="11" t="s">
        <v>503</v>
      </c>
      <c r="H1209" s="11" t="s">
        <v>42</v>
      </c>
      <c r="I1209" s="12">
        <v>0.5</v>
      </c>
      <c r="J1209" s="12">
        <v>60</v>
      </c>
      <c r="K1209" s="12">
        <v>130.09</v>
      </c>
      <c r="L1209" s="12">
        <v>7805.4000000000005</v>
      </c>
      <c r="M1209" s="12">
        <v>0</v>
      </c>
      <c r="N1209" s="12">
        <v>-390.27034600000002</v>
      </c>
      <c r="O1209" s="12">
        <v>963.9667169999999</v>
      </c>
      <c r="P1209" s="12">
        <v>8379.0963709999996</v>
      </c>
    </row>
    <row r="1210" spans="1:16" ht="14.5" x14ac:dyDescent="0.25">
      <c r="A1210" s="10">
        <v>45941</v>
      </c>
      <c r="B1210" s="2" t="str">
        <f t="shared" si="38"/>
        <v>Oct-2025</v>
      </c>
      <c r="C1210" s="2" t="str">
        <f t="shared" si="39"/>
        <v>Q3</v>
      </c>
      <c r="D1210" s="2" t="s">
        <v>28</v>
      </c>
      <c r="E1210" s="11" t="s">
        <v>289</v>
      </c>
      <c r="F1210" s="11" t="s">
        <v>151</v>
      </c>
      <c r="G1210" s="11" t="s">
        <v>505</v>
      </c>
      <c r="H1210" s="11" t="s">
        <v>43</v>
      </c>
      <c r="I1210" s="12">
        <v>1</v>
      </c>
      <c r="J1210" s="12">
        <v>40</v>
      </c>
      <c r="K1210" s="12">
        <v>260.18</v>
      </c>
      <c r="L1210" s="12">
        <v>10407.199999999999</v>
      </c>
      <c r="M1210" s="12">
        <v>0</v>
      </c>
      <c r="N1210" s="12">
        <v>-520.36046099999999</v>
      </c>
      <c r="O1210" s="12">
        <v>1285.2889560000001</v>
      </c>
      <c r="P1210" s="12">
        <v>11172.128495000001</v>
      </c>
    </row>
    <row r="1211" spans="1:16" ht="14.5" x14ac:dyDescent="0.25">
      <c r="A1211" s="10">
        <v>45941</v>
      </c>
      <c r="B1211" s="2" t="str">
        <f t="shared" si="38"/>
        <v>Oct-2025</v>
      </c>
      <c r="C1211" s="2" t="str">
        <f t="shared" si="39"/>
        <v>Q3</v>
      </c>
      <c r="D1211" s="2" t="s">
        <v>28</v>
      </c>
      <c r="E1211" s="11" t="s">
        <v>289</v>
      </c>
      <c r="F1211" s="11" t="s">
        <v>151</v>
      </c>
      <c r="G1211" s="11" t="s">
        <v>503</v>
      </c>
      <c r="H1211" s="11" t="s">
        <v>179</v>
      </c>
      <c r="I1211" s="12">
        <v>0.17</v>
      </c>
      <c r="J1211" s="12">
        <v>30</v>
      </c>
      <c r="K1211" s="12">
        <v>111.5</v>
      </c>
      <c r="L1211" s="12">
        <v>3344.9999999999995</v>
      </c>
      <c r="M1211" s="12">
        <v>0</v>
      </c>
      <c r="N1211" s="12">
        <v>-167.250148</v>
      </c>
      <c r="O1211" s="12">
        <v>413.10742099999999</v>
      </c>
      <c r="P1211" s="12">
        <v>3590.8572730000001</v>
      </c>
    </row>
    <row r="1212" spans="1:16" ht="14.5" x14ac:dyDescent="0.25">
      <c r="A1212" s="10">
        <v>45941</v>
      </c>
      <c r="B1212" s="2" t="str">
        <f t="shared" si="38"/>
        <v>Oct-2025</v>
      </c>
      <c r="C1212" s="2" t="str">
        <f t="shared" si="39"/>
        <v>Q3</v>
      </c>
      <c r="D1212" s="2" t="s">
        <v>28</v>
      </c>
      <c r="E1212" s="11" t="s">
        <v>289</v>
      </c>
      <c r="F1212" s="11" t="s">
        <v>151</v>
      </c>
      <c r="G1212" s="11" t="s">
        <v>505</v>
      </c>
      <c r="H1212" s="11" t="s">
        <v>40</v>
      </c>
      <c r="I1212" s="12">
        <v>0.17</v>
      </c>
      <c r="J1212" s="12">
        <v>30</v>
      </c>
      <c r="K1212" s="12">
        <v>74.34</v>
      </c>
      <c r="L1212" s="12">
        <v>2230.1999999999998</v>
      </c>
      <c r="M1212" s="12">
        <v>0</v>
      </c>
      <c r="N1212" s="12">
        <v>-111.51009900000001</v>
      </c>
      <c r="O1212" s="12">
        <v>275.42964799999999</v>
      </c>
      <c r="P1212" s="12">
        <v>2394.119549</v>
      </c>
    </row>
    <row r="1213" spans="1:16" ht="14.5" x14ac:dyDescent="0.25">
      <c r="A1213" s="10">
        <v>45941</v>
      </c>
      <c r="B1213" s="2" t="str">
        <f t="shared" si="38"/>
        <v>Oct-2025</v>
      </c>
      <c r="C1213" s="2" t="str">
        <f t="shared" si="39"/>
        <v>Q3</v>
      </c>
      <c r="D1213" s="2" t="s">
        <v>28</v>
      </c>
      <c r="E1213" s="11" t="s">
        <v>289</v>
      </c>
      <c r="F1213" s="11" t="s">
        <v>151</v>
      </c>
      <c r="G1213" s="11" t="s">
        <v>505</v>
      </c>
      <c r="H1213" s="11" t="s">
        <v>50</v>
      </c>
      <c r="I1213" s="12">
        <v>0.5</v>
      </c>
      <c r="J1213" s="12">
        <v>40</v>
      </c>
      <c r="K1213" s="12">
        <v>154.87</v>
      </c>
      <c r="L1213" s="12">
        <v>6194.8</v>
      </c>
      <c r="M1213" s="12">
        <v>0</v>
      </c>
      <c r="N1213" s="12">
        <v>-309.740274</v>
      </c>
      <c r="O1213" s="12">
        <v>765.05765499999995</v>
      </c>
      <c r="P1213" s="12">
        <v>6650.117381</v>
      </c>
    </row>
    <row r="1214" spans="1:16" ht="14.5" x14ac:dyDescent="0.25">
      <c r="A1214" s="10">
        <v>45941</v>
      </c>
      <c r="B1214" s="2" t="str">
        <f t="shared" si="38"/>
        <v>Oct-2025</v>
      </c>
      <c r="C1214" s="2" t="str">
        <f t="shared" si="39"/>
        <v>Q3</v>
      </c>
      <c r="D1214" s="2" t="s">
        <v>28</v>
      </c>
      <c r="E1214" s="11" t="s">
        <v>289</v>
      </c>
      <c r="F1214" s="11" t="s">
        <v>151</v>
      </c>
      <c r="G1214" s="11" t="s">
        <v>505</v>
      </c>
      <c r="H1214" s="11" t="s">
        <v>56</v>
      </c>
      <c r="I1214" s="12">
        <v>0.25</v>
      </c>
      <c r="J1214" s="12">
        <v>30</v>
      </c>
      <c r="K1214" s="12">
        <v>46.46</v>
      </c>
      <c r="L1214" s="12">
        <v>1393.8</v>
      </c>
      <c r="M1214" s="12">
        <v>0</v>
      </c>
      <c r="N1214" s="12">
        <v>-69.690061999999998</v>
      </c>
      <c r="O1214" s="12">
        <v>172.13426699999999</v>
      </c>
      <c r="P1214" s="12">
        <v>1496.244205</v>
      </c>
    </row>
    <row r="1215" spans="1:16" ht="14.5" x14ac:dyDescent="0.25">
      <c r="A1215" s="10">
        <v>45941</v>
      </c>
      <c r="B1215" s="2" t="str">
        <f t="shared" si="38"/>
        <v>Oct-2025</v>
      </c>
      <c r="C1215" s="2" t="str">
        <f t="shared" si="39"/>
        <v>Q3</v>
      </c>
      <c r="D1215" s="2" t="s">
        <v>28</v>
      </c>
      <c r="E1215" s="11" t="s">
        <v>289</v>
      </c>
      <c r="F1215" s="11" t="s">
        <v>151</v>
      </c>
      <c r="G1215" s="11" t="s">
        <v>503</v>
      </c>
      <c r="H1215" s="11" t="s">
        <v>46</v>
      </c>
      <c r="I1215" s="12">
        <v>0.25</v>
      </c>
      <c r="J1215" s="12">
        <v>30</v>
      </c>
      <c r="K1215" s="12">
        <v>108.41</v>
      </c>
      <c r="L1215" s="12">
        <v>3252.3</v>
      </c>
      <c r="M1215" s="12">
        <v>0</v>
      </c>
      <c r="N1215" s="12">
        <v>-162.61514399999999</v>
      </c>
      <c r="O1215" s="12">
        <v>401.658974</v>
      </c>
      <c r="P1215" s="12">
        <v>3491.3438299999998</v>
      </c>
    </row>
    <row r="1216" spans="1:16" ht="14.5" x14ac:dyDescent="0.25">
      <c r="A1216" s="10">
        <v>45941</v>
      </c>
      <c r="B1216" s="2" t="str">
        <f t="shared" si="38"/>
        <v>Oct-2025</v>
      </c>
      <c r="C1216" s="2" t="str">
        <f t="shared" si="39"/>
        <v>Q3</v>
      </c>
      <c r="D1216" s="2" t="s">
        <v>28</v>
      </c>
      <c r="E1216" s="11" t="s">
        <v>289</v>
      </c>
      <c r="F1216" s="11" t="s">
        <v>151</v>
      </c>
      <c r="G1216" s="11" t="s">
        <v>505</v>
      </c>
      <c r="H1216" s="11" t="s">
        <v>49</v>
      </c>
      <c r="I1216" s="12">
        <v>0.17</v>
      </c>
      <c r="J1216" s="12">
        <v>30</v>
      </c>
      <c r="K1216" s="12">
        <v>145.58000000000001</v>
      </c>
      <c r="L1216" s="12">
        <v>4367.3999999999996</v>
      </c>
      <c r="M1216" s="12">
        <v>0</v>
      </c>
      <c r="N1216" s="12">
        <v>-218.370193</v>
      </c>
      <c r="O1216" s="12">
        <v>539.37379699999997</v>
      </c>
      <c r="P1216" s="12">
        <v>4688.4036040000001</v>
      </c>
    </row>
    <row r="1217" spans="1:16" ht="14.5" x14ac:dyDescent="0.25">
      <c r="A1217" s="10">
        <v>45941</v>
      </c>
      <c r="B1217" s="2" t="str">
        <f t="shared" si="38"/>
        <v>Oct-2025</v>
      </c>
      <c r="C1217" s="2" t="str">
        <f t="shared" si="39"/>
        <v>Q3</v>
      </c>
      <c r="D1217" s="2" t="s">
        <v>28</v>
      </c>
      <c r="E1217" s="11" t="s">
        <v>289</v>
      </c>
      <c r="F1217" s="11" t="s">
        <v>151</v>
      </c>
      <c r="G1217" s="11" t="s">
        <v>506</v>
      </c>
      <c r="H1217" s="11" t="s">
        <v>54</v>
      </c>
      <c r="I1217" s="12">
        <v>0.5</v>
      </c>
      <c r="J1217" s="12">
        <v>24</v>
      </c>
      <c r="K1217" s="12">
        <v>284.95999999999998</v>
      </c>
      <c r="L1217" s="12">
        <v>6839.04</v>
      </c>
      <c r="M1217" s="12">
        <v>0</v>
      </c>
      <c r="N1217" s="12">
        <v>-341.95230300000003</v>
      </c>
      <c r="O1217" s="12">
        <v>844.62127899999996</v>
      </c>
      <c r="P1217" s="12">
        <v>7341.7089759999999</v>
      </c>
    </row>
    <row r="1218" spans="1:16" ht="14.5" x14ac:dyDescent="0.25">
      <c r="A1218" s="10">
        <v>45941</v>
      </c>
      <c r="B1218" s="2" t="str">
        <f t="shared" si="38"/>
        <v>Oct-2025</v>
      </c>
      <c r="C1218" s="2" t="str">
        <f t="shared" si="39"/>
        <v>Q3</v>
      </c>
      <c r="D1218" s="2" t="s">
        <v>28</v>
      </c>
      <c r="E1218" s="11" t="s">
        <v>289</v>
      </c>
      <c r="F1218" s="11" t="s">
        <v>151</v>
      </c>
      <c r="G1218" s="11" t="s">
        <v>507</v>
      </c>
      <c r="H1218" s="11" t="s">
        <v>60</v>
      </c>
      <c r="I1218" s="12">
        <v>0.5</v>
      </c>
      <c r="J1218" s="12">
        <v>30</v>
      </c>
      <c r="K1218" s="12">
        <v>89.82</v>
      </c>
      <c r="L1218" s="12">
        <v>2694.6</v>
      </c>
      <c r="M1218" s="12">
        <v>0</v>
      </c>
      <c r="N1218" s="12">
        <v>-134.730119</v>
      </c>
      <c r="O1218" s="12">
        <v>332.78303700000004</v>
      </c>
      <c r="P1218" s="12">
        <v>2892.6529180000002</v>
      </c>
    </row>
    <row r="1219" spans="1:16" ht="14.5" x14ac:dyDescent="0.25">
      <c r="A1219" s="10">
        <v>45941</v>
      </c>
      <c r="B1219" s="2" t="str">
        <f t="shared" si="38"/>
        <v>Oct-2025</v>
      </c>
      <c r="C1219" s="2" t="str">
        <f t="shared" si="39"/>
        <v>Q3</v>
      </c>
      <c r="D1219" s="2" t="s">
        <v>28</v>
      </c>
      <c r="E1219" s="11" t="s">
        <v>289</v>
      </c>
      <c r="F1219" s="11" t="s">
        <v>151</v>
      </c>
      <c r="G1219" s="11" t="s">
        <v>505</v>
      </c>
      <c r="H1219" s="11" t="s">
        <v>167</v>
      </c>
      <c r="I1219" s="12">
        <v>0.17</v>
      </c>
      <c r="J1219" s="12">
        <v>30</v>
      </c>
      <c r="K1219" s="12">
        <v>83.63</v>
      </c>
      <c r="L1219" s="12">
        <v>2508.9</v>
      </c>
      <c r="M1219" s="12">
        <v>0</v>
      </c>
      <c r="N1219" s="12">
        <v>-125.445111</v>
      </c>
      <c r="O1219" s="12">
        <v>309.84909099999999</v>
      </c>
      <c r="P1219" s="12">
        <v>2693.3039800000001</v>
      </c>
    </row>
    <row r="1220" spans="1:16" ht="14.5" x14ac:dyDescent="0.25">
      <c r="A1220" s="10">
        <v>45941</v>
      </c>
      <c r="B1220" s="2" t="str">
        <f t="shared" si="38"/>
        <v>Oct-2025</v>
      </c>
      <c r="C1220" s="2" t="str">
        <f t="shared" si="39"/>
        <v>Q3</v>
      </c>
      <c r="D1220" s="2" t="s">
        <v>28</v>
      </c>
      <c r="E1220" s="11" t="s">
        <v>290</v>
      </c>
      <c r="F1220" s="11" t="s">
        <v>151</v>
      </c>
      <c r="G1220" s="11" t="s">
        <v>503</v>
      </c>
      <c r="H1220" s="11" t="s">
        <v>63</v>
      </c>
      <c r="I1220" s="12">
        <v>0.5</v>
      </c>
      <c r="J1220" s="12">
        <v>40</v>
      </c>
      <c r="K1220" s="12">
        <v>170.35</v>
      </c>
      <c r="L1220" s="12">
        <v>6814.0000000000009</v>
      </c>
      <c r="M1220" s="12">
        <v>0</v>
      </c>
      <c r="N1220" s="12">
        <v>-340.70041900000001</v>
      </c>
      <c r="O1220" s="12">
        <v>841.52860199999998</v>
      </c>
      <c r="P1220" s="12">
        <v>7314.8281829999996</v>
      </c>
    </row>
    <row r="1221" spans="1:16" ht="14.5" x14ac:dyDescent="0.25">
      <c r="A1221" s="10">
        <v>45941</v>
      </c>
      <c r="B1221" s="2" t="str">
        <f t="shared" si="38"/>
        <v>Oct-2025</v>
      </c>
      <c r="C1221" s="2" t="str">
        <f t="shared" si="39"/>
        <v>Q3</v>
      </c>
      <c r="D1221" s="2" t="s">
        <v>28</v>
      </c>
      <c r="E1221" s="11" t="s">
        <v>290</v>
      </c>
      <c r="F1221" s="11" t="s">
        <v>151</v>
      </c>
      <c r="G1221" s="11" t="s">
        <v>509</v>
      </c>
      <c r="H1221" s="11" t="s">
        <v>284</v>
      </c>
      <c r="I1221" s="12">
        <v>0.3</v>
      </c>
      <c r="J1221" s="12">
        <v>60</v>
      </c>
      <c r="K1221" s="12">
        <v>117.7</v>
      </c>
      <c r="L1221" s="12">
        <v>7062.0000000000009</v>
      </c>
      <c r="M1221" s="12">
        <v>0</v>
      </c>
      <c r="N1221" s="12">
        <v>-353.10043400000001</v>
      </c>
      <c r="O1221" s="12">
        <v>872.15658700000006</v>
      </c>
      <c r="P1221" s="12">
        <v>7581.0561530000004</v>
      </c>
    </row>
    <row r="1222" spans="1:16" ht="14.5" x14ac:dyDescent="0.25">
      <c r="A1222" s="10">
        <v>45941</v>
      </c>
      <c r="B1222" s="2" t="str">
        <f t="shared" si="38"/>
        <v>Oct-2025</v>
      </c>
      <c r="C1222" s="2" t="str">
        <f t="shared" si="39"/>
        <v>Q3</v>
      </c>
      <c r="D1222" s="2" t="s">
        <v>28</v>
      </c>
      <c r="E1222" s="11" t="s">
        <v>290</v>
      </c>
      <c r="F1222" s="11" t="s">
        <v>151</v>
      </c>
      <c r="G1222" s="11" t="s">
        <v>503</v>
      </c>
      <c r="H1222" s="11" t="s">
        <v>171</v>
      </c>
      <c r="I1222" s="12">
        <v>0.5</v>
      </c>
      <c r="J1222" s="12">
        <v>40</v>
      </c>
      <c r="K1222" s="12">
        <v>142.47999999999999</v>
      </c>
      <c r="L1222" s="12">
        <v>5699.2</v>
      </c>
      <c r="M1222" s="12">
        <v>0</v>
      </c>
      <c r="N1222" s="12">
        <v>-284.960351</v>
      </c>
      <c r="O1222" s="12">
        <v>703.85086699999999</v>
      </c>
      <c r="P1222" s="12">
        <v>6118.0905160000002</v>
      </c>
    </row>
    <row r="1223" spans="1:16" ht="14.5" x14ac:dyDescent="0.25">
      <c r="A1223" s="10">
        <v>45941</v>
      </c>
      <c r="B1223" s="2" t="str">
        <f t="shared" si="38"/>
        <v>Oct-2025</v>
      </c>
      <c r="C1223" s="2" t="str">
        <f t="shared" si="39"/>
        <v>Q3</v>
      </c>
      <c r="D1223" s="2" t="s">
        <v>28</v>
      </c>
      <c r="E1223" s="11" t="s">
        <v>290</v>
      </c>
      <c r="F1223" s="11" t="s">
        <v>151</v>
      </c>
      <c r="G1223" s="11" t="s">
        <v>504</v>
      </c>
      <c r="H1223" s="11" t="s">
        <v>67</v>
      </c>
      <c r="I1223" s="12">
        <v>0.5</v>
      </c>
      <c r="J1223" s="12">
        <v>20</v>
      </c>
      <c r="K1223" s="12">
        <v>360.53</v>
      </c>
      <c r="L1223" s="12">
        <v>7210.5999999999995</v>
      </c>
      <c r="M1223" s="12">
        <v>0</v>
      </c>
      <c r="N1223" s="12">
        <v>-360.53044300000005</v>
      </c>
      <c r="O1223" s="12">
        <v>890.50867900000003</v>
      </c>
      <c r="P1223" s="12">
        <v>7740.5782360000003</v>
      </c>
    </row>
    <row r="1224" spans="1:16" ht="14.5" x14ac:dyDescent="0.25">
      <c r="A1224" s="10">
        <v>45941</v>
      </c>
      <c r="B1224" s="2" t="str">
        <f t="shared" si="38"/>
        <v>Oct-2025</v>
      </c>
      <c r="C1224" s="2" t="str">
        <f t="shared" si="39"/>
        <v>Q3</v>
      </c>
      <c r="D1224" s="2" t="s">
        <v>28</v>
      </c>
      <c r="E1224" s="11" t="s">
        <v>290</v>
      </c>
      <c r="F1224" s="11" t="s">
        <v>151</v>
      </c>
      <c r="G1224" s="11" t="s">
        <v>509</v>
      </c>
      <c r="H1224" s="11" t="s">
        <v>283</v>
      </c>
      <c r="I1224" s="12">
        <v>0.25</v>
      </c>
      <c r="J1224" s="12">
        <v>30</v>
      </c>
      <c r="K1224" s="12">
        <v>229.2</v>
      </c>
      <c r="L1224" s="12">
        <v>6876</v>
      </c>
      <c r="M1224" s="12">
        <v>0</v>
      </c>
      <c r="N1224" s="12">
        <v>-343.80042299999997</v>
      </c>
      <c r="O1224" s="12">
        <v>849.18559800000003</v>
      </c>
      <c r="P1224" s="12">
        <v>7381.3851750000003</v>
      </c>
    </row>
    <row r="1225" spans="1:16" ht="14.5" x14ac:dyDescent="0.25">
      <c r="A1225" s="10">
        <v>45941</v>
      </c>
      <c r="B1225" s="2" t="str">
        <f t="shared" si="38"/>
        <v>Oct-2025</v>
      </c>
      <c r="C1225" s="2" t="str">
        <f t="shared" si="39"/>
        <v>Q3</v>
      </c>
      <c r="D1225" s="2" t="s">
        <v>28</v>
      </c>
      <c r="E1225" s="11" t="s">
        <v>290</v>
      </c>
      <c r="F1225" s="11" t="s">
        <v>151</v>
      </c>
      <c r="G1225" s="11" t="s">
        <v>507</v>
      </c>
      <c r="H1225" s="11" t="s">
        <v>90</v>
      </c>
      <c r="I1225" s="12">
        <v>0.5</v>
      </c>
      <c r="J1225" s="12">
        <v>60</v>
      </c>
      <c r="K1225" s="12">
        <v>52.65</v>
      </c>
      <c r="L1225" s="12">
        <v>3159.0000000000005</v>
      </c>
      <c r="M1225" s="12">
        <v>0</v>
      </c>
      <c r="N1225" s="12">
        <v>-157.95019399999998</v>
      </c>
      <c r="O1225" s="12">
        <v>390.13631500000002</v>
      </c>
      <c r="P1225" s="12">
        <v>3391.1861210000002</v>
      </c>
    </row>
    <row r="1226" spans="1:16" ht="14.5" x14ac:dyDescent="0.25">
      <c r="A1226" s="10">
        <v>45941</v>
      </c>
      <c r="B1226" s="2" t="str">
        <f t="shared" si="38"/>
        <v>Oct-2025</v>
      </c>
      <c r="C1226" s="2" t="str">
        <f t="shared" si="39"/>
        <v>Q3</v>
      </c>
      <c r="D1226" s="2" t="s">
        <v>28</v>
      </c>
      <c r="E1226" s="11" t="s">
        <v>290</v>
      </c>
      <c r="F1226" s="11" t="s">
        <v>151</v>
      </c>
      <c r="G1226" s="11" t="s">
        <v>505</v>
      </c>
      <c r="H1226" s="11" t="s">
        <v>62</v>
      </c>
      <c r="I1226" s="12">
        <v>1</v>
      </c>
      <c r="J1226" s="12">
        <v>40</v>
      </c>
      <c r="K1226" s="12">
        <v>402.65</v>
      </c>
      <c r="L1226" s="12">
        <v>16106</v>
      </c>
      <c r="M1226" s="12">
        <v>0</v>
      </c>
      <c r="N1226" s="12">
        <v>-805.30099099999995</v>
      </c>
      <c r="O1226" s="12">
        <v>1989.0900590000001</v>
      </c>
      <c r="P1226" s="12">
        <v>17289.789067999998</v>
      </c>
    </row>
    <row r="1227" spans="1:16" ht="14.5" x14ac:dyDescent="0.25">
      <c r="A1227" s="10">
        <v>45941</v>
      </c>
      <c r="B1227" s="2" t="str">
        <f t="shared" si="38"/>
        <v>Oct-2025</v>
      </c>
      <c r="C1227" s="2" t="str">
        <f t="shared" si="39"/>
        <v>Q3</v>
      </c>
      <c r="D1227" s="2" t="s">
        <v>28</v>
      </c>
      <c r="E1227" s="11" t="s">
        <v>290</v>
      </c>
      <c r="F1227" s="11" t="s">
        <v>151</v>
      </c>
      <c r="G1227" s="11" t="s">
        <v>505</v>
      </c>
      <c r="H1227" s="11" t="s">
        <v>168</v>
      </c>
      <c r="I1227" s="12">
        <v>0.5</v>
      </c>
      <c r="J1227" s="12">
        <v>40</v>
      </c>
      <c r="K1227" s="12">
        <v>210.62</v>
      </c>
      <c r="L1227" s="12">
        <v>8424.7999999999993</v>
      </c>
      <c r="M1227" s="12">
        <v>0</v>
      </c>
      <c r="N1227" s="12">
        <v>-421.24051799999995</v>
      </c>
      <c r="O1227" s="12">
        <v>1040.4623079999999</v>
      </c>
      <c r="P1227" s="12">
        <v>9044.0217900000007</v>
      </c>
    </row>
    <row r="1228" spans="1:16" ht="14.5" x14ac:dyDescent="0.25">
      <c r="A1228" s="10">
        <v>45941</v>
      </c>
      <c r="B1228" s="2" t="str">
        <f t="shared" si="38"/>
        <v>Oct-2025</v>
      </c>
      <c r="C1228" s="2" t="str">
        <f t="shared" si="39"/>
        <v>Q3</v>
      </c>
      <c r="D1228" s="2" t="s">
        <v>28</v>
      </c>
      <c r="E1228" s="11" t="s">
        <v>290</v>
      </c>
      <c r="F1228" s="11" t="s">
        <v>151</v>
      </c>
      <c r="G1228" s="11" t="s">
        <v>503</v>
      </c>
      <c r="H1228" s="11" t="s">
        <v>166</v>
      </c>
      <c r="I1228" s="12">
        <v>0.5</v>
      </c>
      <c r="J1228" s="12">
        <v>60</v>
      </c>
      <c r="K1228" s="12">
        <v>58.85</v>
      </c>
      <c r="L1228" s="12">
        <v>3531.0000000000005</v>
      </c>
      <c r="M1228" s="12">
        <v>0</v>
      </c>
      <c r="N1228" s="12">
        <v>-176.550217</v>
      </c>
      <c r="O1228" s="12">
        <v>436.07829399999997</v>
      </c>
      <c r="P1228" s="12">
        <v>3790.5280769999999</v>
      </c>
    </row>
    <row r="1229" spans="1:16" ht="14.5" x14ac:dyDescent="0.25">
      <c r="A1229" s="10">
        <v>45941</v>
      </c>
      <c r="B1229" s="2" t="str">
        <f t="shared" si="38"/>
        <v>Oct-2025</v>
      </c>
      <c r="C1229" s="2" t="str">
        <f t="shared" si="39"/>
        <v>Q3</v>
      </c>
      <c r="D1229" s="2" t="s">
        <v>28</v>
      </c>
      <c r="E1229" s="11" t="s">
        <v>290</v>
      </c>
      <c r="F1229" s="11" t="s">
        <v>151</v>
      </c>
      <c r="G1229" s="11" t="s">
        <v>503</v>
      </c>
      <c r="H1229" s="11" t="s">
        <v>180</v>
      </c>
      <c r="I1229" s="12">
        <v>0.5</v>
      </c>
      <c r="J1229" s="12">
        <v>40</v>
      </c>
      <c r="K1229" s="12">
        <v>130.09</v>
      </c>
      <c r="L1229" s="12">
        <v>5203.5999999999995</v>
      </c>
      <c r="M1229" s="12">
        <v>0</v>
      </c>
      <c r="N1229" s="12">
        <v>-260.18031999999999</v>
      </c>
      <c r="O1229" s="12">
        <v>642.64429599999994</v>
      </c>
      <c r="P1229" s="12">
        <v>5586.0639760000004</v>
      </c>
    </row>
    <row r="1230" spans="1:16" ht="14.5" x14ac:dyDescent="0.25">
      <c r="A1230" s="10">
        <v>45941</v>
      </c>
      <c r="B1230" s="2" t="str">
        <f t="shared" si="38"/>
        <v>Oct-2025</v>
      </c>
      <c r="C1230" s="2" t="str">
        <f t="shared" si="39"/>
        <v>Q3</v>
      </c>
      <c r="D1230" s="2" t="s">
        <v>28</v>
      </c>
      <c r="E1230" s="11" t="s">
        <v>290</v>
      </c>
      <c r="F1230" s="11" t="s">
        <v>151</v>
      </c>
      <c r="G1230" s="11" t="s">
        <v>503</v>
      </c>
      <c r="H1230" s="11" t="s">
        <v>190</v>
      </c>
      <c r="I1230" s="12">
        <v>0.17</v>
      </c>
      <c r="J1230" s="12">
        <v>30</v>
      </c>
      <c r="K1230" s="12">
        <v>74.34</v>
      </c>
      <c r="L1230" s="12">
        <v>2230.1999999999998</v>
      </c>
      <c r="M1230" s="12">
        <v>0</v>
      </c>
      <c r="N1230" s="12">
        <v>-111.510137</v>
      </c>
      <c r="O1230" s="12">
        <v>275.42957000000001</v>
      </c>
      <c r="P1230" s="12">
        <v>2394.1194329999998</v>
      </c>
    </row>
    <row r="1231" spans="1:16" ht="14.5" x14ac:dyDescent="0.25">
      <c r="A1231" s="10">
        <v>45941</v>
      </c>
      <c r="B1231" s="2" t="str">
        <f t="shared" si="38"/>
        <v>Oct-2025</v>
      </c>
      <c r="C1231" s="2" t="str">
        <f t="shared" si="39"/>
        <v>Q3</v>
      </c>
      <c r="D1231" s="2" t="s">
        <v>28</v>
      </c>
      <c r="E1231" s="11" t="s">
        <v>290</v>
      </c>
      <c r="F1231" s="11" t="s">
        <v>151</v>
      </c>
      <c r="G1231" s="11" t="s">
        <v>503</v>
      </c>
      <c r="H1231" s="11" t="s">
        <v>173</v>
      </c>
      <c r="I1231" s="12">
        <v>0.17</v>
      </c>
      <c r="J1231" s="12">
        <v>20</v>
      </c>
      <c r="K1231" s="12">
        <v>77.430000000000007</v>
      </c>
      <c r="L1231" s="12">
        <v>1548.6</v>
      </c>
      <c r="M1231" s="12">
        <v>0</v>
      </c>
      <c r="N1231" s="12">
        <v>-77.430095000000009</v>
      </c>
      <c r="O1231" s="12">
        <v>191.25200999999998</v>
      </c>
      <c r="P1231" s="12">
        <v>1662.4219149999999</v>
      </c>
    </row>
    <row r="1232" spans="1:16" ht="14.5" x14ac:dyDescent="0.25">
      <c r="A1232" s="10">
        <v>45941</v>
      </c>
      <c r="B1232" s="2" t="str">
        <f t="shared" si="38"/>
        <v>Oct-2025</v>
      </c>
      <c r="C1232" s="2" t="str">
        <f t="shared" si="39"/>
        <v>Q3</v>
      </c>
      <c r="D1232" s="2" t="s">
        <v>28</v>
      </c>
      <c r="E1232" s="11" t="s">
        <v>290</v>
      </c>
      <c r="F1232" s="11" t="s">
        <v>151</v>
      </c>
      <c r="G1232" s="11" t="s">
        <v>504</v>
      </c>
      <c r="H1232" s="11" t="s">
        <v>69</v>
      </c>
      <c r="I1232" s="12">
        <v>0.5</v>
      </c>
      <c r="J1232" s="12">
        <v>50</v>
      </c>
      <c r="K1232" s="12">
        <v>148.66999999999999</v>
      </c>
      <c r="L1232" s="12">
        <v>7433.5</v>
      </c>
      <c r="M1232" s="12">
        <v>0</v>
      </c>
      <c r="N1232" s="12">
        <v>-371.67545699999999</v>
      </c>
      <c r="O1232" s="12">
        <v>918.03681599999993</v>
      </c>
      <c r="P1232" s="12">
        <v>7979.8613590000004</v>
      </c>
    </row>
    <row r="1233" spans="1:16" ht="14.5" x14ac:dyDescent="0.25">
      <c r="A1233" s="10">
        <v>45941</v>
      </c>
      <c r="B1233" s="2" t="str">
        <f t="shared" si="38"/>
        <v>Oct-2025</v>
      </c>
      <c r="C1233" s="2" t="str">
        <f t="shared" si="39"/>
        <v>Q3</v>
      </c>
      <c r="D1233" s="2" t="s">
        <v>28</v>
      </c>
      <c r="E1233" s="11" t="s">
        <v>291</v>
      </c>
      <c r="F1233" s="11" t="s">
        <v>151</v>
      </c>
      <c r="G1233" s="11" t="s">
        <v>506</v>
      </c>
      <c r="H1233" s="11" t="s">
        <v>58</v>
      </c>
      <c r="I1233" s="12">
        <v>0.33</v>
      </c>
      <c r="J1233" s="12">
        <v>24</v>
      </c>
      <c r="K1233" s="12">
        <v>136.28</v>
      </c>
      <c r="L1233" s="12">
        <v>3270.72</v>
      </c>
      <c r="M1233" s="12">
        <v>0</v>
      </c>
      <c r="N1233" s="12">
        <v>-163.53658300000001</v>
      </c>
      <c r="O1233" s="12">
        <v>403.93329</v>
      </c>
      <c r="P1233" s="12">
        <v>3511.1167070000001</v>
      </c>
    </row>
    <row r="1234" spans="1:16" ht="14.5" x14ac:dyDescent="0.25">
      <c r="A1234" s="10">
        <v>45941</v>
      </c>
      <c r="B1234" s="2" t="str">
        <f t="shared" si="38"/>
        <v>Oct-2025</v>
      </c>
      <c r="C1234" s="2" t="str">
        <f t="shared" si="39"/>
        <v>Q3</v>
      </c>
      <c r="D1234" s="2" t="s">
        <v>28</v>
      </c>
      <c r="E1234" s="11" t="s">
        <v>291</v>
      </c>
      <c r="F1234" s="11" t="s">
        <v>151</v>
      </c>
      <c r="G1234" s="11" t="s">
        <v>503</v>
      </c>
      <c r="H1234" s="11" t="s">
        <v>89</v>
      </c>
      <c r="I1234" s="12">
        <v>0.25</v>
      </c>
      <c r="J1234" s="12">
        <v>30</v>
      </c>
      <c r="K1234" s="12">
        <v>105.31</v>
      </c>
      <c r="L1234" s="12">
        <v>3159.2999999999997</v>
      </c>
      <c r="M1234" s="12">
        <v>0</v>
      </c>
      <c r="N1234" s="12">
        <v>-157.96556299999997</v>
      </c>
      <c r="O1234" s="12">
        <v>390.17294200000003</v>
      </c>
      <c r="P1234" s="12">
        <v>3391.5073790000001</v>
      </c>
    </row>
    <row r="1235" spans="1:16" ht="14.5" x14ac:dyDescent="0.25">
      <c r="A1235" s="10">
        <v>45941</v>
      </c>
      <c r="B1235" s="2" t="str">
        <f t="shared" si="38"/>
        <v>Oct-2025</v>
      </c>
      <c r="C1235" s="2" t="str">
        <f t="shared" si="39"/>
        <v>Q3</v>
      </c>
      <c r="D1235" s="2" t="s">
        <v>28</v>
      </c>
      <c r="E1235" s="11" t="s">
        <v>291</v>
      </c>
      <c r="F1235" s="11" t="s">
        <v>151</v>
      </c>
      <c r="G1235" s="11" t="s">
        <v>504</v>
      </c>
      <c r="H1235" s="11" t="s">
        <v>67</v>
      </c>
      <c r="I1235" s="12">
        <v>0.5</v>
      </c>
      <c r="J1235" s="12">
        <v>20</v>
      </c>
      <c r="K1235" s="12">
        <v>360.53</v>
      </c>
      <c r="L1235" s="12">
        <v>7210.5999999999995</v>
      </c>
      <c r="M1235" s="12">
        <v>0</v>
      </c>
      <c r="N1235" s="12">
        <v>-360.53128499999997</v>
      </c>
      <c r="O1235" s="12">
        <v>890.50771199999997</v>
      </c>
      <c r="P1235" s="12">
        <v>7740.576427</v>
      </c>
    </row>
    <row r="1236" spans="1:16" ht="14.5" x14ac:dyDescent="0.25">
      <c r="A1236" s="10">
        <v>45941</v>
      </c>
      <c r="B1236" s="2" t="str">
        <f t="shared" si="38"/>
        <v>Oct-2025</v>
      </c>
      <c r="C1236" s="2" t="str">
        <f t="shared" si="39"/>
        <v>Q3</v>
      </c>
      <c r="D1236" s="2" t="s">
        <v>28</v>
      </c>
      <c r="E1236" s="11" t="s">
        <v>291</v>
      </c>
      <c r="F1236" s="11" t="s">
        <v>151</v>
      </c>
      <c r="G1236" s="11" t="s">
        <v>503</v>
      </c>
      <c r="H1236" s="11" t="s">
        <v>166</v>
      </c>
      <c r="I1236" s="12">
        <v>0.17</v>
      </c>
      <c r="J1236" s="12">
        <v>20</v>
      </c>
      <c r="K1236" s="12">
        <v>58.85</v>
      </c>
      <c r="L1236" s="12">
        <v>1177</v>
      </c>
      <c r="M1236" s="12">
        <v>0</v>
      </c>
      <c r="N1236" s="12">
        <v>-58.850209999999997</v>
      </c>
      <c r="O1236" s="12">
        <v>145.359273</v>
      </c>
      <c r="P1236" s="12">
        <v>1263.509063</v>
      </c>
    </row>
    <row r="1237" spans="1:16" ht="14.5" x14ac:dyDescent="0.25">
      <c r="A1237" s="10">
        <v>45941</v>
      </c>
      <c r="B1237" s="2" t="str">
        <f t="shared" si="38"/>
        <v>Oct-2025</v>
      </c>
      <c r="C1237" s="2" t="str">
        <f t="shared" si="39"/>
        <v>Q3</v>
      </c>
      <c r="D1237" s="2" t="s">
        <v>28</v>
      </c>
      <c r="E1237" s="11" t="s">
        <v>291</v>
      </c>
      <c r="F1237" s="11" t="s">
        <v>151</v>
      </c>
      <c r="G1237" s="11" t="s">
        <v>503</v>
      </c>
      <c r="H1237" s="11" t="s">
        <v>170</v>
      </c>
      <c r="I1237" s="12">
        <v>0.38</v>
      </c>
      <c r="J1237" s="12">
        <v>30</v>
      </c>
      <c r="K1237" s="12">
        <v>154.87</v>
      </c>
      <c r="L1237" s="12">
        <v>4646.0999999999995</v>
      </c>
      <c r="M1237" s="12">
        <v>0</v>
      </c>
      <c r="N1237" s="12">
        <v>-232.30582799999999</v>
      </c>
      <c r="O1237" s="12">
        <v>573.79245500000002</v>
      </c>
      <c r="P1237" s="12">
        <v>4987.5866269999997</v>
      </c>
    </row>
    <row r="1238" spans="1:16" ht="14.5" x14ac:dyDescent="0.25">
      <c r="A1238" s="10">
        <v>45941</v>
      </c>
      <c r="B1238" s="2" t="str">
        <f t="shared" si="38"/>
        <v>Oct-2025</v>
      </c>
      <c r="C1238" s="2" t="str">
        <f t="shared" si="39"/>
        <v>Q3</v>
      </c>
      <c r="D1238" s="2" t="s">
        <v>28</v>
      </c>
      <c r="E1238" s="11" t="s">
        <v>291</v>
      </c>
      <c r="F1238" s="11" t="s">
        <v>151</v>
      </c>
      <c r="G1238" s="11" t="s">
        <v>504</v>
      </c>
      <c r="H1238" s="11" t="s">
        <v>69</v>
      </c>
      <c r="I1238" s="12">
        <v>0.2</v>
      </c>
      <c r="J1238" s="12">
        <v>20</v>
      </c>
      <c r="K1238" s="12">
        <v>148.66999999999999</v>
      </c>
      <c r="L1238" s="12">
        <v>2973.4</v>
      </c>
      <c r="M1238" s="12">
        <v>0</v>
      </c>
      <c r="N1238" s="12">
        <v>-148.67052999999999</v>
      </c>
      <c r="O1238" s="12">
        <v>367.21432800000002</v>
      </c>
      <c r="P1238" s="12">
        <v>3191.9437979999998</v>
      </c>
    </row>
    <row r="1239" spans="1:16" ht="14.5" x14ac:dyDescent="0.25">
      <c r="A1239" s="10">
        <v>45941</v>
      </c>
      <c r="B1239" s="2" t="str">
        <f t="shared" si="38"/>
        <v>Oct-2025</v>
      </c>
      <c r="C1239" s="2" t="str">
        <f t="shared" si="39"/>
        <v>Q3</v>
      </c>
      <c r="D1239" s="2" t="s">
        <v>28</v>
      </c>
      <c r="E1239" s="11" t="s">
        <v>292</v>
      </c>
      <c r="F1239" s="11" t="s">
        <v>151</v>
      </c>
      <c r="G1239" s="11" t="s">
        <v>505</v>
      </c>
      <c r="H1239" s="11" t="s">
        <v>55</v>
      </c>
      <c r="I1239" s="12">
        <v>0.17</v>
      </c>
      <c r="J1239" s="12">
        <v>20</v>
      </c>
      <c r="K1239" s="12">
        <v>136.28</v>
      </c>
      <c r="L1239" s="12">
        <v>2725.6</v>
      </c>
      <c r="M1239" s="12">
        <v>0</v>
      </c>
      <c r="N1239" s="12">
        <v>-136.28021200000001</v>
      </c>
      <c r="O1239" s="12">
        <v>336.61147099999999</v>
      </c>
      <c r="P1239" s="12">
        <v>2925.931259</v>
      </c>
    </row>
    <row r="1240" spans="1:16" ht="14.5" x14ac:dyDescent="0.25">
      <c r="A1240" s="10">
        <v>45941</v>
      </c>
      <c r="B1240" s="2" t="str">
        <f t="shared" si="38"/>
        <v>Oct-2025</v>
      </c>
      <c r="C1240" s="2" t="str">
        <f t="shared" si="39"/>
        <v>Q3</v>
      </c>
      <c r="D1240" s="2" t="s">
        <v>28</v>
      </c>
      <c r="E1240" s="11" t="s">
        <v>292</v>
      </c>
      <c r="F1240" s="11" t="s">
        <v>151</v>
      </c>
      <c r="G1240" s="11" t="s">
        <v>503</v>
      </c>
      <c r="H1240" s="11" t="s">
        <v>177</v>
      </c>
      <c r="I1240" s="12">
        <v>0.25</v>
      </c>
      <c r="J1240" s="12">
        <v>30</v>
      </c>
      <c r="K1240" s="12">
        <v>86.73</v>
      </c>
      <c r="L1240" s="12">
        <v>2601.9</v>
      </c>
      <c r="M1240" s="12">
        <v>0</v>
      </c>
      <c r="N1240" s="12">
        <v>-130.095203</v>
      </c>
      <c r="O1240" s="12">
        <v>321.33452599999998</v>
      </c>
      <c r="P1240" s="12">
        <v>2793.1393229999999</v>
      </c>
    </row>
    <row r="1241" spans="1:16" ht="14.5" x14ac:dyDescent="0.25">
      <c r="A1241" s="10">
        <v>45941</v>
      </c>
      <c r="B1241" s="2" t="str">
        <f t="shared" si="38"/>
        <v>Oct-2025</v>
      </c>
      <c r="C1241" s="2" t="str">
        <f t="shared" si="39"/>
        <v>Q3</v>
      </c>
      <c r="D1241" s="2" t="s">
        <v>28</v>
      </c>
      <c r="E1241" s="11" t="s">
        <v>292</v>
      </c>
      <c r="F1241" s="11" t="s">
        <v>151</v>
      </c>
      <c r="G1241" s="11" t="s">
        <v>506</v>
      </c>
      <c r="H1241" s="11" t="s">
        <v>54</v>
      </c>
      <c r="I1241" s="12">
        <v>0.63</v>
      </c>
      <c r="J1241" s="12">
        <v>30</v>
      </c>
      <c r="K1241" s="12">
        <v>284.95999999999998</v>
      </c>
      <c r="L1241" s="12">
        <v>8548.7999999999993</v>
      </c>
      <c r="M1241" s="12">
        <v>0</v>
      </c>
      <c r="N1241" s="12">
        <v>-427.44066600000002</v>
      </c>
      <c r="O1241" s="12">
        <v>1055.776394</v>
      </c>
      <c r="P1241" s="12">
        <v>9177.1357279999993</v>
      </c>
    </row>
    <row r="1242" spans="1:16" ht="14.5" x14ac:dyDescent="0.25">
      <c r="A1242" s="10">
        <v>45941</v>
      </c>
      <c r="B1242" s="2" t="str">
        <f t="shared" si="38"/>
        <v>Oct-2025</v>
      </c>
      <c r="C1242" s="2" t="str">
        <f t="shared" si="39"/>
        <v>Q3</v>
      </c>
      <c r="D1242" s="2" t="s">
        <v>28</v>
      </c>
      <c r="E1242" s="11" t="s">
        <v>292</v>
      </c>
      <c r="F1242" s="11" t="s">
        <v>151</v>
      </c>
      <c r="G1242" s="11" t="s">
        <v>504</v>
      </c>
      <c r="H1242" s="11" t="s">
        <v>66</v>
      </c>
      <c r="I1242" s="12">
        <v>0.3</v>
      </c>
      <c r="J1242" s="12">
        <v>30</v>
      </c>
      <c r="K1242" s="12">
        <v>99.12</v>
      </c>
      <c r="L1242" s="12">
        <v>2973.6</v>
      </c>
      <c r="M1242" s="12">
        <v>0</v>
      </c>
      <c r="N1242" s="12">
        <v>-148.68023199999999</v>
      </c>
      <c r="O1242" s="12">
        <v>367.23945900000001</v>
      </c>
      <c r="P1242" s="12">
        <v>3192.1592270000001</v>
      </c>
    </row>
    <row r="1243" spans="1:16" ht="14.5" x14ac:dyDescent="0.25">
      <c r="A1243" s="10">
        <v>45941</v>
      </c>
      <c r="B1243" s="2" t="str">
        <f t="shared" si="38"/>
        <v>Oct-2025</v>
      </c>
      <c r="C1243" s="2" t="str">
        <f t="shared" si="39"/>
        <v>Q3</v>
      </c>
      <c r="D1243" s="2" t="s">
        <v>28</v>
      </c>
      <c r="E1243" s="11" t="s">
        <v>292</v>
      </c>
      <c r="F1243" s="11" t="s">
        <v>151</v>
      </c>
      <c r="G1243" s="11" t="s">
        <v>506</v>
      </c>
      <c r="H1243" s="11" t="s">
        <v>39</v>
      </c>
      <c r="I1243" s="12">
        <v>0.42</v>
      </c>
      <c r="J1243" s="12">
        <v>30</v>
      </c>
      <c r="K1243" s="12">
        <v>120.8</v>
      </c>
      <c r="L1243" s="12">
        <v>3624</v>
      </c>
      <c r="M1243" s="12">
        <v>0</v>
      </c>
      <c r="N1243" s="12">
        <v>-181.20028199999999</v>
      </c>
      <c r="O1243" s="12">
        <v>447.563828</v>
      </c>
      <c r="P1243" s="12">
        <v>3890.363546</v>
      </c>
    </row>
    <row r="1244" spans="1:16" ht="14.5" x14ac:dyDescent="0.25">
      <c r="A1244" s="10">
        <v>45941</v>
      </c>
      <c r="B1244" s="2" t="str">
        <f t="shared" si="38"/>
        <v>Oct-2025</v>
      </c>
      <c r="C1244" s="2" t="str">
        <f t="shared" si="39"/>
        <v>Q3</v>
      </c>
      <c r="D1244" s="2" t="s">
        <v>28</v>
      </c>
      <c r="E1244" s="11" t="s">
        <v>292</v>
      </c>
      <c r="F1244" s="11" t="s">
        <v>151</v>
      </c>
      <c r="G1244" s="11" t="s">
        <v>503</v>
      </c>
      <c r="H1244" s="11" t="s">
        <v>176</v>
      </c>
      <c r="I1244" s="12">
        <v>0.25</v>
      </c>
      <c r="J1244" s="12">
        <v>30</v>
      </c>
      <c r="K1244" s="12">
        <v>145.58000000000001</v>
      </c>
      <c r="L1244" s="12">
        <v>4367.3999999999996</v>
      </c>
      <c r="M1244" s="12">
        <v>0</v>
      </c>
      <c r="N1244" s="12">
        <v>-218.37033999999997</v>
      </c>
      <c r="O1244" s="12">
        <v>539.373693</v>
      </c>
      <c r="P1244" s="12">
        <v>4688.4033529999997</v>
      </c>
    </row>
    <row r="1245" spans="1:16" ht="14.5" x14ac:dyDescent="0.25">
      <c r="A1245" s="10">
        <v>45941</v>
      </c>
      <c r="B1245" s="2" t="str">
        <f t="shared" si="38"/>
        <v>Oct-2025</v>
      </c>
      <c r="C1245" s="2" t="str">
        <f t="shared" si="39"/>
        <v>Q3</v>
      </c>
      <c r="D1245" s="2" t="s">
        <v>28</v>
      </c>
      <c r="E1245" s="11" t="s">
        <v>292</v>
      </c>
      <c r="F1245" s="11" t="s">
        <v>151</v>
      </c>
      <c r="G1245" s="11" t="s">
        <v>505</v>
      </c>
      <c r="H1245" s="11" t="s">
        <v>50</v>
      </c>
      <c r="I1245" s="12">
        <v>0.38</v>
      </c>
      <c r="J1245" s="12">
        <v>30</v>
      </c>
      <c r="K1245" s="12">
        <v>154.87</v>
      </c>
      <c r="L1245" s="12">
        <v>4646.0999999999995</v>
      </c>
      <c r="M1245" s="12">
        <v>0</v>
      </c>
      <c r="N1245" s="12">
        <v>-232.305362</v>
      </c>
      <c r="O1245" s="12">
        <v>573.79312900000002</v>
      </c>
      <c r="P1245" s="12">
        <v>4987.587767</v>
      </c>
    </row>
    <row r="1246" spans="1:16" ht="14.5" x14ac:dyDescent="0.25">
      <c r="A1246" s="10">
        <v>45941</v>
      </c>
      <c r="B1246" s="2" t="str">
        <f t="shared" si="38"/>
        <v>Oct-2025</v>
      </c>
      <c r="C1246" s="2" t="str">
        <f t="shared" si="39"/>
        <v>Q3</v>
      </c>
      <c r="D1246" s="2" t="s">
        <v>28</v>
      </c>
      <c r="E1246" s="11" t="s">
        <v>292</v>
      </c>
      <c r="F1246" s="11" t="s">
        <v>151</v>
      </c>
      <c r="G1246" s="11" t="s">
        <v>505</v>
      </c>
      <c r="H1246" s="11" t="s">
        <v>49</v>
      </c>
      <c r="I1246" s="12">
        <v>0.17</v>
      </c>
      <c r="J1246" s="12">
        <v>30</v>
      </c>
      <c r="K1246" s="12">
        <v>145.58000000000001</v>
      </c>
      <c r="L1246" s="12">
        <v>4367.3999999999996</v>
      </c>
      <c r="M1246" s="12">
        <v>0</v>
      </c>
      <c r="N1246" s="12">
        <v>-218.37033999999997</v>
      </c>
      <c r="O1246" s="12">
        <v>539.373693</v>
      </c>
      <c r="P1246" s="12">
        <v>4688.4033529999997</v>
      </c>
    </row>
    <row r="1247" spans="1:16" ht="14.5" x14ac:dyDescent="0.25">
      <c r="A1247" s="10">
        <v>45941</v>
      </c>
      <c r="B1247" s="2" t="str">
        <f t="shared" si="38"/>
        <v>Oct-2025</v>
      </c>
      <c r="C1247" s="2" t="str">
        <f t="shared" si="39"/>
        <v>Q3</v>
      </c>
      <c r="D1247" s="2" t="s">
        <v>28</v>
      </c>
      <c r="E1247" s="11" t="s">
        <v>292</v>
      </c>
      <c r="F1247" s="11" t="s">
        <v>151</v>
      </c>
      <c r="G1247" s="11" t="s">
        <v>505</v>
      </c>
      <c r="H1247" s="11" t="s">
        <v>56</v>
      </c>
      <c r="I1247" s="12">
        <v>0.25</v>
      </c>
      <c r="J1247" s="12">
        <v>30</v>
      </c>
      <c r="K1247" s="12">
        <v>46.46</v>
      </c>
      <c r="L1247" s="12">
        <v>1393.8</v>
      </c>
      <c r="M1247" s="12">
        <v>0</v>
      </c>
      <c r="N1247" s="12">
        <v>-69.690108999999993</v>
      </c>
      <c r="O1247" s="12">
        <v>172.13423399999999</v>
      </c>
      <c r="P1247" s="12">
        <v>1496.2441249999999</v>
      </c>
    </row>
    <row r="1248" spans="1:16" ht="14.5" x14ac:dyDescent="0.25">
      <c r="A1248" s="10">
        <v>45941</v>
      </c>
      <c r="B1248" s="2" t="str">
        <f t="shared" si="38"/>
        <v>Oct-2025</v>
      </c>
      <c r="C1248" s="2" t="str">
        <f t="shared" si="39"/>
        <v>Q3</v>
      </c>
      <c r="D1248" s="2" t="s">
        <v>28</v>
      </c>
      <c r="E1248" s="11" t="s">
        <v>292</v>
      </c>
      <c r="F1248" s="11" t="s">
        <v>151</v>
      </c>
      <c r="G1248" s="11" t="s">
        <v>505</v>
      </c>
      <c r="H1248" s="11" t="s">
        <v>167</v>
      </c>
      <c r="I1248" s="12">
        <v>0.11</v>
      </c>
      <c r="J1248" s="12">
        <v>20</v>
      </c>
      <c r="K1248" s="12">
        <v>83.63</v>
      </c>
      <c r="L1248" s="12">
        <v>1672.6</v>
      </c>
      <c r="M1248" s="12">
        <v>0</v>
      </c>
      <c r="N1248" s="12">
        <v>-83.630129999999994</v>
      </c>
      <c r="O1248" s="12">
        <v>206.56602100000001</v>
      </c>
      <c r="P1248" s="12">
        <v>1795.535891</v>
      </c>
    </row>
    <row r="1249" spans="1:16" ht="14.5" x14ac:dyDescent="0.25">
      <c r="A1249" s="10">
        <v>45941</v>
      </c>
      <c r="B1249" s="2" t="str">
        <f t="shared" si="38"/>
        <v>Oct-2025</v>
      </c>
      <c r="C1249" s="2" t="str">
        <f t="shared" si="39"/>
        <v>Q3</v>
      </c>
      <c r="D1249" s="2" t="s">
        <v>28</v>
      </c>
      <c r="E1249" s="11" t="s">
        <v>292</v>
      </c>
      <c r="F1249" s="11" t="s">
        <v>151</v>
      </c>
      <c r="G1249" s="11" t="s">
        <v>503</v>
      </c>
      <c r="H1249" s="11" t="s">
        <v>179</v>
      </c>
      <c r="I1249" s="12">
        <v>0.11</v>
      </c>
      <c r="J1249" s="12">
        <v>20</v>
      </c>
      <c r="K1249" s="12">
        <v>111.5</v>
      </c>
      <c r="L1249" s="12">
        <v>2230</v>
      </c>
      <c r="M1249" s="12">
        <v>0</v>
      </c>
      <c r="N1249" s="12">
        <v>-111.500174</v>
      </c>
      <c r="O1249" s="12">
        <v>275.40489400000001</v>
      </c>
      <c r="P1249" s="12">
        <v>2393.90472</v>
      </c>
    </row>
    <row r="1250" spans="1:16" ht="14.5" x14ac:dyDescent="0.25">
      <c r="A1250" s="10">
        <v>45941</v>
      </c>
      <c r="B1250" s="2" t="str">
        <f t="shared" si="38"/>
        <v>Oct-2025</v>
      </c>
      <c r="C1250" s="2" t="str">
        <f t="shared" si="39"/>
        <v>Q3</v>
      </c>
      <c r="D1250" s="2" t="s">
        <v>28</v>
      </c>
      <c r="E1250" s="11" t="s">
        <v>292</v>
      </c>
      <c r="F1250" s="11" t="s">
        <v>151</v>
      </c>
      <c r="G1250" s="11" t="s">
        <v>504</v>
      </c>
      <c r="H1250" s="11" t="s">
        <v>68</v>
      </c>
      <c r="I1250" s="12">
        <v>0.75</v>
      </c>
      <c r="J1250" s="12">
        <v>30</v>
      </c>
      <c r="K1250" s="12">
        <v>238.5</v>
      </c>
      <c r="L1250" s="12">
        <v>7155</v>
      </c>
      <c r="M1250" s="12">
        <v>0</v>
      </c>
      <c r="N1250" s="12">
        <v>-357.75055700000001</v>
      </c>
      <c r="O1250" s="12">
        <v>883.6421600000001</v>
      </c>
      <c r="P1250" s="12">
        <v>7680.891603</v>
      </c>
    </row>
    <row r="1251" spans="1:16" ht="14.5" x14ac:dyDescent="0.25">
      <c r="A1251" s="10">
        <v>45941</v>
      </c>
      <c r="B1251" s="2" t="str">
        <f t="shared" ref="B1251:B1314" si="40">+TEXT(A1251,"MMM-yyy")</f>
        <v>Oct-2025</v>
      </c>
      <c r="C1251" s="2" t="str">
        <f t="shared" ref="C1251:C1314" si="41">"Q" &amp; CHOOSE(MONTH(A1251),4,4,4,1,1,1,2,2,2,3,3,3)</f>
        <v>Q3</v>
      </c>
      <c r="D1251" s="2" t="s">
        <v>28</v>
      </c>
      <c r="E1251" s="11" t="s">
        <v>292</v>
      </c>
      <c r="F1251" s="11" t="s">
        <v>151</v>
      </c>
      <c r="G1251" s="11" t="s">
        <v>507</v>
      </c>
      <c r="H1251" s="11" t="s">
        <v>60</v>
      </c>
      <c r="I1251" s="12">
        <v>0.5</v>
      </c>
      <c r="J1251" s="12">
        <v>30</v>
      </c>
      <c r="K1251" s="12">
        <v>89.82</v>
      </c>
      <c r="L1251" s="12">
        <v>2694.6</v>
      </c>
      <c r="M1251" s="12">
        <v>0</v>
      </c>
      <c r="N1251" s="12">
        <v>-134.73021</v>
      </c>
      <c r="O1251" s="12">
        <v>332.78297200000003</v>
      </c>
      <c r="P1251" s="12">
        <v>2892.6527620000002</v>
      </c>
    </row>
    <row r="1252" spans="1:16" ht="14.5" x14ac:dyDescent="0.25">
      <c r="A1252" s="10">
        <v>45941</v>
      </c>
      <c r="B1252" s="2" t="str">
        <f t="shared" si="40"/>
        <v>Oct-2025</v>
      </c>
      <c r="C1252" s="2" t="str">
        <f t="shared" si="41"/>
        <v>Q3</v>
      </c>
      <c r="D1252" s="2" t="s">
        <v>28</v>
      </c>
      <c r="E1252" s="11" t="s">
        <v>292</v>
      </c>
      <c r="F1252" s="11" t="s">
        <v>151</v>
      </c>
      <c r="G1252" s="11" t="s">
        <v>503</v>
      </c>
      <c r="H1252" s="11" t="s">
        <v>42</v>
      </c>
      <c r="I1252" s="12">
        <v>0.25</v>
      </c>
      <c r="J1252" s="12">
        <v>30</v>
      </c>
      <c r="K1252" s="12">
        <v>130.09</v>
      </c>
      <c r="L1252" s="12">
        <v>3902.7000000000003</v>
      </c>
      <c r="M1252" s="12">
        <v>0</v>
      </c>
      <c r="N1252" s="12">
        <v>-195.13530399999999</v>
      </c>
      <c r="O1252" s="12">
        <v>481.98326500000002</v>
      </c>
      <c r="P1252" s="12">
        <v>4189.5479610000002</v>
      </c>
    </row>
    <row r="1253" spans="1:16" ht="14.5" x14ac:dyDescent="0.25">
      <c r="A1253" s="10">
        <v>45941</v>
      </c>
      <c r="B1253" s="2" t="str">
        <f t="shared" si="40"/>
        <v>Oct-2025</v>
      </c>
      <c r="C1253" s="2" t="str">
        <f t="shared" si="41"/>
        <v>Q3</v>
      </c>
      <c r="D1253" s="2" t="s">
        <v>28</v>
      </c>
      <c r="E1253" s="11" t="s">
        <v>292</v>
      </c>
      <c r="F1253" s="11" t="s">
        <v>151</v>
      </c>
      <c r="G1253" s="11" t="s">
        <v>505</v>
      </c>
      <c r="H1253" s="11" t="s">
        <v>43</v>
      </c>
      <c r="I1253" s="12">
        <v>0.75</v>
      </c>
      <c r="J1253" s="12">
        <v>30</v>
      </c>
      <c r="K1253" s="12">
        <v>260.18</v>
      </c>
      <c r="L1253" s="12">
        <v>7805.4000000000005</v>
      </c>
      <c r="M1253" s="12">
        <v>0</v>
      </c>
      <c r="N1253" s="12">
        <v>-390.27060799999998</v>
      </c>
      <c r="O1253" s="12">
        <v>963.96652900000004</v>
      </c>
      <c r="P1253" s="12">
        <v>8379.0959210000001</v>
      </c>
    </row>
    <row r="1254" spans="1:16" ht="14.5" x14ac:dyDescent="0.25">
      <c r="A1254" s="10">
        <v>45941</v>
      </c>
      <c r="B1254" s="2" t="str">
        <f t="shared" si="40"/>
        <v>Oct-2025</v>
      </c>
      <c r="C1254" s="2" t="str">
        <f t="shared" si="41"/>
        <v>Q3</v>
      </c>
      <c r="D1254" s="2" t="s">
        <v>28</v>
      </c>
      <c r="E1254" s="11" t="s">
        <v>292</v>
      </c>
      <c r="F1254" s="11" t="s">
        <v>151</v>
      </c>
      <c r="G1254" s="11" t="s">
        <v>506</v>
      </c>
      <c r="H1254" s="11" t="s">
        <v>189</v>
      </c>
      <c r="I1254" s="12">
        <v>0.3</v>
      </c>
      <c r="J1254" s="12">
        <v>30</v>
      </c>
      <c r="K1254" s="12">
        <v>65.040000000000006</v>
      </c>
      <c r="L1254" s="12">
        <v>1951.2</v>
      </c>
      <c r="M1254" s="12">
        <v>0</v>
      </c>
      <c r="N1254" s="12">
        <v>-97.560152000000002</v>
      </c>
      <c r="O1254" s="12">
        <v>240.973107</v>
      </c>
      <c r="P1254" s="12">
        <v>2094.6129550000001</v>
      </c>
    </row>
    <row r="1255" spans="1:16" ht="14.5" x14ac:dyDescent="0.25">
      <c r="A1255" s="10">
        <v>45941</v>
      </c>
      <c r="B1255" s="2" t="str">
        <f t="shared" si="40"/>
        <v>Oct-2025</v>
      </c>
      <c r="C1255" s="2" t="str">
        <f t="shared" si="41"/>
        <v>Q3</v>
      </c>
      <c r="D1255" s="2" t="s">
        <v>28</v>
      </c>
      <c r="E1255" s="11" t="s">
        <v>292</v>
      </c>
      <c r="F1255" s="11" t="s">
        <v>151</v>
      </c>
      <c r="G1255" s="11" t="s">
        <v>503</v>
      </c>
      <c r="H1255" s="11" t="s">
        <v>174</v>
      </c>
      <c r="I1255" s="12">
        <v>0.11</v>
      </c>
      <c r="J1255" s="12">
        <v>20</v>
      </c>
      <c r="K1255" s="12">
        <v>76.81</v>
      </c>
      <c r="L1255" s="12">
        <v>1536.2</v>
      </c>
      <c r="M1255" s="12">
        <v>0</v>
      </c>
      <c r="N1255" s="12">
        <v>-76.810119999999998</v>
      </c>
      <c r="O1255" s="12">
        <v>189.72062699999998</v>
      </c>
      <c r="P1255" s="12">
        <v>1649.1105070000001</v>
      </c>
    </row>
    <row r="1256" spans="1:16" ht="14.5" x14ac:dyDescent="0.25">
      <c r="A1256" s="10">
        <v>45941</v>
      </c>
      <c r="B1256" s="2" t="str">
        <f t="shared" si="40"/>
        <v>Oct-2025</v>
      </c>
      <c r="C1256" s="2" t="str">
        <f t="shared" si="41"/>
        <v>Q3</v>
      </c>
      <c r="D1256" s="2" t="s">
        <v>28</v>
      </c>
      <c r="E1256" s="11" t="s">
        <v>293</v>
      </c>
      <c r="F1256" s="11" t="s">
        <v>151</v>
      </c>
      <c r="G1256" s="11" t="s">
        <v>504</v>
      </c>
      <c r="H1256" s="11" t="s">
        <v>69</v>
      </c>
      <c r="I1256" s="12">
        <v>0.3</v>
      </c>
      <c r="J1256" s="12">
        <v>30</v>
      </c>
      <c r="K1256" s="12">
        <v>148.66999999999999</v>
      </c>
      <c r="L1256" s="12">
        <v>4460.0999999999995</v>
      </c>
      <c r="M1256" s="12">
        <v>0</v>
      </c>
      <c r="N1256" s="12">
        <v>-223.00550200000001</v>
      </c>
      <c r="O1256" s="12">
        <v>550.82260600000006</v>
      </c>
      <c r="P1256" s="12">
        <v>4787.9171040000001</v>
      </c>
    </row>
    <row r="1257" spans="1:16" ht="14.5" x14ac:dyDescent="0.25">
      <c r="A1257" s="10">
        <v>45941</v>
      </c>
      <c r="B1257" s="2" t="str">
        <f t="shared" si="40"/>
        <v>Oct-2025</v>
      </c>
      <c r="C1257" s="2" t="str">
        <f t="shared" si="41"/>
        <v>Q3</v>
      </c>
      <c r="D1257" s="2" t="s">
        <v>28</v>
      </c>
      <c r="E1257" s="11" t="s">
        <v>293</v>
      </c>
      <c r="F1257" s="11" t="s">
        <v>151</v>
      </c>
      <c r="G1257" s="11" t="s">
        <v>507</v>
      </c>
      <c r="H1257" s="11" t="s">
        <v>90</v>
      </c>
      <c r="I1257" s="12">
        <v>0.25</v>
      </c>
      <c r="J1257" s="12">
        <v>30</v>
      </c>
      <c r="K1257" s="12">
        <v>52.65</v>
      </c>
      <c r="L1257" s="12">
        <v>1579.5000000000002</v>
      </c>
      <c r="M1257" s="12">
        <v>0</v>
      </c>
      <c r="N1257" s="12">
        <v>-78.975177999999985</v>
      </c>
      <c r="O1257" s="12">
        <v>195.068341</v>
      </c>
      <c r="P1257" s="12">
        <v>1695.593163</v>
      </c>
    </row>
    <row r="1258" spans="1:16" ht="14.5" x14ac:dyDescent="0.25">
      <c r="A1258" s="10">
        <v>45941</v>
      </c>
      <c r="B1258" s="2" t="str">
        <f t="shared" si="40"/>
        <v>Oct-2025</v>
      </c>
      <c r="C1258" s="2" t="str">
        <f t="shared" si="41"/>
        <v>Q3</v>
      </c>
      <c r="D1258" s="2" t="s">
        <v>28</v>
      </c>
      <c r="E1258" s="11" t="s">
        <v>293</v>
      </c>
      <c r="F1258" s="11" t="s">
        <v>151</v>
      </c>
      <c r="G1258" s="11" t="s">
        <v>503</v>
      </c>
      <c r="H1258" s="11" t="s">
        <v>44</v>
      </c>
      <c r="I1258" s="12">
        <v>0.17</v>
      </c>
      <c r="J1258" s="12">
        <v>30</v>
      </c>
      <c r="K1258" s="12">
        <v>142.47999999999999</v>
      </c>
      <c r="L1258" s="12">
        <v>4274.3999999999996</v>
      </c>
      <c r="M1258" s="12">
        <v>0</v>
      </c>
      <c r="N1258" s="12">
        <v>-213.72048100000001</v>
      </c>
      <c r="O1258" s="12">
        <v>527.888645</v>
      </c>
      <c r="P1258" s="12">
        <v>4588.5681640000003</v>
      </c>
    </row>
    <row r="1259" spans="1:16" ht="14.5" x14ac:dyDescent="0.25">
      <c r="A1259" s="10">
        <v>45941</v>
      </c>
      <c r="B1259" s="2" t="str">
        <f t="shared" si="40"/>
        <v>Oct-2025</v>
      </c>
      <c r="C1259" s="2" t="str">
        <f t="shared" si="41"/>
        <v>Q3</v>
      </c>
      <c r="D1259" s="2" t="s">
        <v>28</v>
      </c>
      <c r="E1259" s="11" t="s">
        <v>293</v>
      </c>
      <c r="F1259" s="11" t="s">
        <v>151</v>
      </c>
      <c r="G1259" s="11" t="s">
        <v>503</v>
      </c>
      <c r="H1259" s="11" t="s">
        <v>190</v>
      </c>
      <c r="I1259" s="12">
        <v>0.17</v>
      </c>
      <c r="J1259" s="12">
        <v>30</v>
      </c>
      <c r="K1259" s="12">
        <v>74.34</v>
      </c>
      <c r="L1259" s="12">
        <v>2230.1999999999998</v>
      </c>
      <c r="M1259" s="12">
        <v>0</v>
      </c>
      <c r="N1259" s="12">
        <v>-111.51025100000001</v>
      </c>
      <c r="O1259" s="12">
        <v>275.42982799999999</v>
      </c>
      <c r="P1259" s="12">
        <v>2394.1195769999999</v>
      </c>
    </row>
    <row r="1260" spans="1:16" ht="14.5" x14ac:dyDescent="0.25">
      <c r="A1260" s="10">
        <v>45941</v>
      </c>
      <c r="B1260" s="2" t="str">
        <f t="shared" si="40"/>
        <v>Oct-2025</v>
      </c>
      <c r="C1260" s="2" t="str">
        <f t="shared" si="41"/>
        <v>Q3</v>
      </c>
      <c r="D1260" s="2" t="s">
        <v>28</v>
      </c>
      <c r="E1260" s="11" t="s">
        <v>293</v>
      </c>
      <c r="F1260" s="11" t="s">
        <v>151</v>
      </c>
      <c r="G1260" s="11" t="s">
        <v>503</v>
      </c>
      <c r="H1260" s="11" t="s">
        <v>172</v>
      </c>
      <c r="I1260" s="12">
        <v>0.17</v>
      </c>
      <c r="J1260" s="12">
        <v>30</v>
      </c>
      <c r="K1260" s="12">
        <v>89.82</v>
      </c>
      <c r="L1260" s="12">
        <v>2694.6</v>
      </c>
      <c r="M1260" s="12">
        <v>0</v>
      </c>
      <c r="N1260" s="12">
        <v>-134.73030299999999</v>
      </c>
      <c r="O1260" s="12">
        <v>332.783255</v>
      </c>
      <c r="P1260" s="12">
        <v>2892.6529519999999</v>
      </c>
    </row>
    <row r="1261" spans="1:16" ht="14.5" x14ac:dyDescent="0.25">
      <c r="A1261" s="10">
        <v>45941</v>
      </c>
      <c r="B1261" s="2" t="str">
        <f t="shared" si="40"/>
        <v>Oct-2025</v>
      </c>
      <c r="C1261" s="2" t="str">
        <f t="shared" si="41"/>
        <v>Q3</v>
      </c>
      <c r="D1261" s="2" t="s">
        <v>28</v>
      </c>
      <c r="E1261" s="11" t="s">
        <v>293</v>
      </c>
      <c r="F1261" s="11" t="s">
        <v>151</v>
      </c>
      <c r="G1261" s="11" t="s">
        <v>503</v>
      </c>
      <c r="H1261" s="11" t="s">
        <v>170</v>
      </c>
      <c r="I1261" s="12">
        <v>0.25</v>
      </c>
      <c r="J1261" s="12">
        <v>20</v>
      </c>
      <c r="K1261" s="12">
        <v>154.87</v>
      </c>
      <c r="L1261" s="12">
        <v>3097.4</v>
      </c>
      <c r="M1261" s="12">
        <v>0</v>
      </c>
      <c r="N1261" s="12">
        <v>-154.87034800000001</v>
      </c>
      <c r="O1261" s="12">
        <v>382.52907799999997</v>
      </c>
      <c r="P1261" s="12">
        <v>3325.0587300000002</v>
      </c>
    </row>
    <row r="1262" spans="1:16" ht="14.5" x14ac:dyDescent="0.25">
      <c r="A1262" s="10">
        <v>45941</v>
      </c>
      <c r="B1262" s="2" t="str">
        <f t="shared" si="40"/>
        <v>Oct-2025</v>
      </c>
      <c r="C1262" s="2" t="str">
        <f t="shared" si="41"/>
        <v>Q3</v>
      </c>
      <c r="D1262" s="2" t="s">
        <v>28</v>
      </c>
      <c r="E1262" s="11" t="s">
        <v>293</v>
      </c>
      <c r="F1262" s="11" t="s">
        <v>151</v>
      </c>
      <c r="G1262" s="11" t="s">
        <v>505</v>
      </c>
      <c r="H1262" s="11" t="s">
        <v>62</v>
      </c>
      <c r="I1262" s="12">
        <v>0.75</v>
      </c>
      <c r="J1262" s="12">
        <v>30</v>
      </c>
      <c r="K1262" s="12">
        <v>402.65</v>
      </c>
      <c r="L1262" s="12">
        <v>12079.499999999998</v>
      </c>
      <c r="M1262" s="12">
        <v>0</v>
      </c>
      <c r="N1262" s="12">
        <v>-603.976359</v>
      </c>
      <c r="O1262" s="12">
        <v>1491.818943</v>
      </c>
      <c r="P1262" s="12">
        <v>12967.342584</v>
      </c>
    </row>
    <row r="1263" spans="1:16" ht="14.5" x14ac:dyDescent="0.25">
      <c r="A1263" s="10">
        <v>45941</v>
      </c>
      <c r="B1263" s="2" t="str">
        <f t="shared" si="40"/>
        <v>Oct-2025</v>
      </c>
      <c r="C1263" s="2" t="str">
        <f t="shared" si="41"/>
        <v>Q3</v>
      </c>
      <c r="D1263" s="2" t="s">
        <v>28</v>
      </c>
      <c r="E1263" s="11" t="s">
        <v>293</v>
      </c>
      <c r="F1263" s="11" t="s">
        <v>151</v>
      </c>
      <c r="G1263" s="11" t="s">
        <v>503</v>
      </c>
      <c r="H1263" s="11" t="s">
        <v>166</v>
      </c>
      <c r="I1263" s="12">
        <v>0.25</v>
      </c>
      <c r="J1263" s="12">
        <v>30</v>
      </c>
      <c r="K1263" s="12">
        <v>58.85</v>
      </c>
      <c r="L1263" s="12">
        <v>1765.5000000000002</v>
      </c>
      <c r="M1263" s="12">
        <v>0</v>
      </c>
      <c r="N1263" s="12">
        <v>-88.275199000000001</v>
      </c>
      <c r="O1263" s="12">
        <v>218.03935100000001</v>
      </c>
      <c r="P1263" s="12">
        <v>1895.264152</v>
      </c>
    </row>
    <row r="1264" spans="1:16" ht="14.5" x14ac:dyDescent="0.25">
      <c r="A1264" s="10">
        <v>45941</v>
      </c>
      <c r="B1264" s="2" t="str">
        <f t="shared" si="40"/>
        <v>Oct-2025</v>
      </c>
      <c r="C1264" s="2" t="str">
        <f t="shared" si="41"/>
        <v>Q3</v>
      </c>
      <c r="D1264" s="2" t="s">
        <v>28</v>
      </c>
      <c r="E1264" s="11" t="s">
        <v>293</v>
      </c>
      <c r="F1264" s="11" t="s">
        <v>151</v>
      </c>
      <c r="G1264" s="11" t="s">
        <v>503</v>
      </c>
      <c r="H1264" s="11" t="s">
        <v>171</v>
      </c>
      <c r="I1264" s="12">
        <v>0.38</v>
      </c>
      <c r="J1264" s="12">
        <v>30</v>
      </c>
      <c r="K1264" s="12">
        <v>142.47999999999999</v>
      </c>
      <c r="L1264" s="12">
        <v>4274.3999999999996</v>
      </c>
      <c r="M1264" s="12">
        <v>0</v>
      </c>
      <c r="N1264" s="12">
        <v>-213.72048100000001</v>
      </c>
      <c r="O1264" s="12">
        <v>527.888645</v>
      </c>
      <c r="P1264" s="12">
        <v>4588.5681640000003</v>
      </c>
    </row>
    <row r="1265" spans="1:16" ht="14.5" x14ac:dyDescent="0.25">
      <c r="A1265" s="10">
        <v>45941</v>
      </c>
      <c r="B1265" s="2" t="str">
        <f t="shared" si="40"/>
        <v>Oct-2025</v>
      </c>
      <c r="C1265" s="2" t="str">
        <f t="shared" si="41"/>
        <v>Q3</v>
      </c>
      <c r="D1265" s="2" t="s">
        <v>28</v>
      </c>
      <c r="E1265" s="11" t="s">
        <v>293</v>
      </c>
      <c r="F1265" s="11" t="s">
        <v>151</v>
      </c>
      <c r="G1265" s="11" t="s">
        <v>503</v>
      </c>
      <c r="H1265" s="11" t="s">
        <v>180</v>
      </c>
      <c r="I1265" s="12">
        <v>0.38</v>
      </c>
      <c r="J1265" s="12">
        <v>30</v>
      </c>
      <c r="K1265" s="12">
        <v>130.09</v>
      </c>
      <c r="L1265" s="12">
        <v>3902.7000000000003</v>
      </c>
      <c r="M1265" s="12">
        <v>0</v>
      </c>
      <c r="N1265" s="12">
        <v>-195.13543899999999</v>
      </c>
      <c r="O1265" s="12">
        <v>481.98367400000001</v>
      </c>
      <c r="P1265" s="12">
        <v>4189.5482350000002</v>
      </c>
    </row>
    <row r="1266" spans="1:16" ht="14.5" x14ac:dyDescent="0.25">
      <c r="A1266" s="10">
        <v>45941</v>
      </c>
      <c r="B1266" s="2" t="str">
        <f t="shared" si="40"/>
        <v>Oct-2025</v>
      </c>
      <c r="C1266" s="2" t="str">
        <f t="shared" si="41"/>
        <v>Q3</v>
      </c>
      <c r="D1266" s="2" t="s">
        <v>28</v>
      </c>
      <c r="E1266" s="11" t="s">
        <v>293</v>
      </c>
      <c r="F1266" s="11" t="s">
        <v>151</v>
      </c>
      <c r="G1266" s="11" t="s">
        <v>506</v>
      </c>
      <c r="H1266" s="11" t="s">
        <v>58</v>
      </c>
      <c r="I1266" s="12">
        <v>0.42</v>
      </c>
      <c r="J1266" s="12">
        <v>30</v>
      </c>
      <c r="K1266" s="12">
        <v>136.28</v>
      </c>
      <c r="L1266" s="12">
        <v>4088.4</v>
      </c>
      <c r="M1266" s="12">
        <v>0</v>
      </c>
      <c r="N1266" s="12">
        <v>-204.42046000000002</v>
      </c>
      <c r="O1266" s="12">
        <v>504.91763499999996</v>
      </c>
      <c r="P1266" s="12">
        <v>4388.8971750000001</v>
      </c>
    </row>
    <row r="1267" spans="1:16" ht="14.5" x14ac:dyDescent="0.25">
      <c r="A1267" s="10">
        <v>45941</v>
      </c>
      <c r="B1267" s="2" t="str">
        <f t="shared" si="40"/>
        <v>Oct-2025</v>
      </c>
      <c r="C1267" s="2" t="str">
        <f t="shared" si="41"/>
        <v>Q3</v>
      </c>
      <c r="D1267" s="2" t="s">
        <v>28</v>
      </c>
      <c r="E1267" s="11" t="s">
        <v>294</v>
      </c>
      <c r="F1267" s="11" t="s">
        <v>151</v>
      </c>
      <c r="G1267" s="11" t="s">
        <v>506</v>
      </c>
      <c r="H1267" s="11" t="s">
        <v>58</v>
      </c>
      <c r="I1267" s="12">
        <v>2</v>
      </c>
      <c r="J1267" s="12">
        <v>144</v>
      </c>
      <c r="K1267" s="12">
        <v>136.28</v>
      </c>
      <c r="L1267" s="12">
        <v>19624.32</v>
      </c>
      <c r="M1267" s="12">
        <v>0</v>
      </c>
      <c r="N1267" s="12">
        <v>-981.21580400000005</v>
      </c>
      <c r="O1267" s="12">
        <v>2423.6032519999999</v>
      </c>
      <c r="P1267" s="12">
        <v>21066.707448000001</v>
      </c>
    </row>
    <row r="1268" spans="1:16" ht="14.5" x14ac:dyDescent="0.25">
      <c r="A1268" s="10">
        <v>45941</v>
      </c>
      <c r="B1268" s="2" t="str">
        <f t="shared" si="40"/>
        <v>Oct-2025</v>
      </c>
      <c r="C1268" s="2" t="str">
        <f t="shared" si="41"/>
        <v>Q3</v>
      </c>
      <c r="D1268" s="2" t="s">
        <v>28</v>
      </c>
      <c r="E1268" s="11" t="s">
        <v>294</v>
      </c>
      <c r="F1268" s="11" t="s">
        <v>151</v>
      </c>
      <c r="G1268" s="11" t="s">
        <v>503</v>
      </c>
      <c r="H1268" s="11" t="s">
        <v>170</v>
      </c>
      <c r="I1268" s="12">
        <v>1</v>
      </c>
      <c r="J1268" s="12">
        <v>80</v>
      </c>
      <c r="K1268" s="12">
        <v>154.87</v>
      </c>
      <c r="L1268" s="12">
        <v>12389.6</v>
      </c>
      <c r="M1268" s="12">
        <v>0</v>
      </c>
      <c r="N1268" s="12">
        <v>-619.47987599999999</v>
      </c>
      <c r="O1268" s="12">
        <v>1530.1154309999999</v>
      </c>
      <c r="P1268" s="12">
        <v>13300.235554999999</v>
      </c>
    </row>
    <row r="1269" spans="1:16" ht="14.5" x14ac:dyDescent="0.25">
      <c r="A1269" s="10">
        <v>45941</v>
      </c>
      <c r="B1269" s="2" t="str">
        <f t="shared" si="40"/>
        <v>Oct-2025</v>
      </c>
      <c r="C1269" s="2" t="str">
        <f t="shared" si="41"/>
        <v>Q3</v>
      </c>
      <c r="D1269" s="2" t="s">
        <v>28</v>
      </c>
      <c r="E1269" s="11" t="s">
        <v>294</v>
      </c>
      <c r="F1269" s="11" t="s">
        <v>151</v>
      </c>
      <c r="G1269" s="11" t="s">
        <v>503</v>
      </c>
      <c r="H1269" s="11" t="s">
        <v>171</v>
      </c>
      <c r="I1269" s="12">
        <v>1</v>
      </c>
      <c r="J1269" s="12">
        <v>80</v>
      </c>
      <c r="K1269" s="12">
        <v>142.47999999999999</v>
      </c>
      <c r="L1269" s="12">
        <v>11398.4</v>
      </c>
      <c r="M1269" s="12">
        <v>0</v>
      </c>
      <c r="N1269" s="12">
        <v>-569.91988600000002</v>
      </c>
      <c r="O1269" s="12">
        <v>1407.7022440000001</v>
      </c>
      <c r="P1269" s="12">
        <v>12236.182358</v>
      </c>
    </row>
    <row r="1270" spans="1:16" ht="14.5" x14ac:dyDescent="0.25">
      <c r="A1270" s="10">
        <v>45941</v>
      </c>
      <c r="B1270" s="2" t="str">
        <f t="shared" si="40"/>
        <v>Oct-2025</v>
      </c>
      <c r="C1270" s="2" t="str">
        <f t="shared" si="41"/>
        <v>Q3</v>
      </c>
      <c r="D1270" s="2" t="s">
        <v>28</v>
      </c>
      <c r="E1270" s="11" t="s">
        <v>294</v>
      </c>
      <c r="F1270" s="11" t="s">
        <v>151</v>
      </c>
      <c r="G1270" s="11" t="s">
        <v>503</v>
      </c>
      <c r="H1270" s="11" t="s">
        <v>180</v>
      </c>
      <c r="I1270" s="12">
        <v>0.88</v>
      </c>
      <c r="J1270" s="12">
        <v>70</v>
      </c>
      <c r="K1270" s="12">
        <v>130.09</v>
      </c>
      <c r="L1270" s="12">
        <v>9106.2999999999993</v>
      </c>
      <c r="M1270" s="12">
        <v>0</v>
      </c>
      <c r="N1270" s="12">
        <v>-455.314909</v>
      </c>
      <c r="O1270" s="12">
        <v>1124.6279260000001</v>
      </c>
      <c r="P1270" s="12">
        <v>9775.6130169999997</v>
      </c>
    </row>
    <row r="1271" spans="1:16" ht="14.5" x14ac:dyDescent="0.25">
      <c r="A1271" s="10">
        <v>45941</v>
      </c>
      <c r="B1271" s="2" t="str">
        <f t="shared" si="40"/>
        <v>Oct-2025</v>
      </c>
      <c r="C1271" s="2" t="str">
        <f t="shared" si="41"/>
        <v>Q3</v>
      </c>
      <c r="D1271" s="2" t="s">
        <v>28</v>
      </c>
      <c r="E1271" s="11" t="s">
        <v>294</v>
      </c>
      <c r="F1271" s="11" t="s">
        <v>151</v>
      </c>
      <c r="G1271" s="11" t="s">
        <v>503</v>
      </c>
      <c r="H1271" s="11" t="s">
        <v>63</v>
      </c>
      <c r="I1271" s="12">
        <v>1</v>
      </c>
      <c r="J1271" s="12">
        <v>80</v>
      </c>
      <c r="K1271" s="12">
        <v>170.35</v>
      </c>
      <c r="L1271" s="12">
        <v>13628.000000000002</v>
      </c>
      <c r="M1271" s="12">
        <v>0</v>
      </c>
      <c r="N1271" s="12">
        <v>-681.39986399999998</v>
      </c>
      <c r="O1271" s="12">
        <v>1683.057814</v>
      </c>
      <c r="P1271" s="12">
        <v>14629.657950000001</v>
      </c>
    </row>
    <row r="1272" spans="1:16" ht="14.5" x14ac:dyDescent="0.25">
      <c r="A1272" s="10">
        <v>45941</v>
      </c>
      <c r="B1272" s="2" t="str">
        <f t="shared" si="40"/>
        <v>Oct-2025</v>
      </c>
      <c r="C1272" s="2" t="str">
        <f t="shared" si="41"/>
        <v>Q3</v>
      </c>
      <c r="D1272" s="2" t="s">
        <v>28</v>
      </c>
      <c r="E1272" s="11" t="s">
        <v>294</v>
      </c>
      <c r="F1272" s="11" t="s">
        <v>151</v>
      </c>
      <c r="G1272" s="11" t="s">
        <v>509</v>
      </c>
      <c r="H1272" s="11" t="s">
        <v>283</v>
      </c>
      <c r="I1272" s="12">
        <v>0.5</v>
      </c>
      <c r="J1272" s="12">
        <v>60</v>
      </c>
      <c r="K1272" s="12">
        <v>229.2</v>
      </c>
      <c r="L1272" s="12">
        <v>13752</v>
      </c>
      <c r="M1272" s="12">
        <v>0</v>
      </c>
      <c r="N1272" s="12">
        <v>-687.59986300000003</v>
      </c>
      <c r="O1272" s="12">
        <v>1698.3718120000001</v>
      </c>
      <c r="P1272" s="12">
        <v>14762.771949</v>
      </c>
    </row>
    <row r="1273" spans="1:16" ht="14.5" x14ac:dyDescent="0.25">
      <c r="A1273" s="10">
        <v>45941</v>
      </c>
      <c r="B1273" s="2" t="str">
        <f t="shared" si="40"/>
        <v>Oct-2025</v>
      </c>
      <c r="C1273" s="2" t="str">
        <f t="shared" si="41"/>
        <v>Q3</v>
      </c>
      <c r="D1273" s="2" t="s">
        <v>28</v>
      </c>
      <c r="E1273" s="11" t="s">
        <v>294</v>
      </c>
      <c r="F1273" s="11" t="s">
        <v>151</v>
      </c>
      <c r="G1273" s="11" t="s">
        <v>509</v>
      </c>
      <c r="H1273" s="11" t="s">
        <v>284</v>
      </c>
      <c r="I1273" s="12">
        <v>0.5</v>
      </c>
      <c r="J1273" s="12">
        <v>100</v>
      </c>
      <c r="K1273" s="12">
        <v>117.7</v>
      </c>
      <c r="L1273" s="12">
        <v>11770</v>
      </c>
      <c r="M1273" s="12">
        <v>0</v>
      </c>
      <c r="N1273" s="12">
        <v>-588.49988300000007</v>
      </c>
      <c r="O1273" s="12">
        <v>1453.5948389999999</v>
      </c>
      <c r="P1273" s="12">
        <v>12635.094956000001</v>
      </c>
    </row>
    <row r="1274" spans="1:16" ht="14.5" x14ac:dyDescent="0.25">
      <c r="A1274" s="10">
        <v>45941</v>
      </c>
      <c r="B1274" s="2" t="str">
        <f t="shared" si="40"/>
        <v>Oct-2025</v>
      </c>
      <c r="C1274" s="2" t="str">
        <f t="shared" si="41"/>
        <v>Q3</v>
      </c>
      <c r="D1274" s="2" t="s">
        <v>28</v>
      </c>
      <c r="E1274" s="11" t="s">
        <v>294</v>
      </c>
      <c r="F1274" s="11" t="s">
        <v>151</v>
      </c>
      <c r="G1274" s="11" t="s">
        <v>503</v>
      </c>
      <c r="H1274" s="11" t="s">
        <v>175</v>
      </c>
      <c r="I1274" s="12">
        <v>1</v>
      </c>
      <c r="J1274" s="12">
        <v>120</v>
      </c>
      <c r="K1274" s="12">
        <v>71.239999999999995</v>
      </c>
      <c r="L1274" s="12">
        <v>8548.7999999999993</v>
      </c>
      <c r="M1274" s="12">
        <v>0</v>
      </c>
      <c r="N1274" s="12">
        <v>-427.43991500000004</v>
      </c>
      <c r="O1274" s="12">
        <v>1055.776683</v>
      </c>
      <c r="P1274" s="12">
        <v>9177.1367680000003</v>
      </c>
    </row>
    <row r="1275" spans="1:16" ht="14.5" x14ac:dyDescent="0.25">
      <c r="A1275" s="10">
        <v>45941</v>
      </c>
      <c r="B1275" s="2" t="str">
        <f t="shared" si="40"/>
        <v>Oct-2025</v>
      </c>
      <c r="C1275" s="2" t="str">
        <f t="shared" si="41"/>
        <v>Q3</v>
      </c>
      <c r="D1275" s="2" t="s">
        <v>28</v>
      </c>
      <c r="E1275" s="11" t="s">
        <v>295</v>
      </c>
      <c r="F1275" s="11" t="s">
        <v>151</v>
      </c>
      <c r="G1275" s="11" t="s">
        <v>505</v>
      </c>
      <c r="H1275" s="11" t="s">
        <v>50</v>
      </c>
      <c r="I1275" s="12">
        <v>1.1299999999999999</v>
      </c>
      <c r="J1275" s="12">
        <v>90</v>
      </c>
      <c r="K1275" s="12">
        <v>154.87</v>
      </c>
      <c r="L1275" s="12">
        <v>13938.3</v>
      </c>
      <c r="M1275" s="12">
        <v>0</v>
      </c>
      <c r="N1275" s="12">
        <v>-696.91473600000006</v>
      </c>
      <c r="O1275" s="12">
        <v>1721.3804150000001</v>
      </c>
      <c r="P1275" s="12">
        <v>14962.765679</v>
      </c>
    </row>
    <row r="1276" spans="1:16" ht="14.5" x14ac:dyDescent="0.25">
      <c r="A1276" s="10">
        <v>45941</v>
      </c>
      <c r="B1276" s="2" t="str">
        <f t="shared" si="40"/>
        <v>Oct-2025</v>
      </c>
      <c r="C1276" s="2" t="str">
        <f t="shared" si="41"/>
        <v>Q3</v>
      </c>
      <c r="D1276" s="2" t="s">
        <v>28</v>
      </c>
      <c r="E1276" s="11" t="s">
        <v>295</v>
      </c>
      <c r="F1276" s="11" t="s">
        <v>151</v>
      </c>
      <c r="G1276" s="11" t="s">
        <v>506</v>
      </c>
      <c r="H1276" s="11" t="s">
        <v>54</v>
      </c>
      <c r="I1276" s="12">
        <v>1</v>
      </c>
      <c r="J1276" s="12">
        <v>48</v>
      </c>
      <c r="K1276" s="12">
        <v>284.95999999999998</v>
      </c>
      <c r="L1276" s="12">
        <v>13678.08</v>
      </c>
      <c r="M1276" s="12">
        <v>0</v>
      </c>
      <c r="N1276" s="12">
        <v>-683.90374099999997</v>
      </c>
      <c r="O1276" s="12">
        <v>1689.243238</v>
      </c>
      <c r="P1276" s="12">
        <v>14683.419497000001</v>
      </c>
    </row>
    <row r="1277" spans="1:16" ht="14.5" x14ac:dyDescent="0.25">
      <c r="A1277" s="10">
        <v>45941</v>
      </c>
      <c r="B1277" s="2" t="str">
        <f t="shared" si="40"/>
        <v>Oct-2025</v>
      </c>
      <c r="C1277" s="2" t="str">
        <f t="shared" si="41"/>
        <v>Q3</v>
      </c>
      <c r="D1277" s="2" t="s">
        <v>28</v>
      </c>
      <c r="E1277" s="11" t="s">
        <v>295</v>
      </c>
      <c r="F1277" s="11" t="s">
        <v>151</v>
      </c>
      <c r="G1277" s="11" t="s">
        <v>503</v>
      </c>
      <c r="H1277" s="11" t="s">
        <v>174</v>
      </c>
      <c r="I1277" s="12">
        <v>1</v>
      </c>
      <c r="J1277" s="12">
        <v>180</v>
      </c>
      <c r="K1277" s="12">
        <v>76.81</v>
      </c>
      <c r="L1277" s="12">
        <v>13825.800000000001</v>
      </c>
      <c r="M1277" s="12">
        <v>0</v>
      </c>
      <c r="N1277" s="12">
        <v>-691.28973799999994</v>
      </c>
      <c r="O1277" s="12">
        <v>1707.486662</v>
      </c>
      <c r="P1277" s="12">
        <v>14841.996923999999</v>
      </c>
    </row>
    <row r="1278" spans="1:16" ht="14.5" x14ac:dyDescent="0.25">
      <c r="A1278" s="10">
        <v>45941</v>
      </c>
      <c r="B1278" s="2" t="str">
        <f t="shared" si="40"/>
        <v>Oct-2025</v>
      </c>
      <c r="C1278" s="2" t="str">
        <f t="shared" si="41"/>
        <v>Q3</v>
      </c>
      <c r="D1278" s="2" t="s">
        <v>28</v>
      </c>
      <c r="E1278" s="11" t="s">
        <v>295</v>
      </c>
      <c r="F1278" s="11" t="s">
        <v>151</v>
      </c>
      <c r="G1278" s="11" t="s">
        <v>503</v>
      </c>
      <c r="H1278" s="11" t="s">
        <v>45</v>
      </c>
      <c r="I1278" s="12">
        <v>1</v>
      </c>
      <c r="J1278" s="12">
        <v>180</v>
      </c>
      <c r="K1278" s="12">
        <v>56.99</v>
      </c>
      <c r="L1278" s="12">
        <v>10258.200000000001</v>
      </c>
      <c r="M1278" s="12">
        <v>0</v>
      </c>
      <c r="N1278" s="12">
        <v>-512.909806</v>
      </c>
      <c r="O1278" s="12">
        <v>1266.8879679999998</v>
      </c>
      <c r="P1278" s="12">
        <v>11012.178162</v>
      </c>
    </row>
    <row r="1279" spans="1:16" ht="14.5" x14ac:dyDescent="0.25">
      <c r="A1279" s="10">
        <v>45941</v>
      </c>
      <c r="B1279" s="2" t="str">
        <f t="shared" si="40"/>
        <v>Oct-2025</v>
      </c>
      <c r="C1279" s="2" t="str">
        <f t="shared" si="41"/>
        <v>Q3</v>
      </c>
      <c r="D1279" s="2" t="s">
        <v>28</v>
      </c>
      <c r="E1279" s="11" t="s">
        <v>295</v>
      </c>
      <c r="F1279" s="11" t="s">
        <v>151</v>
      </c>
      <c r="G1279" s="11" t="s">
        <v>506</v>
      </c>
      <c r="H1279" s="11" t="s">
        <v>189</v>
      </c>
      <c r="I1279" s="12">
        <v>2</v>
      </c>
      <c r="J1279" s="12">
        <v>200</v>
      </c>
      <c r="K1279" s="12">
        <v>65.040000000000006</v>
      </c>
      <c r="L1279" s="12">
        <v>13008</v>
      </c>
      <c r="M1279" s="12">
        <v>0</v>
      </c>
      <c r="N1279" s="12">
        <v>-650.39975300000003</v>
      </c>
      <c r="O1279" s="12">
        <v>1606.4883399999999</v>
      </c>
      <c r="P1279" s="12">
        <v>13964.088587</v>
      </c>
    </row>
    <row r="1280" spans="1:16" ht="14.5" x14ac:dyDescent="0.25">
      <c r="A1280" s="10">
        <v>45941</v>
      </c>
      <c r="B1280" s="2" t="str">
        <f t="shared" si="40"/>
        <v>Oct-2025</v>
      </c>
      <c r="C1280" s="2" t="str">
        <f t="shared" si="41"/>
        <v>Q3</v>
      </c>
      <c r="D1280" s="2" t="s">
        <v>28</v>
      </c>
      <c r="E1280" s="11" t="s">
        <v>295</v>
      </c>
      <c r="F1280" s="11" t="s">
        <v>151</v>
      </c>
      <c r="G1280" s="11" t="s">
        <v>503</v>
      </c>
      <c r="H1280" s="11" t="s">
        <v>176</v>
      </c>
      <c r="I1280" s="12">
        <v>1</v>
      </c>
      <c r="J1280" s="12">
        <v>120</v>
      </c>
      <c r="K1280" s="12">
        <v>145.58000000000001</v>
      </c>
      <c r="L1280" s="12">
        <v>17469.599999999999</v>
      </c>
      <c r="M1280" s="12">
        <v>0</v>
      </c>
      <c r="N1280" s="12">
        <v>-873.47966899999994</v>
      </c>
      <c r="O1280" s="12">
        <v>2157.4960569999998</v>
      </c>
      <c r="P1280" s="12">
        <v>18753.616387999999</v>
      </c>
    </row>
    <row r="1281" spans="1:16" ht="14.5" x14ac:dyDescent="0.25">
      <c r="A1281" s="10">
        <v>45941</v>
      </c>
      <c r="B1281" s="2" t="str">
        <f t="shared" si="40"/>
        <v>Oct-2025</v>
      </c>
      <c r="C1281" s="2" t="str">
        <f t="shared" si="41"/>
        <v>Q3</v>
      </c>
      <c r="D1281" s="2" t="s">
        <v>28</v>
      </c>
      <c r="E1281" s="11" t="s">
        <v>295</v>
      </c>
      <c r="F1281" s="11" t="s">
        <v>151</v>
      </c>
      <c r="G1281" s="11" t="s">
        <v>503</v>
      </c>
      <c r="H1281" s="11" t="s">
        <v>59</v>
      </c>
      <c r="I1281" s="12">
        <v>1</v>
      </c>
      <c r="J1281" s="12">
        <v>180</v>
      </c>
      <c r="K1281" s="12">
        <v>56.99</v>
      </c>
      <c r="L1281" s="12">
        <v>10258.200000000001</v>
      </c>
      <c r="M1281" s="12">
        <v>0</v>
      </c>
      <c r="N1281" s="12">
        <v>-512.909806</v>
      </c>
      <c r="O1281" s="12">
        <v>1266.8879679999998</v>
      </c>
      <c r="P1281" s="12">
        <v>11012.178162</v>
      </c>
    </row>
    <row r="1282" spans="1:16" ht="14.5" x14ac:dyDescent="0.25">
      <c r="A1282" s="10">
        <v>45941</v>
      </c>
      <c r="B1282" s="2" t="str">
        <f t="shared" si="40"/>
        <v>Oct-2025</v>
      </c>
      <c r="C1282" s="2" t="str">
        <f t="shared" si="41"/>
        <v>Q3</v>
      </c>
      <c r="D1282" s="2" t="s">
        <v>28</v>
      </c>
      <c r="E1282" s="11" t="s">
        <v>295</v>
      </c>
      <c r="F1282" s="11" t="s">
        <v>151</v>
      </c>
      <c r="G1282" s="11" t="s">
        <v>503</v>
      </c>
      <c r="H1282" s="11" t="s">
        <v>57</v>
      </c>
      <c r="I1282" s="12">
        <v>1</v>
      </c>
      <c r="J1282" s="12">
        <v>180</v>
      </c>
      <c r="K1282" s="12">
        <v>108.41</v>
      </c>
      <c r="L1282" s="12">
        <v>19513.8</v>
      </c>
      <c r="M1282" s="12">
        <v>0</v>
      </c>
      <c r="N1282" s="12">
        <v>-975.68962999999997</v>
      </c>
      <c r="O1282" s="12">
        <v>2409.9548099999997</v>
      </c>
      <c r="P1282" s="12">
        <v>20948.065180000001</v>
      </c>
    </row>
    <row r="1283" spans="1:16" ht="14.5" x14ac:dyDescent="0.25">
      <c r="A1283" s="10">
        <v>45941</v>
      </c>
      <c r="B1283" s="2" t="str">
        <f t="shared" si="40"/>
        <v>Oct-2025</v>
      </c>
      <c r="C1283" s="2" t="str">
        <f t="shared" si="41"/>
        <v>Q3</v>
      </c>
      <c r="D1283" s="2" t="s">
        <v>28</v>
      </c>
      <c r="E1283" s="11" t="s">
        <v>295</v>
      </c>
      <c r="F1283" s="11" t="s">
        <v>151</v>
      </c>
      <c r="G1283" s="11" t="s">
        <v>503</v>
      </c>
      <c r="H1283" s="11" t="s">
        <v>172</v>
      </c>
      <c r="I1283" s="12">
        <v>1</v>
      </c>
      <c r="J1283" s="12">
        <v>180</v>
      </c>
      <c r="K1283" s="12">
        <v>89.82</v>
      </c>
      <c r="L1283" s="12">
        <v>16167.6</v>
      </c>
      <c r="M1283" s="12">
        <v>0</v>
      </c>
      <c r="N1283" s="12">
        <v>-808.37969399999997</v>
      </c>
      <c r="O1283" s="12">
        <v>1996.6990229999999</v>
      </c>
      <c r="P1283" s="12">
        <v>17355.919329</v>
      </c>
    </row>
    <row r="1284" spans="1:16" ht="14.5" x14ac:dyDescent="0.25">
      <c r="A1284" s="10">
        <v>45941</v>
      </c>
      <c r="B1284" s="2" t="str">
        <f t="shared" si="40"/>
        <v>Oct-2025</v>
      </c>
      <c r="C1284" s="2" t="str">
        <f t="shared" si="41"/>
        <v>Q3</v>
      </c>
      <c r="D1284" s="2" t="s">
        <v>28</v>
      </c>
      <c r="E1284" s="11" t="s">
        <v>295</v>
      </c>
      <c r="F1284" s="11" t="s">
        <v>151</v>
      </c>
      <c r="G1284" s="11" t="s">
        <v>505</v>
      </c>
      <c r="H1284" s="11" t="s">
        <v>40</v>
      </c>
      <c r="I1284" s="12">
        <v>1</v>
      </c>
      <c r="J1284" s="12">
        <v>180</v>
      </c>
      <c r="K1284" s="12">
        <v>74.34</v>
      </c>
      <c r="L1284" s="12">
        <v>13381.199999999999</v>
      </c>
      <c r="M1284" s="12">
        <v>0</v>
      </c>
      <c r="N1284" s="12">
        <v>-669.05974600000002</v>
      </c>
      <c r="O1284" s="12">
        <v>1652.57855</v>
      </c>
      <c r="P1284" s="12">
        <v>14364.718804</v>
      </c>
    </row>
    <row r="1285" spans="1:16" ht="14.5" x14ac:dyDescent="0.25">
      <c r="A1285" s="10">
        <v>45941</v>
      </c>
      <c r="B1285" s="2" t="str">
        <f t="shared" si="40"/>
        <v>Oct-2025</v>
      </c>
      <c r="C1285" s="2" t="str">
        <f t="shared" si="41"/>
        <v>Q3</v>
      </c>
      <c r="D1285" s="2" t="s">
        <v>28</v>
      </c>
      <c r="E1285" s="11" t="s">
        <v>295</v>
      </c>
      <c r="F1285" s="11" t="s">
        <v>151</v>
      </c>
      <c r="G1285" s="11" t="s">
        <v>503</v>
      </c>
      <c r="H1285" s="11" t="s">
        <v>177</v>
      </c>
      <c r="I1285" s="12">
        <v>1</v>
      </c>
      <c r="J1285" s="12">
        <v>120</v>
      </c>
      <c r="K1285" s="12">
        <v>86.73</v>
      </c>
      <c r="L1285" s="12">
        <v>10407.6</v>
      </c>
      <c r="M1285" s="12">
        <v>0</v>
      </c>
      <c r="N1285" s="12">
        <v>-520.37980300000004</v>
      </c>
      <c r="O1285" s="12">
        <v>1285.338872</v>
      </c>
      <c r="P1285" s="12">
        <v>11172.559069000001</v>
      </c>
    </row>
    <row r="1286" spans="1:16" ht="14.5" x14ac:dyDescent="0.25">
      <c r="A1286" s="10">
        <v>45941</v>
      </c>
      <c r="B1286" s="2" t="str">
        <f t="shared" si="40"/>
        <v>Oct-2025</v>
      </c>
      <c r="C1286" s="2" t="str">
        <f t="shared" si="41"/>
        <v>Q3</v>
      </c>
      <c r="D1286" s="2" t="s">
        <v>28</v>
      </c>
      <c r="E1286" s="11" t="s">
        <v>295</v>
      </c>
      <c r="F1286" s="11" t="s">
        <v>151</v>
      </c>
      <c r="G1286" s="11" t="s">
        <v>507</v>
      </c>
      <c r="H1286" s="11" t="s">
        <v>60</v>
      </c>
      <c r="I1286" s="12">
        <v>1</v>
      </c>
      <c r="J1286" s="12">
        <v>60</v>
      </c>
      <c r="K1286" s="12">
        <v>89.82</v>
      </c>
      <c r="L1286" s="12">
        <v>5389.2</v>
      </c>
      <c r="M1286" s="12">
        <v>0</v>
      </c>
      <c r="N1286" s="12">
        <v>-269.45989800000001</v>
      </c>
      <c r="O1286" s="12">
        <v>665.56634100000008</v>
      </c>
      <c r="P1286" s="12">
        <v>5785.3064430000004</v>
      </c>
    </row>
    <row r="1287" spans="1:16" ht="14.5" x14ac:dyDescent="0.25">
      <c r="A1287" s="10">
        <v>45941</v>
      </c>
      <c r="B1287" s="2" t="str">
        <f t="shared" si="40"/>
        <v>Oct-2025</v>
      </c>
      <c r="C1287" s="2" t="str">
        <f t="shared" si="41"/>
        <v>Q3</v>
      </c>
      <c r="D1287" s="2" t="s">
        <v>28</v>
      </c>
      <c r="E1287" s="11" t="s">
        <v>295</v>
      </c>
      <c r="F1287" s="11" t="s">
        <v>151</v>
      </c>
      <c r="G1287" s="11" t="s">
        <v>505</v>
      </c>
      <c r="H1287" s="11" t="s">
        <v>49</v>
      </c>
      <c r="I1287" s="12">
        <v>1</v>
      </c>
      <c r="J1287" s="12">
        <v>180</v>
      </c>
      <c r="K1287" s="12">
        <v>145.58000000000001</v>
      </c>
      <c r="L1287" s="12">
        <v>26204.399999999998</v>
      </c>
      <c r="M1287" s="12">
        <v>0</v>
      </c>
      <c r="N1287" s="12">
        <v>-1310.2195029999998</v>
      </c>
      <c r="O1287" s="12">
        <v>3236.2440849999998</v>
      </c>
      <c r="P1287" s="12">
        <v>28130.424582</v>
      </c>
    </row>
    <row r="1288" spans="1:16" ht="14.5" x14ac:dyDescent="0.25">
      <c r="A1288" s="10">
        <v>45941</v>
      </c>
      <c r="B1288" s="2" t="str">
        <f t="shared" si="40"/>
        <v>Oct-2025</v>
      </c>
      <c r="C1288" s="2" t="str">
        <f t="shared" si="41"/>
        <v>Q3</v>
      </c>
      <c r="D1288" s="2" t="s">
        <v>28</v>
      </c>
      <c r="E1288" s="11" t="s">
        <v>295</v>
      </c>
      <c r="F1288" s="11" t="s">
        <v>151</v>
      </c>
      <c r="G1288" s="11" t="s">
        <v>505</v>
      </c>
      <c r="H1288" s="11" t="s">
        <v>167</v>
      </c>
      <c r="I1288" s="12">
        <v>0.5</v>
      </c>
      <c r="J1288" s="12">
        <v>90</v>
      </c>
      <c r="K1288" s="12">
        <v>83.63</v>
      </c>
      <c r="L1288" s="12">
        <v>7526.7</v>
      </c>
      <c r="M1288" s="12">
        <v>0</v>
      </c>
      <c r="N1288" s="12">
        <v>-376.33485700000006</v>
      </c>
      <c r="O1288" s="12">
        <v>929.54764699999998</v>
      </c>
      <c r="P1288" s="12">
        <v>8079.9127900000003</v>
      </c>
    </row>
    <row r="1289" spans="1:16" ht="14.5" x14ac:dyDescent="0.25">
      <c r="A1289" s="10">
        <v>45941</v>
      </c>
      <c r="B1289" s="2" t="str">
        <f t="shared" si="40"/>
        <v>Oct-2025</v>
      </c>
      <c r="C1289" s="2" t="str">
        <f t="shared" si="41"/>
        <v>Q3</v>
      </c>
      <c r="D1289" s="2" t="s">
        <v>28</v>
      </c>
      <c r="E1289" s="11" t="s">
        <v>295</v>
      </c>
      <c r="F1289" s="11" t="s">
        <v>151</v>
      </c>
      <c r="G1289" s="11" t="s">
        <v>503</v>
      </c>
      <c r="H1289" s="11" t="s">
        <v>42</v>
      </c>
      <c r="I1289" s="12">
        <v>0.17</v>
      </c>
      <c r="J1289" s="12">
        <v>20</v>
      </c>
      <c r="K1289" s="12">
        <v>130.09</v>
      </c>
      <c r="L1289" s="12">
        <v>2601.7999999999997</v>
      </c>
      <c r="M1289" s="12">
        <v>0</v>
      </c>
      <c r="N1289" s="12">
        <v>-130.08995100000001</v>
      </c>
      <c r="O1289" s="12">
        <v>321.32236799999998</v>
      </c>
      <c r="P1289" s="12">
        <v>2793.0324169999999</v>
      </c>
    </row>
    <row r="1290" spans="1:16" ht="14.5" x14ac:dyDescent="0.25">
      <c r="A1290" s="10">
        <v>45941</v>
      </c>
      <c r="B1290" s="2" t="str">
        <f t="shared" si="40"/>
        <v>Oct-2025</v>
      </c>
      <c r="C1290" s="2" t="str">
        <f t="shared" si="41"/>
        <v>Q3</v>
      </c>
      <c r="D1290" s="2" t="s">
        <v>28</v>
      </c>
      <c r="E1290" s="11" t="s">
        <v>295</v>
      </c>
      <c r="F1290" s="11" t="s">
        <v>151</v>
      </c>
      <c r="G1290" s="11" t="s">
        <v>506</v>
      </c>
      <c r="H1290" s="11" t="s">
        <v>39</v>
      </c>
      <c r="I1290" s="12">
        <v>2</v>
      </c>
      <c r="J1290" s="12">
        <v>144</v>
      </c>
      <c r="K1290" s="12">
        <v>120.8</v>
      </c>
      <c r="L1290" s="12">
        <v>17395.2</v>
      </c>
      <c r="M1290" s="12">
        <v>0</v>
      </c>
      <c r="N1290" s="12">
        <v>-869.75967000000003</v>
      </c>
      <c r="O1290" s="12">
        <v>2148.3076550000001</v>
      </c>
      <c r="P1290" s="12">
        <v>18673.747985000002</v>
      </c>
    </row>
    <row r="1291" spans="1:16" ht="14.5" x14ac:dyDescent="0.25">
      <c r="A1291" s="10">
        <v>45942</v>
      </c>
      <c r="B1291" s="2" t="str">
        <f t="shared" si="40"/>
        <v>Oct-2025</v>
      </c>
      <c r="C1291" s="2" t="str">
        <f t="shared" si="41"/>
        <v>Q3</v>
      </c>
      <c r="D1291" s="2" t="s">
        <v>28</v>
      </c>
      <c r="E1291" s="11" t="s">
        <v>296</v>
      </c>
      <c r="F1291" s="11" t="s">
        <v>151</v>
      </c>
      <c r="G1291" s="11" t="s">
        <v>506</v>
      </c>
      <c r="H1291" s="11" t="s">
        <v>54</v>
      </c>
      <c r="I1291" s="12">
        <v>0.25</v>
      </c>
      <c r="J1291" s="12">
        <v>12</v>
      </c>
      <c r="K1291" s="12">
        <v>284.95999999999998</v>
      </c>
      <c r="L1291" s="12">
        <v>3419.52</v>
      </c>
      <c r="M1291" s="12">
        <v>0</v>
      </c>
      <c r="N1291" s="12">
        <v>-170.975942</v>
      </c>
      <c r="O1291" s="12">
        <v>422.31072799999998</v>
      </c>
      <c r="P1291" s="12">
        <v>3670.8547859999999</v>
      </c>
    </row>
    <row r="1292" spans="1:16" ht="14.5" x14ac:dyDescent="0.25">
      <c r="A1292" s="10">
        <v>45942</v>
      </c>
      <c r="B1292" s="2" t="str">
        <f t="shared" si="40"/>
        <v>Oct-2025</v>
      </c>
      <c r="C1292" s="2" t="str">
        <f t="shared" si="41"/>
        <v>Q3</v>
      </c>
      <c r="D1292" s="2" t="s">
        <v>28</v>
      </c>
      <c r="E1292" s="11" t="s">
        <v>296</v>
      </c>
      <c r="F1292" s="11" t="s">
        <v>151</v>
      </c>
      <c r="G1292" s="11" t="s">
        <v>506</v>
      </c>
      <c r="H1292" s="11" t="s">
        <v>39</v>
      </c>
      <c r="I1292" s="12">
        <v>0.17</v>
      </c>
      <c r="J1292" s="12">
        <v>12</v>
      </c>
      <c r="K1292" s="12">
        <v>120.8</v>
      </c>
      <c r="L1292" s="12">
        <v>1449.6</v>
      </c>
      <c r="M1292" s="12">
        <v>0</v>
      </c>
      <c r="N1292" s="12">
        <v>-72.479975999999994</v>
      </c>
      <c r="O1292" s="12">
        <v>179.02560299999999</v>
      </c>
      <c r="P1292" s="12">
        <v>1556.1456270000001</v>
      </c>
    </row>
    <row r="1293" spans="1:16" ht="14.5" x14ac:dyDescent="0.25">
      <c r="A1293" s="10">
        <v>45942</v>
      </c>
      <c r="B1293" s="2" t="str">
        <f t="shared" si="40"/>
        <v>Oct-2025</v>
      </c>
      <c r="C1293" s="2" t="str">
        <f t="shared" si="41"/>
        <v>Q3</v>
      </c>
      <c r="D1293" s="2" t="s">
        <v>28</v>
      </c>
      <c r="E1293" s="11" t="s">
        <v>296</v>
      </c>
      <c r="F1293" s="11" t="s">
        <v>151</v>
      </c>
      <c r="G1293" s="11" t="s">
        <v>503</v>
      </c>
      <c r="H1293" s="11" t="s">
        <v>45</v>
      </c>
      <c r="I1293" s="12">
        <v>0.17</v>
      </c>
      <c r="J1293" s="12">
        <v>30</v>
      </c>
      <c r="K1293" s="12">
        <v>56.99</v>
      </c>
      <c r="L1293" s="12">
        <v>1709.6999999999998</v>
      </c>
      <c r="M1293" s="12">
        <v>0</v>
      </c>
      <c r="N1293" s="12">
        <v>-85.484971000000002</v>
      </c>
      <c r="O1293" s="12">
        <v>211.147954</v>
      </c>
      <c r="P1293" s="12">
        <v>1835.362983</v>
      </c>
    </row>
    <row r="1294" spans="1:16" ht="14.5" x14ac:dyDescent="0.25">
      <c r="A1294" s="10">
        <v>45942</v>
      </c>
      <c r="B1294" s="2" t="str">
        <f t="shared" si="40"/>
        <v>Oct-2025</v>
      </c>
      <c r="C1294" s="2" t="str">
        <f t="shared" si="41"/>
        <v>Q3</v>
      </c>
      <c r="D1294" s="2" t="s">
        <v>28</v>
      </c>
      <c r="E1294" s="11" t="s">
        <v>296</v>
      </c>
      <c r="F1294" s="11" t="s">
        <v>151</v>
      </c>
      <c r="G1294" s="11" t="s">
        <v>503</v>
      </c>
      <c r="H1294" s="11" t="s">
        <v>42</v>
      </c>
      <c r="I1294" s="12">
        <v>0.25</v>
      </c>
      <c r="J1294" s="12">
        <v>30</v>
      </c>
      <c r="K1294" s="12">
        <v>130.09</v>
      </c>
      <c r="L1294" s="12">
        <v>3902.7000000000003</v>
      </c>
      <c r="M1294" s="12">
        <v>0</v>
      </c>
      <c r="N1294" s="12">
        <v>-195.13493400000002</v>
      </c>
      <c r="O1294" s="12">
        <v>481.98345899999998</v>
      </c>
      <c r="P1294" s="12">
        <v>4189.5485250000002</v>
      </c>
    </row>
    <row r="1295" spans="1:16" ht="14.5" x14ac:dyDescent="0.25">
      <c r="A1295" s="10">
        <v>45942</v>
      </c>
      <c r="B1295" s="2" t="str">
        <f t="shared" si="40"/>
        <v>Oct-2025</v>
      </c>
      <c r="C1295" s="2" t="str">
        <f t="shared" si="41"/>
        <v>Q3</v>
      </c>
      <c r="D1295" s="2" t="s">
        <v>28</v>
      </c>
      <c r="E1295" s="11" t="s">
        <v>296</v>
      </c>
      <c r="F1295" s="11" t="s">
        <v>151</v>
      </c>
      <c r="G1295" s="11" t="s">
        <v>504</v>
      </c>
      <c r="H1295" s="11" t="s">
        <v>68</v>
      </c>
      <c r="I1295" s="12">
        <v>0.5</v>
      </c>
      <c r="J1295" s="12">
        <v>20</v>
      </c>
      <c r="K1295" s="12">
        <v>238.5</v>
      </c>
      <c r="L1295" s="12">
        <v>4769.9999999999991</v>
      </c>
      <c r="M1295" s="12">
        <v>0</v>
      </c>
      <c r="N1295" s="12">
        <v>-238.49991900000001</v>
      </c>
      <c r="O1295" s="12">
        <v>589.09501</v>
      </c>
      <c r="P1295" s="12">
        <v>5120.5950910000001</v>
      </c>
    </row>
    <row r="1296" spans="1:16" ht="14.5" x14ac:dyDescent="0.25">
      <c r="A1296" s="10">
        <v>45942</v>
      </c>
      <c r="B1296" s="2" t="str">
        <f t="shared" si="40"/>
        <v>Oct-2025</v>
      </c>
      <c r="C1296" s="2" t="str">
        <f t="shared" si="41"/>
        <v>Q3</v>
      </c>
      <c r="D1296" s="2" t="s">
        <v>28</v>
      </c>
      <c r="E1296" s="11" t="s">
        <v>296</v>
      </c>
      <c r="F1296" s="11" t="s">
        <v>151</v>
      </c>
      <c r="G1296" s="11" t="s">
        <v>503</v>
      </c>
      <c r="H1296" s="11" t="s">
        <v>177</v>
      </c>
      <c r="I1296" s="12">
        <v>0.25</v>
      </c>
      <c r="J1296" s="12">
        <v>30</v>
      </c>
      <c r="K1296" s="12">
        <v>86.73</v>
      </c>
      <c r="L1296" s="12">
        <v>2601.9</v>
      </c>
      <c r="M1296" s="12">
        <v>0</v>
      </c>
      <c r="N1296" s="12">
        <v>-130.094956</v>
      </c>
      <c r="O1296" s="12">
        <v>321.334656</v>
      </c>
      <c r="P1296" s="12">
        <v>2793.1397000000002</v>
      </c>
    </row>
    <row r="1297" spans="1:16" ht="14.5" x14ac:dyDescent="0.25">
      <c r="A1297" s="10">
        <v>45942</v>
      </c>
      <c r="B1297" s="2" t="str">
        <f t="shared" si="40"/>
        <v>Oct-2025</v>
      </c>
      <c r="C1297" s="2" t="str">
        <f t="shared" si="41"/>
        <v>Q3</v>
      </c>
      <c r="D1297" s="2" t="s">
        <v>28</v>
      </c>
      <c r="E1297" s="11" t="s">
        <v>296</v>
      </c>
      <c r="F1297" s="11" t="s">
        <v>151</v>
      </c>
      <c r="G1297" s="11" t="s">
        <v>503</v>
      </c>
      <c r="H1297" s="11" t="s">
        <v>176</v>
      </c>
      <c r="I1297" s="12">
        <v>0.17</v>
      </c>
      <c r="J1297" s="12">
        <v>20</v>
      </c>
      <c r="K1297" s="12">
        <v>145.58000000000001</v>
      </c>
      <c r="L1297" s="12">
        <v>2911.6</v>
      </c>
      <c r="M1297" s="12">
        <v>0</v>
      </c>
      <c r="N1297" s="12">
        <v>-145.57995099999999</v>
      </c>
      <c r="O1297" s="12">
        <v>359.582606</v>
      </c>
      <c r="P1297" s="12">
        <v>3125.6026550000001</v>
      </c>
    </row>
    <row r="1298" spans="1:16" ht="14.5" x14ac:dyDescent="0.25">
      <c r="A1298" s="10">
        <v>45942</v>
      </c>
      <c r="B1298" s="2" t="str">
        <f t="shared" si="40"/>
        <v>Oct-2025</v>
      </c>
      <c r="C1298" s="2" t="str">
        <f t="shared" si="41"/>
        <v>Q3</v>
      </c>
      <c r="D1298" s="2" t="s">
        <v>28</v>
      </c>
      <c r="E1298" s="11" t="s">
        <v>296</v>
      </c>
      <c r="F1298" s="11" t="s">
        <v>151</v>
      </c>
      <c r="G1298" s="11" t="s">
        <v>503</v>
      </c>
      <c r="H1298" s="11" t="s">
        <v>59</v>
      </c>
      <c r="I1298" s="12">
        <v>0.11</v>
      </c>
      <c r="J1298" s="12">
        <v>20</v>
      </c>
      <c r="K1298" s="12">
        <v>56.99</v>
      </c>
      <c r="L1298" s="12">
        <v>1139.8</v>
      </c>
      <c r="M1298" s="12">
        <v>0</v>
      </c>
      <c r="N1298" s="12">
        <v>-56.989980999999993</v>
      </c>
      <c r="O1298" s="12">
        <v>140.76530300000002</v>
      </c>
      <c r="P1298" s="12">
        <v>1223.5753219999999</v>
      </c>
    </row>
    <row r="1299" spans="1:16" ht="14.5" x14ac:dyDescent="0.25">
      <c r="A1299" s="10">
        <v>45942</v>
      </c>
      <c r="B1299" s="2" t="str">
        <f t="shared" si="40"/>
        <v>Oct-2025</v>
      </c>
      <c r="C1299" s="2" t="str">
        <f t="shared" si="41"/>
        <v>Q3</v>
      </c>
      <c r="D1299" s="2" t="s">
        <v>28</v>
      </c>
      <c r="E1299" s="11" t="s">
        <v>296</v>
      </c>
      <c r="F1299" s="11" t="s">
        <v>151</v>
      </c>
      <c r="G1299" s="11" t="s">
        <v>505</v>
      </c>
      <c r="H1299" s="11" t="s">
        <v>40</v>
      </c>
      <c r="I1299" s="12">
        <v>0.17</v>
      </c>
      <c r="J1299" s="12">
        <v>30</v>
      </c>
      <c r="K1299" s="12">
        <v>74.34</v>
      </c>
      <c r="L1299" s="12">
        <v>2230.1999999999998</v>
      </c>
      <c r="M1299" s="12">
        <v>0</v>
      </c>
      <c r="N1299" s="12">
        <v>-111.50996199999999</v>
      </c>
      <c r="O1299" s="12">
        <v>275.42970500000001</v>
      </c>
      <c r="P1299" s="12">
        <v>2394.1197430000002</v>
      </c>
    </row>
    <row r="1300" spans="1:16" ht="14.5" x14ac:dyDescent="0.25">
      <c r="A1300" s="10">
        <v>45942</v>
      </c>
      <c r="B1300" s="2" t="str">
        <f t="shared" si="40"/>
        <v>Oct-2025</v>
      </c>
      <c r="C1300" s="2" t="str">
        <f t="shared" si="41"/>
        <v>Q3</v>
      </c>
      <c r="D1300" s="2" t="s">
        <v>28</v>
      </c>
      <c r="E1300" s="11" t="s">
        <v>296</v>
      </c>
      <c r="F1300" s="11" t="s">
        <v>151</v>
      </c>
      <c r="G1300" s="11" t="s">
        <v>503</v>
      </c>
      <c r="H1300" s="11" t="s">
        <v>44</v>
      </c>
      <c r="I1300" s="12">
        <v>0.17</v>
      </c>
      <c r="J1300" s="12">
        <v>30</v>
      </c>
      <c r="K1300" s="12">
        <v>142.47999999999999</v>
      </c>
      <c r="L1300" s="12">
        <v>4274.3999999999996</v>
      </c>
      <c r="M1300" s="12">
        <v>0</v>
      </c>
      <c r="N1300" s="12">
        <v>-213.71992800000001</v>
      </c>
      <c r="O1300" s="12">
        <v>527.88840900000002</v>
      </c>
      <c r="P1300" s="12">
        <v>4588.5684810000002</v>
      </c>
    </row>
    <row r="1301" spans="1:16" ht="14.5" x14ac:dyDescent="0.25">
      <c r="A1301" s="10">
        <v>45942</v>
      </c>
      <c r="B1301" s="2" t="str">
        <f t="shared" si="40"/>
        <v>Oct-2025</v>
      </c>
      <c r="C1301" s="2" t="str">
        <f t="shared" si="41"/>
        <v>Q3</v>
      </c>
      <c r="D1301" s="2" t="s">
        <v>28</v>
      </c>
      <c r="E1301" s="11" t="s">
        <v>296</v>
      </c>
      <c r="F1301" s="11" t="s">
        <v>151</v>
      </c>
      <c r="G1301" s="11" t="s">
        <v>503</v>
      </c>
      <c r="H1301" s="11" t="s">
        <v>52</v>
      </c>
      <c r="I1301" s="12">
        <v>0.17</v>
      </c>
      <c r="J1301" s="12">
        <v>30</v>
      </c>
      <c r="K1301" s="12">
        <v>65.040000000000006</v>
      </c>
      <c r="L1301" s="12">
        <v>1951.2</v>
      </c>
      <c r="M1301" s="12">
        <v>0</v>
      </c>
      <c r="N1301" s="12">
        <v>-97.559967</v>
      </c>
      <c r="O1301" s="12">
        <v>240.97320399999998</v>
      </c>
      <c r="P1301" s="12">
        <v>2094.613237</v>
      </c>
    </row>
    <row r="1302" spans="1:16" ht="14.5" x14ac:dyDescent="0.25">
      <c r="A1302" s="10">
        <v>45942</v>
      </c>
      <c r="B1302" s="2" t="str">
        <f t="shared" si="40"/>
        <v>Oct-2025</v>
      </c>
      <c r="C1302" s="2" t="str">
        <f t="shared" si="41"/>
        <v>Q3</v>
      </c>
      <c r="D1302" s="2" t="s">
        <v>28</v>
      </c>
      <c r="E1302" s="11" t="s">
        <v>296</v>
      </c>
      <c r="F1302" s="11" t="s">
        <v>151</v>
      </c>
      <c r="G1302" s="11" t="s">
        <v>507</v>
      </c>
      <c r="H1302" s="11" t="s">
        <v>60</v>
      </c>
      <c r="I1302" s="12">
        <v>0.5</v>
      </c>
      <c r="J1302" s="12">
        <v>30</v>
      </c>
      <c r="K1302" s="12">
        <v>89.82</v>
      </c>
      <c r="L1302" s="12">
        <v>2694.6</v>
      </c>
      <c r="M1302" s="12">
        <v>0</v>
      </c>
      <c r="N1302" s="12">
        <v>-134.72995500000002</v>
      </c>
      <c r="O1302" s="12">
        <v>332.78310599999998</v>
      </c>
      <c r="P1302" s="12">
        <v>2892.653151</v>
      </c>
    </row>
    <row r="1303" spans="1:16" ht="14.5" x14ac:dyDescent="0.25">
      <c r="A1303" s="10">
        <v>45942</v>
      </c>
      <c r="B1303" s="2" t="str">
        <f t="shared" si="40"/>
        <v>Oct-2025</v>
      </c>
      <c r="C1303" s="2" t="str">
        <f t="shared" si="41"/>
        <v>Q3</v>
      </c>
      <c r="D1303" s="2" t="s">
        <v>28</v>
      </c>
      <c r="E1303" s="11" t="s">
        <v>296</v>
      </c>
      <c r="F1303" s="11" t="s">
        <v>151</v>
      </c>
      <c r="G1303" s="11" t="s">
        <v>505</v>
      </c>
      <c r="H1303" s="11" t="s">
        <v>43</v>
      </c>
      <c r="I1303" s="12">
        <v>0.75</v>
      </c>
      <c r="J1303" s="12">
        <v>30</v>
      </c>
      <c r="K1303" s="12">
        <v>260.18</v>
      </c>
      <c r="L1303" s="12">
        <v>7805.4000000000005</v>
      </c>
      <c r="M1303" s="12">
        <v>0</v>
      </c>
      <c r="N1303" s="12">
        <v>-390.26986800000003</v>
      </c>
      <c r="O1303" s="12">
        <v>963.96691700000008</v>
      </c>
      <c r="P1303" s="12">
        <v>8379.097049</v>
      </c>
    </row>
    <row r="1304" spans="1:16" ht="14.5" x14ac:dyDescent="0.25">
      <c r="A1304" s="10">
        <v>45942</v>
      </c>
      <c r="B1304" s="2" t="str">
        <f t="shared" si="40"/>
        <v>Oct-2025</v>
      </c>
      <c r="C1304" s="2" t="str">
        <f t="shared" si="41"/>
        <v>Q3</v>
      </c>
      <c r="D1304" s="2" t="s">
        <v>28</v>
      </c>
      <c r="E1304" s="11" t="s">
        <v>296</v>
      </c>
      <c r="F1304" s="11" t="s">
        <v>151</v>
      </c>
      <c r="G1304" s="11" t="s">
        <v>503</v>
      </c>
      <c r="H1304" s="11" t="s">
        <v>46</v>
      </c>
      <c r="I1304" s="12">
        <v>0.25</v>
      </c>
      <c r="J1304" s="12">
        <v>30</v>
      </c>
      <c r="K1304" s="12">
        <v>108.41</v>
      </c>
      <c r="L1304" s="12">
        <v>3252.3</v>
      </c>
      <c r="M1304" s="12">
        <v>0</v>
      </c>
      <c r="N1304" s="12">
        <v>-162.61494500000001</v>
      </c>
      <c r="O1304" s="12">
        <v>401.65905700000002</v>
      </c>
      <c r="P1304" s="12">
        <v>3491.3441120000002</v>
      </c>
    </row>
    <row r="1305" spans="1:16" ht="14.5" x14ac:dyDescent="0.25">
      <c r="A1305" s="10">
        <v>45942</v>
      </c>
      <c r="B1305" s="2" t="str">
        <f t="shared" si="40"/>
        <v>Oct-2025</v>
      </c>
      <c r="C1305" s="2" t="str">
        <f t="shared" si="41"/>
        <v>Q3</v>
      </c>
      <c r="D1305" s="2" t="s">
        <v>28</v>
      </c>
      <c r="E1305" s="11" t="s">
        <v>296</v>
      </c>
      <c r="F1305" s="11" t="s">
        <v>151</v>
      </c>
      <c r="G1305" s="11" t="s">
        <v>503</v>
      </c>
      <c r="H1305" s="11" t="s">
        <v>190</v>
      </c>
      <c r="I1305" s="12">
        <v>0.11</v>
      </c>
      <c r="J1305" s="12">
        <v>20</v>
      </c>
      <c r="K1305" s="12">
        <v>74.34</v>
      </c>
      <c r="L1305" s="12">
        <v>1486.8</v>
      </c>
      <c r="M1305" s="12">
        <v>0</v>
      </c>
      <c r="N1305" s="12">
        <v>-74.33997500000001</v>
      </c>
      <c r="O1305" s="12">
        <v>183.61980299999999</v>
      </c>
      <c r="P1305" s="12">
        <v>1596.0798279999999</v>
      </c>
    </row>
    <row r="1306" spans="1:16" ht="14.5" x14ac:dyDescent="0.25">
      <c r="A1306" s="10">
        <v>45942</v>
      </c>
      <c r="B1306" s="2" t="str">
        <f t="shared" si="40"/>
        <v>Oct-2025</v>
      </c>
      <c r="C1306" s="2" t="str">
        <f t="shared" si="41"/>
        <v>Q3</v>
      </c>
      <c r="D1306" s="2" t="s">
        <v>28</v>
      </c>
      <c r="E1306" s="11" t="s">
        <v>296</v>
      </c>
      <c r="F1306" s="11" t="s">
        <v>151</v>
      </c>
      <c r="G1306" s="11" t="s">
        <v>504</v>
      </c>
      <c r="H1306" s="11" t="s">
        <v>66</v>
      </c>
      <c r="I1306" s="12">
        <v>0.2</v>
      </c>
      <c r="J1306" s="12">
        <v>20</v>
      </c>
      <c r="K1306" s="12">
        <v>99.12</v>
      </c>
      <c r="L1306" s="12">
        <v>1982.4</v>
      </c>
      <c r="M1306" s="12">
        <v>0</v>
      </c>
      <c r="N1306" s="12">
        <v>-99.119967000000003</v>
      </c>
      <c r="O1306" s="12">
        <v>244.826404</v>
      </c>
      <c r="P1306" s="12">
        <v>2128.1064369999999</v>
      </c>
    </row>
    <row r="1307" spans="1:16" ht="14.5" x14ac:dyDescent="0.25">
      <c r="A1307" s="10">
        <v>45942</v>
      </c>
      <c r="B1307" s="2" t="str">
        <f t="shared" si="40"/>
        <v>Oct-2025</v>
      </c>
      <c r="C1307" s="2" t="str">
        <f t="shared" si="41"/>
        <v>Q3</v>
      </c>
      <c r="D1307" s="2" t="s">
        <v>28</v>
      </c>
      <c r="E1307" s="11" t="s">
        <v>296</v>
      </c>
      <c r="F1307" s="11" t="s">
        <v>151</v>
      </c>
      <c r="G1307" s="11" t="s">
        <v>505</v>
      </c>
      <c r="H1307" s="11" t="s">
        <v>56</v>
      </c>
      <c r="I1307" s="12">
        <v>0.17</v>
      </c>
      <c r="J1307" s="12">
        <v>20</v>
      </c>
      <c r="K1307" s="12">
        <v>46.46</v>
      </c>
      <c r="L1307" s="12">
        <v>929.2</v>
      </c>
      <c r="M1307" s="12">
        <v>0</v>
      </c>
      <c r="N1307" s="12">
        <v>-46.459983999999999</v>
      </c>
      <c r="O1307" s="12">
        <v>114.75620199999999</v>
      </c>
      <c r="P1307" s="12">
        <v>997.496218</v>
      </c>
    </row>
    <row r="1308" spans="1:16" ht="14.5" x14ac:dyDescent="0.25">
      <c r="A1308" s="10">
        <v>45942</v>
      </c>
      <c r="B1308" s="2" t="str">
        <f t="shared" si="40"/>
        <v>Oct-2025</v>
      </c>
      <c r="C1308" s="2" t="str">
        <f t="shared" si="41"/>
        <v>Q3</v>
      </c>
      <c r="D1308" s="2" t="s">
        <v>28</v>
      </c>
      <c r="E1308" s="11" t="s">
        <v>296</v>
      </c>
      <c r="F1308" s="11" t="s">
        <v>151</v>
      </c>
      <c r="G1308" s="11" t="s">
        <v>505</v>
      </c>
      <c r="H1308" s="11" t="s">
        <v>50</v>
      </c>
      <c r="I1308" s="12">
        <v>0.25</v>
      </c>
      <c r="J1308" s="12">
        <v>20</v>
      </c>
      <c r="K1308" s="12">
        <v>154.87</v>
      </c>
      <c r="L1308" s="12">
        <v>3097.4</v>
      </c>
      <c r="M1308" s="12">
        <v>0</v>
      </c>
      <c r="N1308" s="12">
        <v>-154.86994800000002</v>
      </c>
      <c r="O1308" s="12">
        <v>382.528907</v>
      </c>
      <c r="P1308" s="12">
        <v>3325.058959</v>
      </c>
    </row>
    <row r="1309" spans="1:16" ht="14.5" x14ac:dyDescent="0.25">
      <c r="A1309" s="10">
        <v>45942</v>
      </c>
      <c r="B1309" s="2" t="str">
        <f t="shared" si="40"/>
        <v>Oct-2025</v>
      </c>
      <c r="C1309" s="2" t="str">
        <f t="shared" si="41"/>
        <v>Q3</v>
      </c>
      <c r="D1309" s="2" t="s">
        <v>28</v>
      </c>
      <c r="E1309" s="11" t="s">
        <v>296</v>
      </c>
      <c r="F1309" s="11" t="s">
        <v>151</v>
      </c>
      <c r="G1309" s="11" t="s">
        <v>503</v>
      </c>
      <c r="H1309" s="11" t="s">
        <v>47</v>
      </c>
      <c r="I1309" s="12">
        <v>0.25</v>
      </c>
      <c r="J1309" s="12">
        <v>30</v>
      </c>
      <c r="K1309" s="12">
        <v>108.41</v>
      </c>
      <c r="L1309" s="12">
        <v>3252.3</v>
      </c>
      <c r="M1309" s="12">
        <v>0</v>
      </c>
      <c r="N1309" s="12">
        <v>-162.61494500000001</v>
      </c>
      <c r="O1309" s="12">
        <v>401.65905700000002</v>
      </c>
      <c r="P1309" s="12">
        <v>3491.3441120000002</v>
      </c>
    </row>
    <row r="1310" spans="1:16" ht="14.5" x14ac:dyDescent="0.25">
      <c r="A1310" s="10">
        <v>45942</v>
      </c>
      <c r="B1310" s="2" t="str">
        <f t="shared" si="40"/>
        <v>Oct-2025</v>
      </c>
      <c r="C1310" s="2" t="str">
        <f t="shared" si="41"/>
        <v>Q3</v>
      </c>
      <c r="D1310" s="2" t="s">
        <v>28</v>
      </c>
      <c r="E1310" s="11" t="s">
        <v>296</v>
      </c>
      <c r="F1310" s="11" t="s">
        <v>151</v>
      </c>
      <c r="G1310" s="11" t="s">
        <v>505</v>
      </c>
      <c r="H1310" s="11" t="s">
        <v>49</v>
      </c>
      <c r="I1310" s="12">
        <v>0.17</v>
      </c>
      <c r="J1310" s="12">
        <v>30</v>
      </c>
      <c r="K1310" s="12">
        <v>145.58000000000001</v>
      </c>
      <c r="L1310" s="12">
        <v>4367.3999999999996</v>
      </c>
      <c r="M1310" s="12">
        <v>0</v>
      </c>
      <c r="N1310" s="12">
        <v>-218.36992600000002</v>
      </c>
      <c r="O1310" s="12">
        <v>539.37391000000002</v>
      </c>
      <c r="P1310" s="12">
        <v>4688.4039839999996</v>
      </c>
    </row>
    <row r="1311" spans="1:16" ht="14.5" x14ac:dyDescent="0.25">
      <c r="A1311" s="10">
        <v>45943</v>
      </c>
      <c r="B1311" s="2" t="str">
        <f t="shared" si="40"/>
        <v>Oct-2025</v>
      </c>
      <c r="C1311" s="2" t="str">
        <f t="shared" si="41"/>
        <v>Q3</v>
      </c>
      <c r="D1311" s="2" t="s">
        <v>28</v>
      </c>
      <c r="E1311" s="11" t="s">
        <v>297</v>
      </c>
      <c r="F1311" s="11" t="s">
        <v>151</v>
      </c>
      <c r="G1311" s="11" t="s">
        <v>509</v>
      </c>
      <c r="H1311" s="11" t="s">
        <v>284</v>
      </c>
      <c r="I1311" s="12">
        <v>0.3</v>
      </c>
      <c r="J1311" s="12">
        <v>60</v>
      </c>
      <c r="K1311" s="12">
        <v>117.7</v>
      </c>
      <c r="L1311" s="12">
        <v>7062.0000000000009</v>
      </c>
      <c r="M1311" s="12">
        <v>0</v>
      </c>
      <c r="N1311" s="12">
        <v>-353.1</v>
      </c>
      <c r="O1311" s="12">
        <v>872.15548000000001</v>
      </c>
      <c r="P1311" s="12">
        <v>7581.05548</v>
      </c>
    </row>
    <row r="1312" spans="1:16" ht="14.5" x14ac:dyDescent="0.25">
      <c r="A1312" s="10">
        <v>45943</v>
      </c>
      <c r="B1312" s="2" t="str">
        <f t="shared" si="40"/>
        <v>Oct-2025</v>
      </c>
      <c r="C1312" s="2" t="str">
        <f t="shared" si="41"/>
        <v>Q3</v>
      </c>
      <c r="D1312" s="2" t="s">
        <v>28</v>
      </c>
      <c r="E1312" s="11" t="s">
        <v>297</v>
      </c>
      <c r="F1312" s="11" t="s">
        <v>151</v>
      </c>
      <c r="G1312" s="11" t="s">
        <v>509</v>
      </c>
      <c r="H1312" s="11" t="s">
        <v>283</v>
      </c>
      <c r="I1312" s="12">
        <v>0.25</v>
      </c>
      <c r="J1312" s="12">
        <v>30</v>
      </c>
      <c r="K1312" s="12">
        <v>229.2</v>
      </c>
      <c r="L1312" s="12">
        <v>6876</v>
      </c>
      <c r="M1312" s="12">
        <v>0</v>
      </c>
      <c r="N1312" s="12">
        <v>-343.8</v>
      </c>
      <c r="O1312" s="12">
        <v>849.18452000000002</v>
      </c>
      <c r="P1312" s="12">
        <v>7381.3845199999996</v>
      </c>
    </row>
    <row r="1313" spans="1:16" ht="14.5" x14ac:dyDescent="0.25">
      <c r="A1313" s="10">
        <v>45943</v>
      </c>
      <c r="B1313" s="2" t="str">
        <f t="shared" si="40"/>
        <v>Oct-2025</v>
      </c>
      <c r="C1313" s="2" t="str">
        <f t="shared" si="41"/>
        <v>Q3</v>
      </c>
      <c r="D1313" s="2" t="s">
        <v>28</v>
      </c>
      <c r="E1313" s="11" t="s">
        <v>298</v>
      </c>
      <c r="F1313" s="11" t="s">
        <v>151</v>
      </c>
      <c r="G1313" s="11" t="s">
        <v>509</v>
      </c>
      <c r="H1313" s="11" t="s">
        <v>283</v>
      </c>
      <c r="I1313" s="12">
        <v>0.25</v>
      </c>
      <c r="J1313" s="12">
        <v>30</v>
      </c>
      <c r="K1313" s="12">
        <v>229.2</v>
      </c>
      <c r="L1313" s="12">
        <v>6876</v>
      </c>
      <c r="M1313" s="12">
        <v>0</v>
      </c>
      <c r="N1313" s="12">
        <v>-343.8</v>
      </c>
      <c r="O1313" s="12">
        <v>849.18452000000002</v>
      </c>
      <c r="P1313" s="12">
        <v>7381.3845199999996</v>
      </c>
    </row>
    <row r="1314" spans="1:16" ht="14.5" x14ac:dyDescent="0.25">
      <c r="A1314" s="10">
        <v>45943</v>
      </c>
      <c r="B1314" s="2" t="str">
        <f t="shared" si="40"/>
        <v>Oct-2025</v>
      </c>
      <c r="C1314" s="2" t="str">
        <f t="shared" si="41"/>
        <v>Q3</v>
      </c>
      <c r="D1314" s="2" t="s">
        <v>28</v>
      </c>
      <c r="E1314" s="11" t="s">
        <v>298</v>
      </c>
      <c r="F1314" s="11" t="s">
        <v>151</v>
      </c>
      <c r="G1314" s="11" t="s">
        <v>509</v>
      </c>
      <c r="H1314" s="11" t="s">
        <v>284</v>
      </c>
      <c r="I1314" s="12">
        <v>0.3</v>
      </c>
      <c r="J1314" s="12">
        <v>60</v>
      </c>
      <c r="K1314" s="12">
        <v>117.7</v>
      </c>
      <c r="L1314" s="12">
        <v>7062.0000000000009</v>
      </c>
      <c r="M1314" s="12">
        <v>0</v>
      </c>
      <c r="N1314" s="12">
        <v>-353.1</v>
      </c>
      <c r="O1314" s="12">
        <v>872.15548000000001</v>
      </c>
      <c r="P1314" s="12">
        <v>7581.05548</v>
      </c>
    </row>
    <row r="1315" spans="1:16" ht="14.5" x14ac:dyDescent="0.25">
      <c r="A1315" s="10">
        <v>45944</v>
      </c>
      <c r="B1315" s="2" t="str">
        <f t="shared" ref="B1315:B1378" si="42">+TEXT(A1315,"MMM-yyy")</f>
        <v>Oct-2025</v>
      </c>
      <c r="C1315" s="2" t="str">
        <f t="shared" ref="C1315:C1378" si="43">"Q" &amp; CHOOSE(MONTH(A1315),4,4,4,1,1,1,2,2,2,3,3,3)</f>
        <v>Q3</v>
      </c>
      <c r="D1315" s="2" t="s">
        <v>28</v>
      </c>
      <c r="E1315" s="11" t="s">
        <v>299</v>
      </c>
      <c r="F1315" s="11" t="s">
        <v>151</v>
      </c>
      <c r="G1315" s="11" t="s">
        <v>506</v>
      </c>
      <c r="H1315" s="11" t="s">
        <v>58</v>
      </c>
      <c r="I1315" s="12">
        <v>1</v>
      </c>
      <c r="J1315" s="12">
        <v>72</v>
      </c>
      <c r="K1315" s="12">
        <v>136.28</v>
      </c>
      <c r="L1315" s="12">
        <v>9812.16</v>
      </c>
      <c r="M1315" s="12">
        <v>0</v>
      </c>
      <c r="N1315" s="12">
        <v>-490.60776699999997</v>
      </c>
      <c r="O1315" s="12">
        <v>1211.80179</v>
      </c>
      <c r="P1315" s="12">
        <v>10533.354023</v>
      </c>
    </row>
    <row r="1316" spans="1:16" ht="14.5" x14ac:dyDescent="0.25">
      <c r="A1316" s="10">
        <v>45944</v>
      </c>
      <c r="B1316" s="2" t="str">
        <f t="shared" si="42"/>
        <v>Oct-2025</v>
      </c>
      <c r="C1316" s="2" t="str">
        <f t="shared" si="43"/>
        <v>Q3</v>
      </c>
      <c r="D1316" s="2" t="s">
        <v>28</v>
      </c>
      <c r="E1316" s="11" t="s">
        <v>299</v>
      </c>
      <c r="F1316" s="11" t="s">
        <v>151</v>
      </c>
      <c r="G1316" s="11" t="s">
        <v>503</v>
      </c>
      <c r="H1316" s="11" t="s">
        <v>171</v>
      </c>
      <c r="I1316" s="12">
        <v>0.5</v>
      </c>
      <c r="J1316" s="12">
        <v>40</v>
      </c>
      <c r="K1316" s="12">
        <v>142.47999999999999</v>
      </c>
      <c r="L1316" s="12">
        <v>5699.2</v>
      </c>
      <c r="M1316" s="12">
        <v>0</v>
      </c>
      <c r="N1316" s="12">
        <v>-284.95986499999998</v>
      </c>
      <c r="O1316" s="12">
        <v>703.85121800000002</v>
      </c>
      <c r="P1316" s="12">
        <v>6118.0913529999998</v>
      </c>
    </row>
    <row r="1317" spans="1:16" ht="14.5" x14ac:dyDescent="0.25">
      <c r="A1317" s="10">
        <v>45944</v>
      </c>
      <c r="B1317" s="2" t="str">
        <f t="shared" si="42"/>
        <v>Oct-2025</v>
      </c>
      <c r="C1317" s="2" t="str">
        <f t="shared" si="43"/>
        <v>Q3</v>
      </c>
      <c r="D1317" s="2" t="s">
        <v>28</v>
      </c>
      <c r="E1317" s="11" t="s">
        <v>299</v>
      </c>
      <c r="F1317" s="11" t="s">
        <v>151</v>
      </c>
      <c r="G1317" s="11" t="s">
        <v>503</v>
      </c>
      <c r="H1317" s="11" t="s">
        <v>63</v>
      </c>
      <c r="I1317" s="12">
        <v>0.5</v>
      </c>
      <c r="J1317" s="12">
        <v>40</v>
      </c>
      <c r="K1317" s="12">
        <v>170.35</v>
      </c>
      <c r="L1317" s="12">
        <v>6814.0000000000009</v>
      </c>
      <c r="M1317" s="12">
        <v>0</v>
      </c>
      <c r="N1317" s="12">
        <v>-340.699838</v>
      </c>
      <c r="O1317" s="12">
        <v>841.52902099999994</v>
      </c>
      <c r="P1317" s="12">
        <v>7314.8291829999998</v>
      </c>
    </row>
    <row r="1318" spans="1:16" ht="14.5" x14ac:dyDescent="0.25">
      <c r="A1318" s="10">
        <v>45944</v>
      </c>
      <c r="B1318" s="2" t="str">
        <f t="shared" si="42"/>
        <v>Oct-2025</v>
      </c>
      <c r="C1318" s="2" t="str">
        <f t="shared" si="43"/>
        <v>Q3</v>
      </c>
      <c r="D1318" s="2" t="s">
        <v>28</v>
      </c>
      <c r="E1318" s="11" t="s">
        <v>299</v>
      </c>
      <c r="F1318" s="11" t="s">
        <v>151</v>
      </c>
      <c r="G1318" s="11" t="s">
        <v>505</v>
      </c>
      <c r="H1318" s="11" t="s">
        <v>62</v>
      </c>
      <c r="I1318" s="12">
        <v>1</v>
      </c>
      <c r="J1318" s="12">
        <v>40</v>
      </c>
      <c r="K1318" s="12">
        <v>402.65</v>
      </c>
      <c r="L1318" s="12">
        <v>16106</v>
      </c>
      <c r="M1318" s="12">
        <v>0</v>
      </c>
      <c r="N1318" s="12">
        <v>-805.29961800000001</v>
      </c>
      <c r="O1318" s="12">
        <v>1989.09105</v>
      </c>
      <c r="P1318" s="12">
        <v>17289.791432000002</v>
      </c>
    </row>
    <row r="1319" spans="1:16" ht="14.5" x14ac:dyDescent="0.25">
      <c r="A1319" s="10">
        <v>45944</v>
      </c>
      <c r="B1319" s="2" t="str">
        <f t="shared" si="42"/>
        <v>Oct-2025</v>
      </c>
      <c r="C1319" s="2" t="str">
        <f t="shared" si="43"/>
        <v>Q3</v>
      </c>
      <c r="D1319" s="2" t="s">
        <v>28</v>
      </c>
      <c r="E1319" s="11" t="s">
        <v>299</v>
      </c>
      <c r="F1319" s="11" t="s">
        <v>151</v>
      </c>
      <c r="G1319" s="11" t="s">
        <v>504</v>
      </c>
      <c r="H1319" s="11" t="s">
        <v>67</v>
      </c>
      <c r="I1319" s="12">
        <v>1</v>
      </c>
      <c r="J1319" s="12">
        <v>40</v>
      </c>
      <c r="K1319" s="12">
        <v>360.53</v>
      </c>
      <c r="L1319" s="12">
        <v>14421.199999999999</v>
      </c>
      <c r="M1319" s="12">
        <v>0</v>
      </c>
      <c r="N1319" s="12">
        <v>-721.05965800000001</v>
      </c>
      <c r="O1319" s="12">
        <v>1781.0182440000001</v>
      </c>
      <c r="P1319" s="12">
        <v>15481.158586</v>
      </c>
    </row>
    <row r="1320" spans="1:16" ht="14.5" x14ac:dyDescent="0.25">
      <c r="A1320" s="10">
        <v>45944</v>
      </c>
      <c r="B1320" s="2" t="str">
        <f t="shared" si="42"/>
        <v>Oct-2025</v>
      </c>
      <c r="C1320" s="2" t="str">
        <f t="shared" si="43"/>
        <v>Q3</v>
      </c>
      <c r="D1320" s="2" t="s">
        <v>28</v>
      </c>
      <c r="E1320" s="11" t="s">
        <v>299</v>
      </c>
      <c r="F1320" s="11" t="s">
        <v>151</v>
      </c>
      <c r="G1320" s="11" t="s">
        <v>503</v>
      </c>
      <c r="H1320" s="11" t="s">
        <v>175</v>
      </c>
      <c r="I1320" s="12">
        <v>0.5</v>
      </c>
      <c r="J1320" s="12">
        <v>60</v>
      </c>
      <c r="K1320" s="12">
        <v>71.239999999999995</v>
      </c>
      <c r="L1320" s="12">
        <v>4274.3999999999996</v>
      </c>
      <c r="M1320" s="12">
        <v>0</v>
      </c>
      <c r="N1320" s="12">
        <v>-213.719899</v>
      </c>
      <c r="O1320" s="12">
        <v>527.88841300000001</v>
      </c>
      <c r="P1320" s="12">
        <v>4588.5685139999996</v>
      </c>
    </row>
    <row r="1321" spans="1:16" ht="14.5" x14ac:dyDescent="0.25">
      <c r="A1321" s="10">
        <v>45944</v>
      </c>
      <c r="B1321" s="2" t="str">
        <f t="shared" si="42"/>
        <v>Oct-2025</v>
      </c>
      <c r="C1321" s="2" t="str">
        <f t="shared" si="43"/>
        <v>Q3</v>
      </c>
      <c r="D1321" s="2" t="s">
        <v>28</v>
      </c>
      <c r="E1321" s="11" t="s">
        <v>299</v>
      </c>
      <c r="F1321" s="11" t="s">
        <v>151</v>
      </c>
      <c r="G1321" s="11" t="s">
        <v>509</v>
      </c>
      <c r="H1321" s="11" t="s">
        <v>283</v>
      </c>
      <c r="I1321" s="12">
        <v>0.5</v>
      </c>
      <c r="J1321" s="12">
        <v>60</v>
      </c>
      <c r="K1321" s="12">
        <v>229.2</v>
      </c>
      <c r="L1321" s="12">
        <v>13752</v>
      </c>
      <c r="M1321" s="12">
        <v>0</v>
      </c>
      <c r="N1321" s="12">
        <v>-687.59967400000005</v>
      </c>
      <c r="O1321" s="12">
        <v>1698.3720420000002</v>
      </c>
      <c r="P1321" s="12">
        <v>14762.772368</v>
      </c>
    </row>
    <row r="1322" spans="1:16" ht="14.5" x14ac:dyDescent="0.25">
      <c r="A1322" s="10">
        <v>45944</v>
      </c>
      <c r="B1322" s="2" t="str">
        <f t="shared" si="42"/>
        <v>Oct-2025</v>
      </c>
      <c r="C1322" s="2" t="str">
        <f t="shared" si="43"/>
        <v>Q3</v>
      </c>
      <c r="D1322" s="2" t="s">
        <v>28</v>
      </c>
      <c r="E1322" s="11" t="s">
        <v>299</v>
      </c>
      <c r="F1322" s="11" t="s">
        <v>151</v>
      </c>
      <c r="G1322" s="11" t="s">
        <v>505</v>
      </c>
      <c r="H1322" s="11" t="s">
        <v>168</v>
      </c>
      <c r="I1322" s="12">
        <v>0.5</v>
      </c>
      <c r="J1322" s="12">
        <v>40</v>
      </c>
      <c r="K1322" s="12">
        <v>210.62</v>
      </c>
      <c r="L1322" s="12">
        <v>8424.7999999999993</v>
      </c>
      <c r="M1322" s="12">
        <v>0</v>
      </c>
      <c r="N1322" s="12">
        <v>-421.23980000000006</v>
      </c>
      <c r="O1322" s="12">
        <v>1040.4628259999999</v>
      </c>
      <c r="P1322" s="12">
        <v>9044.0230260000008</v>
      </c>
    </row>
    <row r="1323" spans="1:16" ht="14.5" x14ac:dyDescent="0.25">
      <c r="A1323" s="10">
        <v>45944</v>
      </c>
      <c r="B1323" s="2" t="str">
        <f t="shared" si="42"/>
        <v>Oct-2025</v>
      </c>
      <c r="C1323" s="2" t="str">
        <f t="shared" si="43"/>
        <v>Q3</v>
      </c>
      <c r="D1323" s="2" t="s">
        <v>28</v>
      </c>
      <c r="E1323" s="11" t="s">
        <v>299</v>
      </c>
      <c r="F1323" s="11" t="s">
        <v>151</v>
      </c>
      <c r="G1323" s="11" t="s">
        <v>509</v>
      </c>
      <c r="H1323" s="11" t="s">
        <v>285</v>
      </c>
      <c r="I1323" s="12">
        <v>0.5</v>
      </c>
      <c r="J1323" s="12">
        <v>30</v>
      </c>
      <c r="K1323" s="12">
        <v>446.02</v>
      </c>
      <c r="L1323" s="12">
        <v>13380.599999999999</v>
      </c>
      <c r="M1323" s="12">
        <v>0</v>
      </c>
      <c r="N1323" s="12">
        <v>-669.02968299999998</v>
      </c>
      <c r="O1323" s="12">
        <v>1652.5041409999999</v>
      </c>
      <c r="P1323" s="12">
        <v>14364.074457999999</v>
      </c>
    </row>
    <row r="1324" spans="1:16" ht="14.5" x14ac:dyDescent="0.25">
      <c r="A1324" s="10">
        <v>45944</v>
      </c>
      <c r="B1324" s="2" t="str">
        <f t="shared" si="42"/>
        <v>Oct-2025</v>
      </c>
      <c r="C1324" s="2" t="str">
        <f t="shared" si="43"/>
        <v>Q3</v>
      </c>
      <c r="D1324" s="2" t="s">
        <v>28</v>
      </c>
      <c r="E1324" s="11" t="s">
        <v>299</v>
      </c>
      <c r="F1324" s="11" t="s">
        <v>151</v>
      </c>
      <c r="G1324" s="11" t="s">
        <v>503</v>
      </c>
      <c r="H1324" s="11" t="s">
        <v>180</v>
      </c>
      <c r="I1324" s="12">
        <v>0.5</v>
      </c>
      <c r="J1324" s="12">
        <v>40</v>
      </c>
      <c r="K1324" s="12">
        <v>130.09</v>
      </c>
      <c r="L1324" s="12">
        <v>5203.5999999999995</v>
      </c>
      <c r="M1324" s="12">
        <v>0</v>
      </c>
      <c r="N1324" s="12">
        <v>-260.17987700000003</v>
      </c>
      <c r="O1324" s="12">
        <v>642.64461599999993</v>
      </c>
      <c r="P1324" s="12">
        <v>5586.0647390000004</v>
      </c>
    </row>
    <row r="1325" spans="1:16" ht="14.5" x14ac:dyDescent="0.25">
      <c r="A1325" s="10">
        <v>45944</v>
      </c>
      <c r="B1325" s="2" t="str">
        <f t="shared" si="42"/>
        <v>Oct-2025</v>
      </c>
      <c r="C1325" s="2" t="str">
        <f t="shared" si="43"/>
        <v>Q3</v>
      </c>
      <c r="D1325" s="2" t="s">
        <v>28</v>
      </c>
      <c r="E1325" s="11" t="s">
        <v>299</v>
      </c>
      <c r="F1325" s="11" t="s">
        <v>151</v>
      </c>
      <c r="G1325" s="11" t="s">
        <v>509</v>
      </c>
      <c r="H1325" s="11" t="s">
        <v>284</v>
      </c>
      <c r="I1325" s="12">
        <v>0.5</v>
      </c>
      <c r="J1325" s="12">
        <v>100</v>
      </c>
      <c r="K1325" s="12">
        <v>117.7</v>
      </c>
      <c r="L1325" s="12">
        <v>11770</v>
      </c>
      <c r="M1325" s="12">
        <v>0</v>
      </c>
      <c r="N1325" s="12">
        <v>-588.49972100000002</v>
      </c>
      <c r="O1325" s="12">
        <v>1453.5950359999999</v>
      </c>
      <c r="P1325" s="12">
        <v>12635.095315</v>
      </c>
    </row>
    <row r="1326" spans="1:16" ht="14.5" x14ac:dyDescent="0.25">
      <c r="A1326" s="10">
        <v>45944</v>
      </c>
      <c r="B1326" s="2" t="str">
        <f t="shared" si="42"/>
        <v>Oct-2025</v>
      </c>
      <c r="C1326" s="2" t="str">
        <f t="shared" si="43"/>
        <v>Q3</v>
      </c>
      <c r="D1326" s="2" t="s">
        <v>28</v>
      </c>
      <c r="E1326" s="11" t="s">
        <v>299</v>
      </c>
      <c r="F1326" s="11" t="s">
        <v>151</v>
      </c>
      <c r="G1326" s="11" t="s">
        <v>503</v>
      </c>
      <c r="H1326" s="11" t="s">
        <v>170</v>
      </c>
      <c r="I1326" s="12">
        <v>0.5</v>
      </c>
      <c r="J1326" s="12">
        <v>40</v>
      </c>
      <c r="K1326" s="12">
        <v>154.87</v>
      </c>
      <c r="L1326" s="12">
        <v>6194.8</v>
      </c>
      <c r="M1326" s="12">
        <v>0</v>
      </c>
      <c r="N1326" s="12">
        <v>-309.73985300000004</v>
      </c>
      <c r="O1326" s="12">
        <v>765.05781899999999</v>
      </c>
      <c r="P1326" s="12">
        <v>6650.1179659999998</v>
      </c>
    </row>
    <row r="1327" spans="1:16" ht="14.5" x14ac:dyDescent="0.25">
      <c r="A1327" s="10">
        <v>45944</v>
      </c>
      <c r="B1327" s="2" t="str">
        <f t="shared" si="42"/>
        <v>Oct-2025</v>
      </c>
      <c r="C1327" s="2" t="str">
        <f t="shared" si="43"/>
        <v>Q3</v>
      </c>
      <c r="D1327" s="2" t="s">
        <v>28</v>
      </c>
      <c r="E1327" s="11" t="s">
        <v>299</v>
      </c>
      <c r="F1327" s="11" t="s">
        <v>151</v>
      </c>
      <c r="G1327" s="11" t="s">
        <v>504</v>
      </c>
      <c r="H1327" s="11" t="s">
        <v>69</v>
      </c>
      <c r="I1327" s="12">
        <v>0.5</v>
      </c>
      <c r="J1327" s="12">
        <v>50</v>
      </c>
      <c r="K1327" s="12">
        <v>148.66999999999999</v>
      </c>
      <c r="L1327" s="12">
        <v>7433.5</v>
      </c>
      <c r="M1327" s="12">
        <v>0</v>
      </c>
      <c r="N1327" s="12">
        <v>-371.67482399999994</v>
      </c>
      <c r="O1327" s="12">
        <v>918.03727299999991</v>
      </c>
      <c r="P1327" s="12">
        <v>7979.8624490000002</v>
      </c>
    </row>
    <row r="1328" spans="1:16" ht="14.5" x14ac:dyDescent="0.25">
      <c r="A1328" s="10">
        <v>45944</v>
      </c>
      <c r="B1328" s="2" t="str">
        <f t="shared" si="42"/>
        <v>Oct-2025</v>
      </c>
      <c r="C1328" s="2" t="str">
        <f t="shared" si="43"/>
        <v>Q3</v>
      </c>
      <c r="D1328" s="2" t="s">
        <v>28</v>
      </c>
      <c r="E1328" s="11" t="s">
        <v>299</v>
      </c>
      <c r="F1328" s="11" t="s">
        <v>151</v>
      </c>
      <c r="G1328" s="11" t="s">
        <v>507</v>
      </c>
      <c r="H1328" s="11" t="s">
        <v>90</v>
      </c>
      <c r="I1328" s="12">
        <v>0.5</v>
      </c>
      <c r="J1328" s="12">
        <v>60</v>
      </c>
      <c r="K1328" s="12">
        <v>52.65</v>
      </c>
      <c r="L1328" s="12">
        <v>3159.0000000000005</v>
      </c>
      <c r="M1328" s="12">
        <v>0</v>
      </c>
      <c r="N1328" s="12">
        <v>-157.94992500000001</v>
      </c>
      <c r="O1328" s="12">
        <v>390.13650999999999</v>
      </c>
      <c r="P1328" s="12">
        <v>3391.1865849999999</v>
      </c>
    </row>
    <row r="1329" spans="1:16" ht="14.5" x14ac:dyDescent="0.25">
      <c r="A1329" s="10">
        <v>45944</v>
      </c>
      <c r="B1329" s="2" t="str">
        <f t="shared" si="42"/>
        <v>Oct-2025</v>
      </c>
      <c r="C1329" s="2" t="str">
        <f t="shared" si="43"/>
        <v>Q3</v>
      </c>
      <c r="D1329" s="2" t="s">
        <v>28</v>
      </c>
      <c r="E1329" s="11" t="s">
        <v>300</v>
      </c>
      <c r="F1329" s="11" t="s">
        <v>151</v>
      </c>
      <c r="G1329" s="11" t="s">
        <v>506</v>
      </c>
      <c r="H1329" s="11" t="s">
        <v>54</v>
      </c>
      <c r="I1329" s="12">
        <v>1</v>
      </c>
      <c r="J1329" s="12">
        <v>48</v>
      </c>
      <c r="K1329" s="12">
        <v>284.95999999999998</v>
      </c>
      <c r="L1329" s="12">
        <v>13678.08</v>
      </c>
      <c r="M1329" s="12">
        <v>0</v>
      </c>
      <c r="N1329" s="12">
        <v>-683.90353399999992</v>
      </c>
      <c r="O1329" s="12">
        <v>1689.2428239999999</v>
      </c>
      <c r="P1329" s="12">
        <v>14683.41929</v>
      </c>
    </row>
    <row r="1330" spans="1:16" ht="14.5" x14ac:dyDescent="0.25">
      <c r="A1330" s="10">
        <v>45944</v>
      </c>
      <c r="B1330" s="2" t="str">
        <f t="shared" si="42"/>
        <v>Oct-2025</v>
      </c>
      <c r="C1330" s="2" t="str">
        <f t="shared" si="43"/>
        <v>Q3</v>
      </c>
      <c r="D1330" s="2" t="s">
        <v>28</v>
      </c>
      <c r="E1330" s="11" t="s">
        <v>300</v>
      </c>
      <c r="F1330" s="11" t="s">
        <v>151</v>
      </c>
      <c r="G1330" s="11" t="s">
        <v>505</v>
      </c>
      <c r="H1330" s="11" t="s">
        <v>55</v>
      </c>
      <c r="I1330" s="12">
        <v>0.5</v>
      </c>
      <c r="J1330" s="12">
        <v>60</v>
      </c>
      <c r="K1330" s="12">
        <v>136.28</v>
      </c>
      <c r="L1330" s="12">
        <v>8176.8</v>
      </c>
      <c r="M1330" s="12">
        <v>0</v>
      </c>
      <c r="N1330" s="12">
        <v>-408.83972100000005</v>
      </c>
      <c r="O1330" s="12">
        <v>1009.8347670000001</v>
      </c>
      <c r="P1330" s="12">
        <v>8777.7950459999993</v>
      </c>
    </row>
    <row r="1331" spans="1:16" ht="14.5" x14ac:dyDescent="0.25">
      <c r="A1331" s="10">
        <v>45944</v>
      </c>
      <c r="B1331" s="2" t="str">
        <f t="shared" si="42"/>
        <v>Oct-2025</v>
      </c>
      <c r="C1331" s="2" t="str">
        <f t="shared" si="43"/>
        <v>Q3</v>
      </c>
      <c r="D1331" s="2" t="s">
        <v>28</v>
      </c>
      <c r="E1331" s="11" t="s">
        <v>300</v>
      </c>
      <c r="F1331" s="11" t="s">
        <v>151</v>
      </c>
      <c r="G1331" s="11" t="s">
        <v>507</v>
      </c>
      <c r="H1331" s="11" t="s">
        <v>60</v>
      </c>
      <c r="I1331" s="12">
        <v>1</v>
      </c>
      <c r="J1331" s="12">
        <v>60</v>
      </c>
      <c r="K1331" s="12">
        <v>89.82</v>
      </c>
      <c r="L1331" s="12">
        <v>5389.2</v>
      </c>
      <c r="M1331" s="12">
        <v>0</v>
      </c>
      <c r="N1331" s="12">
        <v>-269.45981599999999</v>
      </c>
      <c r="O1331" s="12">
        <v>665.56617800000004</v>
      </c>
      <c r="P1331" s="12">
        <v>5785.3063620000003</v>
      </c>
    </row>
    <row r="1332" spans="1:16" ht="14.5" x14ac:dyDescent="0.25">
      <c r="A1332" s="10">
        <v>45944</v>
      </c>
      <c r="B1332" s="2" t="str">
        <f t="shared" si="42"/>
        <v>Oct-2025</v>
      </c>
      <c r="C1332" s="2" t="str">
        <f t="shared" si="43"/>
        <v>Q3</v>
      </c>
      <c r="D1332" s="2" t="s">
        <v>28</v>
      </c>
      <c r="E1332" s="11" t="s">
        <v>300</v>
      </c>
      <c r="F1332" s="11" t="s">
        <v>151</v>
      </c>
      <c r="G1332" s="11" t="s">
        <v>505</v>
      </c>
      <c r="H1332" s="11" t="s">
        <v>56</v>
      </c>
      <c r="I1332" s="12">
        <v>0.5</v>
      </c>
      <c r="J1332" s="12">
        <v>60</v>
      </c>
      <c r="K1332" s="12">
        <v>46.46</v>
      </c>
      <c r="L1332" s="12">
        <v>2787.6</v>
      </c>
      <c r="M1332" s="12">
        <v>0</v>
      </c>
      <c r="N1332" s="12">
        <v>-139.37990500000001</v>
      </c>
      <c r="O1332" s="12">
        <v>344.26858900000002</v>
      </c>
      <c r="P1332" s="12">
        <v>2992.4886839999999</v>
      </c>
    </row>
    <row r="1333" spans="1:16" ht="14.5" x14ac:dyDescent="0.25">
      <c r="A1333" s="10">
        <v>45944</v>
      </c>
      <c r="B1333" s="2" t="str">
        <f t="shared" si="42"/>
        <v>Oct-2025</v>
      </c>
      <c r="C1333" s="2" t="str">
        <f t="shared" si="43"/>
        <v>Q3</v>
      </c>
      <c r="D1333" s="2" t="s">
        <v>28</v>
      </c>
      <c r="E1333" s="11" t="s">
        <v>300</v>
      </c>
      <c r="F1333" s="11" t="s">
        <v>151</v>
      </c>
      <c r="G1333" s="11" t="s">
        <v>505</v>
      </c>
      <c r="H1333" s="11" t="s">
        <v>50</v>
      </c>
      <c r="I1333" s="12">
        <v>0.5</v>
      </c>
      <c r="J1333" s="12">
        <v>40</v>
      </c>
      <c r="K1333" s="12">
        <v>154.87</v>
      </c>
      <c r="L1333" s="12">
        <v>6194.8</v>
      </c>
      <c r="M1333" s="12">
        <v>0</v>
      </c>
      <c r="N1333" s="12">
        <v>-309.73978900000003</v>
      </c>
      <c r="O1333" s="12">
        <v>765.05777499999999</v>
      </c>
      <c r="P1333" s="12">
        <v>6650.1179860000002</v>
      </c>
    </row>
    <row r="1334" spans="1:16" ht="14.5" x14ac:dyDescent="0.25">
      <c r="A1334" s="10">
        <v>45944</v>
      </c>
      <c r="B1334" s="2" t="str">
        <f t="shared" si="42"/>
        <v>Oct-2025</v>
      </c>
      <c r="C1334" s="2" t="str">
        <f t="shared" si="43"/>
        <v>Q3</v>
      </c>
      <c r="D1334" s="2" t="s">
        <v>28</v>
      </c>
      <c r="E1334" s="11" t="s">
        <v>300</v>
      </c>
      <c r="F1334" s="11" t="s">
        <v>151</v>
      </c>
      <c r="G1334" s="11" t="s">
        <v>503</v>
      </c>
      <c r="H1334" s="11" t="s">
        <v>176</v>
      </c>
      <c r="I1334" s="12">
        <v>0.5</v>
      </c>
      <c r="J1334" s="12">
        <v>60</v>
      </c>
      <c r="K1334" s="12">
        <v>145.58000000000001</v>
      </c>
      <c r="L1334" s="12">
        <v>8734.7999999999993</v>
      </c>
      <c r="M1334" s="12">
        <v>0</v>
      </c>
      <c r="N1334" s="12">
        <v>-436.73970199999997</v>
      </c>
      <c r="O1334" s="12">
        <v>1078.747764</v>
      </c>
      <c r="P1334" s="12">
        <v>9376.8080620000001</v>
      </c>
    </row>
    <row r="1335" spans="1:16" ht="14.5" x14ac:dyDescent="0.25">
      <c r="A1335" s="10">
        <v>45944</v>
      </c>
      <c r="B1335" s="2" t="str">
        <f t="shared" si="42"/>
        <v>Oct-2025</v>
      </c>
      <c r="C1335" s="2" t="str">
        <f t="shared" si="43"/>
        <v>Q3</v>
      </c>
      <c r="D1335" s="2" t="s">
        <v>28</v>
      </c>
      <c r="E1335" s="11" t="s">
        <v>300</v>
      </c>
      <c r="F1335" s="11" t="s">
        <v>151</v>
      </c>
      <c r="G1335" s="11" t="s">
        <v>504</v>
      </c>
      <c r="H1335" s="11" t="s">
        <v>68</v>
      </c>
      <c r="I1335" s="12">
        <v>1</v>
      </c>
      <c r="J1335" s="12">
        <v>40</v>
      </c>
      <c r="K1335" s="12">
        <v>238.5</v>
      </c>
      <c r="L1335" s="12">
        <v>9539.9999999999982</v>
      </c>
      <c r="M1335" s="12">
        <v>0</v>
      </c>
      <c r="N1335" s="12">
        <v>-476.99967500000002</v>
      </c>
      <c r="O1335" s="12">
        <v>1178.189961</v>
      </c>
      <c r="P1335" s="12">
        <v>10241.190285999999</v>
      </c>
    </row>
    <row r="1336" spans="1:16" ht="14.5" x14ac:dyDescent="0.25">
      <c r="A1336" s="10">
        <v>45944</v>
      </c>
      <c r="B1336" s="2" t="str">
        <f t="shared" si="42"/>
        <v>Oct-2025</v>
      </c>
      <c r="C1336" s="2" t="str">
        <f t="shared" si="43"/>
        <v>Q3</v>
      </c>
      <c r="D1336" s="2" t="s">
        <v>28</v>
      </c>
      <c r="E1336" s="11" t="s">
        <v>300</v>
      </c>
      <c r="F1336" s="11" t="s">
        <v>151</v>
      </c>
      <c r="G1336" s="11" t="s">
        <v>503</v>
      </c>
      <c r="H1336" s="11" t="s">
        <v>166</v>
      </c>
      <c r="I1336" s="12">
        <v>0.5</v>
      </c>
      <c r="J1336" s="12">
        <v>60</v>
      </c>
      <c r="K1336" s="12">
        <v>58.85</v>
      </c>
      <c r="L1336" s="12">
        <v>3531.0000000000005</v>
      </c>
      <c r="M1336" s="12">
        <v>0</v>
      </c>
      <c r="N1336" s="12">
        <v>-176.54988</v>
      </c>
      <c r="O1336" s="12">
        <v>436.078486</v>
      </c>
      <c r="P1336" s="12">
        <v>3790.5286059999999</v>
      </c>
    </row>
    <row r="1337" spans="1:16" ht="14.5" x14ac:dyDescent="0.25">
      <c r="A1337" s="10">
        <v>45944</v>
      </c>
      <c r="B1337" s="2" t="str">
        <f t="shared" si="42"/>
        <v>Oct-2025</v>
      </c>
      <c r="C1337" s="2" t="str">
        <f t="shared" si="43"/>
        <v>Q3</v>
      </c>
      <c r="D1337" s="2" t="s">
        <v>28</v>
      </c>
      <c r="E1337" s="11" t="s">
        <v>300</v>
      </c>
      <c r="F1337" s="11" t="s">
        <v>151</v>
      </c>
      <c r="G1337" s="11" t="s">
        <v>503</v>
      </c>
      <c r="H1337" s="11" t="s">
        <v>177</v>
      </c>
      <c r="I1337" s="12">
        <v>0.33</v>
      </c>
      <c r="J1337" s="12">
        <v>40</v>
      </c>
      <c r="K1337" s="12">
        <v>86.73</v>
      </c>
      <c r="L1337" s="12">
        <v>3469.2</v>
      </c>
      <c r="M1337" s="12">
        <v>0</v>
      </c>
      <c r="N1337" s="12">
        <v>-173.45988199999999</v>
      </c>
      <c r="O1337" s="12">
        <v>428.44618600000001</v>
      </c>
      <c r="P1337" s="12">
        <v>3724.1863039999998</v>
      </c>
    </row>
    <row r="1338" spans="1:16" ht="14.5" x14ac:dyDescent="0.25">
      <c r="A1338" s="10">
        <v>45944</v>
      </c>
      <c r="B1338" s="2" t="str">
        <f t="shared" si="42"/>
        <v>Oct-2025</v>
      </c>
      <c r="C1338" s="2" t="str">
        <f t="shared" si="43"/>
        <v>Q3</v>
      </c>
      <c r="D1338" s="2" t="s">
        <v>28</v>
      </c>
      <c r="E1338" s="11" t="s">
        <v>300</v>
      </c>
      <c r="F1338" s="11" t="s">
        <v>151</v>
      </c>
      <c r="G1338" s="11" t="s">
        <v>503</v>
      </c>
      <c r="H1338" s="11" t="s">
        <v>190</v>
      </c>
      <c r="I1338" s="12">
        <v>0.5</v>
      </c>
      <c r="J1338" s="12">
        <v>90</v>
      </c>
      <c r="K1338" s="12">
        <v>74.34</v>
      </c>
      <c r="L1338" s="12">
        <v>6690.5999999999995</v>
      </c>
      <c r="M1338" s="12">
        <v>0</v>
      </c>
      <c r="N1338" s="12">
        <v>-334.52977200000004</v>
      </c>
      <c r="O1338" s="12">
        <v>826.28907300000003</v>
      </c>
      <c r="P1338" s="12">
        <v>7182.3593010000004</v>
      </c>
    </row>
    <row r="1339" spans="1:16" ht="14.5" x14ac:dyDescent="0.25">
      <c r="A1339" s="10">
        <v>45944</v>
      </c>
      <c r="B1339" s="2" t="str">
        <f t="shared" si="42"/>
        <v>Oct-2025</v>
      </c>
      <c r="C1339" s="2" t="str">
        <f t="shared" si="43"/>
        <v>Q3</v>
      </c>
      <c r="D1339" s="2" t="s">
        <v>28</v>
      </c>
      <c r="E1339" s="11" t="s">
        <v>300</v>
      </c>
      <c r="F1339" s="11" t="s">
        <v>151</v>
      </c>
      <c r="G1339" s="11" t="s">
        <v>505</v>
      </c>
      <c r="H1339" s="11" t="s">
        <v>43</v>
      </c>
      <c r="I1339" s="12">
        <v>1</v>
      </c>
      <c r="J1339" s="12">
        <v>40</v>
      </c>
      <c r="K1339" s="12">
        <v>260.18</v>
      </c>
      <c r="L1339" s="12">
        <v>10407.199999999999</v>
      </c>
      <c r="M1339" s="12">
        <v>0</v>
      </c>
      <c r="N1339" s="12">
        <v>-520.359646</v>
      </c>
      <c r="O1339" s="12">
        <v>1285.2891569999999</v>
      </c>
      <c r="P1339" s="12">
        <v>11172.129510999999</v>
      </c>
    </row>
    <row r="1340" spans="1:16" ht="14.5" x14ac:dyDescent="0.25">
      <c r="A1340" s="10">
        <v>45944</v>
      </c>
      <c r="B1340" s="2" t="str">
        <f t="shared" si="42"/>
        <v>Oct-2025</v>
      </c>
      <c r="C1340" s="2" t="str">
        <f t="shared" si="43"/>
        <v>Q3</v>
      </c>
      <c r="D1340" s="2" t="s">
        <v>28</v>
      </c>
      <c r="E1340" s="11" t="s">
        <v>300</v>
      </c>
      <c r="F1340" s="11" t="s">
        <v>151</v>
      </c>
      <c r="G1340" s="11" t="s">
        <v>506</v>
      </c>
      <c r="H1340" s="11" t="s">
        <v>39</v>
      </c>
      <c r="I1340" s="12">
        <v>1</v>
      </c>
      <c r="J1340" s="12">
        <v>72</v>
      </c>
      <c r="K1340" s="12">
        <v>120.8</v>
      </c>
      <c r="L1340" s="12">
        <v>8697.6</v>
      </c>
      <c r="M1340" s="12">
        <v>0</v>
      </c>
      <c r="N1340" s="12">
        <v>-434.87970400000006</v>
      </c>
      <c r="O1340" s="12">
        <v>1074.153564</v>
      </c>
      <c r="P1340" s="12">
        <v>9336.8738599999997</v>
      </c>
    </row>
    <row r="1341" spans="1:16" ht="14.5" x14ac:dyDescent="0.25">
      <c r="A1341" s="10">
        <v>45944</v>
      </c>
      <c r="B1341" s="2" t="str">
        <f t="shared" si="42"/>
        <v>Oct-2025</v>
      </c>
      <c r="C1341" s="2" t="str">
        <f t="shared" si="43"/>
        <v>Q3</v>
      </c>
      <c r="D1341" s="2" t="s">
        <v>28</v>
      </c>
      <c r="E1341" s="11" t="s">
        <v>300</v>
      </c>
      <c r="F1341" s="11" t="s">
        <v>151</v>
      </c>
      <c r="G1341" s="11" t="s">
        <v>505</v>
      </c>
      <c r="H1341" s="11" t="s">
        <v>167</v>
      </c>
      <c r="I1341" s="12">
        <v>0.5</v>
      </c>
      <c r="J1341" s="12">
        <v>90</v>
      </c>
      <c r="K1341" s="12">
        <v>83.63</v>
      </c>
      <c r="L1341" s="12">
        <v>7526.7</v>
      </c>
      <c r="M1341" s="12">
        <v>0</v>
      </c>
      <c r="N1341" s="12">
        <v>-376.33474400000006</v>
      </c>
      <c r="O1341" s="12">
        <v>929.54741899999999</v>
      </c>
      <c r="P1341" s="12">
        <v>8079.9126749999996</v>
      </c>
    </row>
    <row r="1342" spans="1:16" ht="14.5" x14ac:dyDescent="0.25">
      <c r="A1342" s="10">
        <v>45944</v>
      </c>
      <c r="B1342" s="2" t="str">
        <f t="shared" si="42"/>
        <v>Oct-2025</v>
      </c>
      <c r="C1342" s="2" t="str">
        <f t="shared" si="43"/>
        <v>Q3</v>
      </c>
      <c r="D1342" s="2" t="s">
        <v>28</v>
      </c>
      <c r="E1342" s="11" t="s">
        <v>300</v>
      </c>
      <c r="F1342" s="11" t="s">
        <v>151</v>
      </c>
      <c r="G1342" s="11" t="s">
        <v>506</v>
      </c>
      <c r="H1342" s="11" t="s">
        <v>189</v>
      </c>
      <c r="I1342" s="12">
        <v>0.5</v>
      </c>
      <c r="J1342" s="12">
        <v>50</v>
      </c>
      <c r="K1342" s="12">
        <v>65.040000000000006</v>
      </c>
      <c r="L1342" s="12">
        <v>3252</v>
      </c>
      <c r="M1342" s="12">
        <v>0</v>
      </c>
      <c r="N1342" s="12">
        <v>-162.59988899999999</v>
      </c>
      <c r="O1342" s="12">
        <v>401.62198699999999</v>
      </c>
      <c r="P1342" s="12">
        <v>3491.0220979999999</v>
      </c>
    </row>
    <row r="1343" spans="1:16" ht="14.5" x14ac:dyDescent="0.25">
      <c r="A1343" s="10">
        <v>45944</v>
      </c>
      <c r="B1343" s="2" t="str">
        <f t="shared" si="42"/>
        <v>Oct-2025</v>
      </c>
      <c r="C1343" s="2" t="str">
        <f t="shared" si="43"/>
        <v>Q3</v>
      </c>
      <c r="D1343" s="2" t="s">
        <v>28</v>
      </c>
      <c r="E1343" s="11" t="s">
        <v>300</v>
      </c>
      <c r="F1343" s="11" t="s">
        <v>151</v>
      </c>
      <c r="G1343" s="11" t="s">
        <v>503</v>
      </c>
      <c r="H1343" s="11" t="s">
        <v>42</v>
      </c>
      <c r="I1343" s="12">
        <v>0.5</v>
      </c>
      <c r="J1343" s="12">
        <v>60</v>
      </c>
      <c r="K1343" s="12">
        <v>130.09</v>
      </c>
      <c r="L1343" s="12">
        <v>7805.4000000000005</v>
      </c>
      <c r="M1343" s="12">
        <v>0</v>
      </c>
      <c r="N1343" s="12">
        <v>-390.26973399999997</v>
      </c>
      <c r="O1343" s="12">
        <v>963.96686800000009</v>
      </c>
      <c r="P1343" s="12">
        <v>8379.0971339999996</v>
      </c>
    </row>
    <row r="1344" spans="1:16" ht="14.5" x14ac:dyDescent="0.25">
      <c r="A1344" s="10">
        <v>45944</v>
      </c>
      <c r="B1344" s="2" t="str">
        <f t="shared" si="42"/>
        <v>Oct-2025</v>
      </c>
      <c r="C1344" s="2" t="str">
        <f t="shared" si="43"/>
        <v>Q3</v>
      </c>
      <c r="D1344" s="2" t="s">
        <v>28</v>
      </c>
      <c r="E1344" s="11" t="s">
        <v>300</v>
      </c>
      <c r="F1344" s="11" t="s">
        <v>151</v>
      </c>
      <c r="G1344" s="11" t="s">
        <v>503</v>
      </c>
      <c r="H1344" s="11" t="s">
        <v>174</v>
      </c>
      <c r="I1344" s="12">
        <v>0.5</v>
      </c>
      <c r="J1344" s="12">
        <v>90</v>
      </c>
      <c r="K1344" s="12">
        <v>76.81</v>
      </c>
      <c r="L1344" s="12">
        <v>6912.9000000000005</v>
      </c>
      <c r="M1344" s="12">
        <v>0</v>
      </c>
      <c r="N1344" s="12">
        <v>-345.64476500000001</v>
      </c>
      <c r="O1344" s="12">
        <v>853.74312200000008</v>
      </c>
      <c r="P1344" s="12">
        <v>7420.9983570000004</v>
      </c>
    </row>
    <row r="1345" spans="1:16" ht="14.5" x14ac:dyDescent="0.25">
      <c r="A1345" s="10">
        <v>45944</v>
      </c>
      <c r="B1345" s="2" t="str">
        <f t="shared" si="42"/>
        <v>Oct-2025</v>
      </c>
      <c r="C1345" s="2" t="str">
        <f t="shared" si="43"/>
        <v>Q3</v>
      </c>
      <c r="D1345" s="2" t="s">
        <v>28</v>
      </c>
      <c r="E1345" s="11" t="s">
        <v>300</v>
      </c>
      <c r="F1345" s="11" t="s">
        <v>151</v>
      </c>
      <c r="G1345" s="11" t="s">
        <v>503</v>
      </c>
      <c r="H1345" s="11" t="s">
        <v>173</v>
      </c>
      <c r="I1345" s="12">
        <v>0.5</v>
      </c>
      <c r="J1345" s="12">
        <v>60</v>
      </c>
      <c r="K1345" s="12">
        <v>77.430000000000007</v>
      </c>
      <c r="L1345" s="12">
        <v>4645.8</v>
      </c>
      <c r="M1345" s="12">
        <v>0</v>
      </c>
      <c r="N1345" s="12">
        <v>-232.28984199999999</v>
      </c>
      <c r="O1345" s="12">
        <v>573.75628100000006</v>
      </c>
      <c r="P1345" s="12">
        <v>4987.266439</v>
      </c>
    </row>
    <row r="1346" spans="1:16" ht="14.5" x14ac:dyDescent="0.25">
      <c r="A1346" s="10">
        <v>45944</v>
      </c>
      <c r="B1346" s="2" t="str">
        <f t="shared" si="42"/>
        <v>Oct-2025</v>
      </c>
      <c r="C1346" s="2" t="str">
        <f t="shared" si="43"/>
        <v>Q3</v>
      </c>
      <c r="D1346" s="2" t="s">
        <v>28</v>
      </c>
      <c r="E1346" s="11" t="s">
        <v>301</v>
      </c>
      <c r="F1346" s="11" t="s">
        <v>151</v>
      </c>
      <c r="G1346" s="11" t="s">
        <v>503</v>
      </c>
      <c r="H1346" s="11" t="s">
        <v>87</v>
      </c>
      <c r="I1346" s="12">
        <v>0.17</v>
      </c>
      <c r="J1346" s="12">
        <v>30</v>
      </c>
      <c r="K1346" s="12">
        <v>105.31</v>
      </c>
      <c r="L1346" s="12">
        <v>3159.2999999999997</v>
      </c>
      <c r="M1346" s="12">
        <v>0</v>
      </c>
      <c r="N1346" s="12">
        <v>-157.964913</v>
      </c>
      <c r="O1346" s="12">
        <v>390.17361</v>
      </c>
      <c r="P1346" s="12">
        <v>3391.5086970000002</v>
      </c>
    </row>
    <row r="1347" spans="1:16" ht="14.5" x14ac:dyDescent="0.25">
      <c r="A1347" s="10">
        <v>45944</v>
      </c>
      <c r="B1347" s="2" t="str">
        <f t="shared" si="42"/>
        <v>Oct-2025</v>
      </c>
      <c r="C1347" s="2" t="str">
        <f t="shared" si="43"/>
        <v>Q3</v>
      </c>
      <c r="D1347" s="2" t="s">
        <v>28</v>
      </c>
      <c r="E1347" s="11" t="s">
        <v>301</v>
      </c>
      <c r="F1347" s="11" t="s">
        <v>151</v>
      </c>
      <c r="G1347" s="11" t="s">
        <v>503</v>
      </c>
      <c r="H1347" s="11" t="s">
        <v>180</v>
      </c>
      <c r="I1347" s="12">
        <v>0.38</v>
      </c>
      <c r="J1347" s="12">
        <v>30</v>
      </c>
      <c r="K1347" s="12">
        <v>130.09</v>
      </c>
      <c r="L1347" s="12">
        <v>3902.7000000000003</v>
      </c>
      <c r="M1347" s="12">
        <v>0</v>
      </c>
      <c r="N1347" s="12">
        <v>-195.13489200000001</v>
      </c>
      <c r="O1347" s="12">
        <v>481.98352399999999</v>
      </c>
      <c r="P1347" s="12">
        <v>4189.548632</v>
      </c>
    </row>
    <row r="1348" spans="1:16" ht="14.5" x14ac:dyDescent="0.25">
      <c r="A1348" s="10">
        <v>45944</v>
      </c>
      <c r="B1348" s="2" t="str">
        <f t="shared" si="42"/>
        <v>Oct-2025</v>
      </c>
      <c r="C1348" s="2" t="str">
        <f t="shared" si="43"/>
        <v>Q3</v>
      </c>
      <c r="D1348" s="2" t="s">
        <v>28</v>
      </c>
      <c r="E1348" s="11" t="s">
        <v>301</v>
      </c>
      <c r="F1348" s="11" t="s">
        <v>151</v>
      </c>
      <c r="G1348" s="11" t="s">
        <v>505</v>
      </c>
      <c r="H1348" s="11" t="s">
        <v>56</v>
      </c>
      <c r="I1348" s="12">
        <v>0.25</v>
      </c>
      <c r="J1348" s="12">
        <v>30</v>
      </c>
      <c r="K1348" s="12">
        <v>46.46</v>
      </c>
      <c r="L1348" s="12">
        <v>1393.8</v>
      </c>
      <c r="M1348" s="12">
        <v>0</v>
      </c>
      <c r="N1348" s="12">
        <v>-69.689960999999997</v>
      </c>
      <c r="O1348" s="12">
        <v>172.13432700000001</v>
      </c>
      <c r="P1348" s="12">
        <v>1496.2443659999999</v>
      </c>
    </row>
    <row r="1349" spans="1:16" ht="14.5" x14ac:dyDescent="0.25">
      <c r="A1349" s="10">
        <v>45944</v>
      </c>
      <c r="B1349" s="2" t="str">
        <f t="shared" si="42"/>
        <v>Oct-2025</v>
      </c>
      <c r="C1349" s="2" t="str">
        <f t="shared" si="43"/>
        <v>Q3</v>
      </c>
      <c r="D1349" s="2" t="s">
        <v>28</v>
      </c>
      <c r="E1349" s="11" t="s">
        <v>301</v>
      </c>
      <c r="F1349" s="11" t="s">
        <v>151</v>
      </c>
      <c r="G1349" s="11" t="s">
        <v>503</v>
      </c>
      <c r="H1349" s="11" t="s">
        <v>175</v>
      </c>
      <c r="I1349" s="12">
        <v>0.25</v>
      </c>
      <c r="J1349" s="12">
        <v>30</v>
      </c>
      <c r="K1349" s="12">
        <v>71.239999999999995</v>
      </c>
      <c r="L1349" s="12">
        <v>2137.1999999999998</v>
      </c>
      <c r="M1349" s="12">
        <v>0</v>
      </c>
      <c r="N1349" s="12">
        <v>-106.85994099999999</v>
      </c>
      <c r="O1349" s="12">
        <v>263.94424099999998</v>
      </c>
      <c r="P1349" s="12">
        <v>2294.2842999999998</v>
      </c>
    </row>
    <row r="1350" spans="1:16" ht="14.5" x14ac:dyDescent="0.25">
      <c r="A1350" s="10">
        <v>45944</v>
      </c>
      <c r="B1350" s="2" t="str">
        <f t="shared" si="42"/>
        <v>Oct-2025</v>
      </c>
      <c r="C1350" s="2" t="str">
        <f t="shared" si="43"/>
        <v>Q3</v>
      </c>
      <c r="D1350" s="2" t="s">
        <v>28</v>
      </c>
      <c r="E1350" s="11" t="s">
        <v>301</v>
      </c>
      <c r="F1350" s="11" t="s">
        <v>151</v>
      </c>
      <c r="G1350" s="11" t="s">
        <v>503</v>
      </c>
      <c r="H1350" s="11" t="s">
        <v>170</v>
      </c>
      <c r="I1350" s="12">
        <v>0.38</v>
      </c>
      <c r="J1350" s="12">
        <v>30</v>
      </c>
      <c r="K1350" s="12">
        <v>154.87</v>
      </c>
      <c r="L1350" s="12">
        <v>4646.0999999999995</v>
      </c>
      <c r="M1350" s="12">
        <v>0</v>
      </c>
      <c r="N1350" s="12">
        <v>-232.30487199999999</v>
      </c>
      <c r="O1350" s="12">
        <v>573.79343900000003</v>
      </c>
      <c r="P1350" s="12">
        <v>4987.5885669999998</v>
      </c>
    </row>
    <row r="1351" spans="1:16" ht="14.5" x14ac:dyDescent="0.25">
      <c r="A1351" s="10">
        <v>45944</v>
      </c>
      <c r="B1351" s="2" t="str">
        <f t="shared" si="42"/>
        <v>Oct-2025</v>
      </c>
      <c r="C1351" s="2" t="str">
        <f t="shared" si="43"/>
        <v>Q3</v>
      </c>
      <c r="D1351" s="2" t="s">
        <v>28</v>
      </c>
      <c r="E1351" s="11" t="s">
        <v>301</v>
      </c>
      <c r="F1351" s="11" t="s">
        <v>151</v>
      </c>
      <c r="G1351" s="11" t="s">
        <v>504</v>
      </c>
      <c r="H1351" s="11" t="s">
        <v>69</v>
      </c>
      <c r="I1351" s="12">
        <v>0.6</v>
      </c>
      <c r="J1351" s="12">
        <v>60</v>
      </c>
      <c r="K1351" s="12">
        <v>148.66999999999999</v>
      </c>
      <c r="L1351" s="12">
        <v>8920.1999999999989</v>
      </c>
      <c r="M1351" s="12">
        <v>0</v>
      </c>
      <c r="N1351" s="12">
        <v>-446.00975400000004</v>
      </c>
      <c r="O1351" s="12">
        <v>1101.6448700000001</v>
      </c>
      <c r="P1351" s="12">
        <v>9575.8351160000002</v>
      </c>
    </row>
    <row r="1352" spans="1:16" ht="14.5" x14ac:dyDescent="0.25">
      <c r="A1352" s="10">
        <v>45944</v>
      </c>
      <c r="B1352" s="2" t="str">
        <f t="shared" si="42"/>
        <v>Oct-2025</v>
      </c>
      <c r="C1352" s="2" t="str">
        <f t="shared" si="43"/>
        <v>Q3</v>
      </c>
      <c r="D1352" s="2" t="s">
        <v>28</v>
      </c>
      <c r="E1352" s="11" t="s">
        <v>301</v>
      </c>
      <c r="F1352" s="11" t="s">
        <v>151</v>
      </c>
      <c r="G1352" s="11" t="s">
        <v>505</v>
      </c>
      <c r="H1352" s="11" t="s">
        <v>62</v>
      </c>
      <c r="I1352" s="12">
        <v>0.75</v>
      </c>
      <c r="J1352" s="12">
        <v>30</v>
      </c>
      <c r="K1352" s="12">
        <v>402.65</v>
      </c>
      <c r="L1352" s="12">
        <v>12079.499999999998</v>
      </c>
      <c r="M1352" s="12">
        <v>0</v>
      </c>
      <c r="N1352" s="12">
        <v>-603.97466599999996</v>
      </c>
      <c r="O1352" s="12">
        <v>1491.8184800000001</v>
      </c>
      <c r="P1352" s="12">
        <v>12967.343814</v>
      </c>
    </row>
    <row r="1353" spans="1:16" ht="14.5" x14ac:dyDescent="0.25">
      <c r="A1353" s="10">
        <v>45944</v>
      </c>
      <c r="B1353" s="2" t="str">
        <f t="shared" si="42"/>
        <v>Oct-2025</v>
      </c>
      <c r="C1353" s="2" t="str">
        <f t="shared" si="43"/>
        <v>Q3</v>
      </c>
      <c r="D1353" s="2" t="s">
        <v>28</v>
      </c>
      <c r="E1353" s="11" t="s">
        <v>301</v>
      </c>
      <c r="F1353" s="11" t="s">
        <v>151</v>
      </c>
      <c r="G1353" s="11" t="s">
        <v>507</v>
      </c>
      <c r="H1353" s="11" t="s">
        <v>90</v>
      </c>
      <c r="I1353" s="12">
        <v>0.31</v>
      </c>
      <c r="J1353" s="12">
        <v>37</v>
      </c>
      <c r="K1353" s="12">
        <v>52.65</v>
      </c>
      <c r="L1353" s="12">
        <v>1948.05</v>
      </c>
      <c r="M1353" s="12">
        <v>0</v>
      </c>
      <c r="N1353" s="12">
        <v>-97.402446000000012</v>
      </c>
      <c r="O1353" s="12">
        <v>240.58421199999998</v>
      </c>
      <c r="P1353" s="12">
        <v>2091.2317659999999</v>
      </c>
    </row>
    <row r="1354" spans="1:16" ht="14.5" x14ac:dyDescent="0.25">
      <c r="A1354" s="10">
        <v>45944</v>
      </c>
      <c r="B1354" s="2" t="str">
        <f t="shared" si="42"/>
        <v>Oct-2025</v>
      </c>
      <c r="C1354" s="2" t="str">
        <f t="shared" si="43"/>
        <v>Q3</v>
      </c>
      <c r="D1354" s="2" t="s">
        <v>28</v>
      </c>
      <c r="E1354" s="11" t="s">
        <v>301</v>
      </c>
      <c r="F1354" s="11" t="s">
        <v>151</v>
      </c>
      <c r="G1354" s="11" t="s">
        <v>503</v>
      </c>
      <c r="H1354" s="11" t="s">
        <v>57</v>
      </c>
      <c r="I1354" s="12">
        <v>0.22</v>
      </c>
      <c r="J1354" s="12">
        <v>40</v>
      </c>
      <c r="K1354" s="12">
        <v>108.41</v>
      </c>
      <c r="L1354" s="12">
        <v>4336.3999999999996</v>
      </c>
      <c r="M1354" s="12">
        <v>0</v>
      </c>
      <c r="N1354" s="12">
        <v>-216.81988000000001</v>
      </c>
      <c r="O1354" s="12">
        <v>535.54548299999999</v>
      </c>
      <c r="P1354" s="12">
        <v>4655.1256030000004</v>
      </c>
    </row>
    <row r="1355" spans="1:16" ht="14.5" x14ac:dyDescent="0.25">
      <c r="A1355" s="10">
        <v>45944</v>
      </c>
      <c r="B1355" s="2" t="str">
        <f t="shared" si="42"/>
        <v>Oct-2025</v>
      </c>
      <c r="C1355" s="2" t="str">
        <f t="shared" si="43"/>
        <v>Q3</v>
      </c>
      <c r="D1355" s="2" t="s">
        <v>28</v>
      </c>
      <c r="E1355" s="11" t="s">
        <v>301</v>
      </c>
      <c r="F1355" s="11" t="s">
        <v>151</v>
      </c>
      <c r="G1355" s="11" t="s">
        <v>503</v>
      </c>
      <c r="H1355" s="11" t="s">
        <v>172</v>
      </c>
      <c r="I1355" s="12">
        <v>0.17</v>
      </c>
      <c r="J1355" s="12">
        <v>30</v>
      </c>
      <c r="K1355" s="12">
        <v>89.82</v>
      </c>
      <c r="L1355" s="12">
        <v>2694.6</v>
      </c>
      <c r="M1355" s="12">
        <v>0</v>
      </c>
      <c r="N1355" s="12">
        <v>-134.72992600000001</v>
      </c>
      <c r="O1355" s="12">
        <v>332.78315100000003</v>
      </c>
      <c r="P1355" s="12">
        <v>2892.653225</v>
      </c>
    </row>
    <row r="1356" spans="1:16" ht="14.5" x14ac:dyDescent="0.25">
      <c r="A1356" s="10">
        <v>45944</v>
      </c>
      <c r="B1356" s="2" t="str">
        <f t="shared" si="42"/>
        <v>Oct-2025</v>
      </c>
      <c r="C1356" s="2" t="str">
        <f t="shared" si="43"/>
        <v>Q3</v>
      </c>
      <c r="D1356" s="2" t="s">
        <v>28</v>
      </c>
      <c r="E1356" s="11" t="s">
        <v>301</v>
      </c>
      <c r="F1356" s="11" t="s">
        <v>151</v>
      </c>
      <c r="G1356" s="11" t="s">
        <v>503</v>
      </c>
      <c r="H1356" s="11" t="s">
        <v>44</v>
      </c>
      <c r="I1356" s="12">
        <v>0.22</v>
      </c>
      <c r="J1356" s="12">
        <v>40</v>
      </c>
      <c r="K1356" s="12">
        <v>142.47999999999999</v>
      </c>
      <c r="L1356" s="12">
        <v>5699.2</v>
      </c>
      <c r="M1356" s="12">
        <v>0</v>
      </c>
      <c r="N1356" s="12">
        <v>-284.95984299999998</v>
      </c>
      <c r="O1356" s="12">
        <v>703.85130900000001</v>
      </c>
      <c r="P1356" s="12">
        <v>6118.0914659999999</v>
      </c>
    </row>
    <row r="1357" spans="1:16" ht="14.5" x14ac:dyDescent="0.25">
      <c r="A1357" s="10">
        <v>45944</v>
      </c>
      <c r="B1357" s="2" t="str">
        <f t="shared" si="42"/>
        <v>Oct-2025</v>
      </c>
      <c r="C1357" s="2" t="str">
        <f t="shared" si="43"/>
        <v>Q3</v>
      </c>
      <c r="D1357" s="2" t="s">
        <v>28</v>
      </c>
      <c r="E1357" s="11" t="s">
        <v>301</v>
      </c>
      <c r="F1357" s="11" t="s">
        <v>151</v>
      </c>
      <c r="G1357" s="11" t="s">
        <v>503</v>
      </c>
      <c r="H1357" s="11" t="s">
        <v>171</v>
      </c>
      <c r="I1357" s="12">
        <v>0.5</v>
      </c>
      <c r="J1357" s="12">
        <v>40</v>
      </c>
      <c r="K1357" s="12">
        <v>142.47999999999999</v>
      </c>
      <c r="L1357" s="12">
        <v>5699.2</v>
      </c>
      <c r="M1357" s="12">
        <v>0</v>
      </c>
      <c r="N1357" s="12">
        <v>-284.95984299999998</v>
      </c>
      <c r="O1357" s="12">
        <v>703.85130900000001</v>
      </c>
      <c r="P1357" s="12">
        <v>6118.0914659999999</v>
      </c>
    </row>
    <row r="1358" spans="1:16" ht="14.5" x14ac:dyDescent="0.25">
      <c r="A1358" s="10">
        <v>45944</v>
      </c>
      <c r="B1358" s="2" t="str">
        <f t="shared" si="42"/>
        <v>Oct-2025</v>
      </c>
      <c r="C1358" s="2" t="str">
        <f t="shared" si="43"/>
        <v>Q3</v>
      </c>
      <c r="D1358" s="2" t="s">
        <v>28</v>
      </c>
      <c r="E1358" s="11" t="s">
        <v>301</v>
      </c>
      <c r="F1358" s="11" t="s">
        <v>151</v>
      </c>
      <c r="G1358" s="11" t="s">
        <v>503</v>
      </c>
      <c r="H1358" s="11" t="s">
        <v>190</v>
      </c>
      <c r="I1358" s="12">
        <v>0.17</v>
      </c>
      <c r="J1358" s="12">
        <v>30</v>
      </c>
      <c r="K1358" s="12">
        <v>74.34</v>
      </c>
      <c r="L1358" s="12">
        <v>2230.1999999999998</v>
      </c>
      <c r="M1358" s="12">
        <v>0</v>
      </c>
      <c r="N1358" s="12">
        <v>-111.50993799999999</v>
      </c>
      <c r="O1358" s="12">
        <v>275.42974300000003</v>
      </c>
      <c r="P1358" s="12">
        <v>2394.1198049999998</v>
      </c>
    </row>
    <row r="1359" spans="1:16" ht="14.5" x14ac:dyDescent="0.25">
      <c r="A1359" s="10">
        <v>45944</v>
      </c>
      <c r="B1359" s="2" t="str">
        <f t="shared" si="42"/>
        <v>Oct-2025</v>
      </c>
      <c r="C1359" s="2" t="str">
        <f t="shared" si="43"/>
        <v>Q3</v>
      </c>
      <c r="D1359" s="2" t="s">
        <v>28</v>
      </c>
      <c r="E1359" s="11" t="s">
        <v>301</v>
      </c>
      <c r="F1359" s="11" t="s">
        <v>151</v>
      </c>
      <c r="G1359" s="11" t="s">
        <v>503</v>
      </c>
      <c r="H1359" s="11" t="s">
        <v>166</v>
      </c>
      <c r="I1359" s="12">
        <v>0.25</v>
      </c>
      <c r="J1359" s="12">
        <v>30</v>
      </c>
      <c r="K1359" s="12">
        <v>58.85</v>
      </c>
      <c r="L1359" s="12">
        <v>1765.5000000000002</v>
      </c>
      <c r="M1359" s="12">
        <v>0</v>
      </c>
      <c r="N1359" s="12">
        <v>-88.274951000000001</v>
      </c>
      <c r="O1359" s="12">
        <v>218.03928399999998</v>
      </c>
      <c r="P1359" s="12">
        <v>1895.2643330000001</v>
      </c>
    </row>
    <row r="1360" spans="1:16" ht="14.5" x14ac:dyDescent="0.25">
      <c r="A1360" s="10">
        <v>45944</v>
      </c>
      <c r="B1360" s="2" t="str">
        <f t="shared" si="42"/>
        <v>Oct-2025</v>
      </c>
      <c r="C1360" s="2" t="str">
        <f t="shared" si="43"/>
        <v>Q3</v>
      </c>
      <c r="D1360" s="2" t="s">
        <v>28</v>
      </c>
      <c r="E1360" s="11" t="s">
        <v>301</v>
      </c>
      <c r="F1360" s="11" t="s">
        <v>151</v>
      </c>
      <c r="G1360" s="11" t="s">
        <v>503</v>
      </c>
      <c r="H1360" s="11" t="s">
        <v>63</v>
      </c>
      <c r="I1360" s="12">
        <v>0.5</v>
      </c>
      <c r="J1360" s="12">
        <v>40</v>
      </c>
      <c r="K1360" s="12">
        <v>170.35</v>
      </c>
      <c r="L1360" s="12">
        <v>6814.0000000000009</v>
      </c>
      <c r="M1360" s="12">
        <v>0</v>
      </c>
      <c r="N1360" s="12">
        <v>-340.69981200000001</v>
      </c>
      <c r="O1360" s="12">
        <v>841.52913000000001</v>
      </c>
      <c r="P1360" s="12">
        <v>7314.8293180000001</v>
      </c>
    </row>
    <row r="1361" spans="1:16" ht="14.5" x14ac:dyDescent="0.25">
      <c r="A1361" s="10">
        <v>45944</v>
      </c>
      <c r="B1361" s="2" t="str">
        <f t="shared" si="42"/>
        <v>Oct-2025</v>
      </c>
      <c r="C1361" s="2" t="str">
        <f t="shared" si="43"/>
        <v>Q3</v>
      </c>
      <c r="D1361" s="2" t="s">
        <v>28</v>
      </c>
      <c r="E1361" s="11" t="s">
        <v>301</v>
      </c>
      <c r="F1361" s="11" t="s">
        <v>151</v>
      </c>
      <c r="G1361" s="11" t="s">
        <v>503</v>
      </c>
      <c r="H1361" s="11" t="s">
        <v>173</v>
      </c>
      <c r="I1361" s="12">
        <v>0.25</v>
      </c>
      <c r="J1361" s="12">
        <v>30</v>
      </c>
      <c r="K1361" s="12">
        <v>77.430000000000007</v>
      </c>
      <c r="L1361" s="12">
        <v>2322.9</v>
      </c>
      <c r="M1361" s="12">
        <v>0</v>
      </c>
      <c r="N1361" s="12">
        <v>-116.144936</v>
      </c>
      <c r="O1361" s="12">
        <v>286.87819400000001</v>
      </c>
      <c r="P1361" s="12">
        <v>2493.6332579999998</v>
      </c>
    </row>
    <row r="1362" spans="1:16" ht="14.5" x14ac:dyDescent="0.25">
      <c r="A1362" s="10">
        <v>45944</v>
      </c>
      <c r="B1362" s="2" t="str">
        <f t="shared" si="42"/>
        <v>Oct-2025</v>
      </c>
      <c r="C1362" s="2" t="str">
        <f t="shared" si="43"/>
        <v>Q3</v>
      </c>
      <c r="D1362" s="2" t="s">
        <v>28</v>
      </c>
      <c r="E1362" s="11" t="s">
        <v>301</v>
      </c>
      <c r="F1362" s="11" t="s">
        <v>151</v>
      </c>
      <c r="G1362" s="11" t="s">
        <v>504</v>
      </c>
      <c r="H1362" s="11" t="s">
        <v>67</v>
      </c>
      <c r="I1362" s="12">
        <v>1</v>
      </c>
      <c r="J1362" s="12">
        <v>40</v>
      </c>
      <c r="K1362" s="12">
        <v>360.53</v>
      </c>
      <c r="L1362" s="12">
        <v>14421.199999999999</v>
      </c>
      <c r="M1362" s="12">
        <v>0</v>
      </c>
      <c r="N1362" s="12">
        <v>-721.05960200000004</v>
      </c>
      <c r="O1362" s="12">
        <v>1781.0184749999999</v>
      </c>
      <c r="P1362" s="12">
        <v>15481.158873</v>
      </c>
    </row>
    <row r="1363" spans="1:16" ht="14.5" x14ac:dyDescent="0.25">
      <c r="A1363" s="10">
        <v>45944</v>
      </c>
      <c r="B1363" s="2" t="str">
        <f t="shared" si="42"/>
        <v>Oct-2025</v>
      </c>
      <c r="C1363" s="2" t="str">
        <f t="shared" si="43"/>
        <v>Q3</v>
      </c>
      <c r="D1363" s="2" t="s">
        <v>28</v>
      </c>
      <c r="E1363" s="11" t="s">
        <v>301</v>
      </c>
      <c r="F1363" s="11" t="s">
        <v>151</v>
      </c>
      <c r="G1363" s="11" t="s">
        <v>505</v>
      </c>
      <c r="H1363" s="11" t="s">
        <v>168</v>
      </c>
      <c r="I1363" s="12">
        <v>0.38</v>
      </c>
      <c r="J1363" s="12">
        <v>30</v>
      </c>
      <c r="K1363" s="12">
        <v>210.62</v>
      </c>
      <c r="L1363" s="12">
        <v>6318.5999999999995</v>
      </c>
      <c r="M1363" s="12">
        <v>0</v>
      </c>
      <c r="N1363" s="12">
        <v>-315.92982499999999</v>
      </c>
      <c r="O1363" s="12">
        <v>780.34721999999999</v>
      </c>
      <c r="P1363" s="12">
        <v>6783.0173949999999</v>
      </c>
    </row>
    <row r="1364" spans="1:16" ht="14.5" x14ac:dyDescent="0.25">
      <c r="A1364" s="10">
        <v>45944</v>
      </c>
      <c r="B1364" s="2" t="str">
        <f t="shared" si="42"/>
        <v>Oct-2025</v>
      </c>
      <c r="C1364" s="2" t="str">
        <f t="shared" si="43"/>
        <v>Q3</v>
      </c>
      <c r="D1364" s="2" t="s">
        <v>28</v>
      </c>
      <c r="E1364" s="11" t="s">
        <v>302</v>
      </c>
      <c r="F1364" s="11" t="s">
        <v>151</v>
      </c>
      <c r="G1364" s="11" t="s">
        <v>503</v>
      </c>
      <c r="H1364" s="11" t="s">
        <v>42</v>
      </c>
      <c r="I1364" s="12">
        <v>0.33</v>
      </c>
      <c r="J1364" s="12">
        <v>40</v>
      </c>
      <c r="K1364" s="12">
        <v>130.09</v>
      </c>
      <c r="L1364" s="12">
        <v>5203.5999999999995</v>
      </c>
      <c r="M1364" s="12">
        <v>0</v>
      </c>
      <c r="N1364" s="12">
        <v>-260.18012199999998</v>
      </c>
      <c r="O1364" s="12">
        <v>642.6448650000001</v>
      </c>
      <c r="P1364" s="12">
        <v>5586.0647429999999</v>
      </c>
    </row>
    <row r="1365" spans="1:16" ht="14.5" x14ac:dyDescent="0.25">
      <c r="A1365" s="10">
        <v>45944</v>
      </c>
      <c r="B1365" s="2" t="str">
        <f t="shared" si="42"/>
        <v>Oct-2025</v>
      </c>
      <c r="C1365" s="2" t="str">
        <f t="shared" si="43"/>
        <v>Q3</v>
      </c>
      <c r="D1365" s="2" t="s">
        <v>28</v>
      </c>
      <c r="E1365" s="11" t="s">
        <v>302</v>
      </c>
      <c r="F1365" s="11" t="s">
        <v>151</v>
      </c>
      <c r="G1365" s="11" t="s">
        <v>505</v>
      </c>
      <c r="H1365" s="11" t="s">
        <v>43</v>
      </c>
      <c r="I1365" s="12">
        <v>1</v>
      </c>
      <c r="J1365" s="12">
        <v>40</v>
      </c>
      <c r="K1365" s="12">
        <v>260.18</v>
      </c>
      <c r="L1365" s="12">
        <v>10407.199999999999</v>
      </c>
      <c r="M1365" s="12">
        <v>0</v>
      </c>
      <c r="N1365" s="12">
        <v>-520.36024399999997</v>
      </c>
      <c r="O1365" s="12">
        <v>1285.2897300000002</v>
      </c>
      <c r="P1365" s="12">
        <v>11172.129486</v>
      </c>
    </row>
    <row r="1366" spans="1:16" ht="14.5" x14ac:dyDescent="0.25">
      <c r="A1366" s="10">
        <v>45944</v>
      </c>
      <c r="B1366" s="2" t="str">
        <f t="shared" si="42"/>
        <v>Oct-2025</v>
      </c>
      <c r="C1366" s="2" t="str">
        <f t="shared" si="43"/>
        <v>Q3</v>
      </c>
      <c r="D1366" s="2" t="s">
        <v>28</v>
      </c>
      <c r="E1366" s="11" t="s">
        <v>302</v>
      </c>
      <c r="F1366" s="11" t="s">
        <v>151</v>
      </c>
      <c r="G1366" s="11" t="s">
        <v>503</v>
      </c>
      <c r="H1366" s="11" t="s">
        <v>47</v>
      </c>
      <c r="I1366" s="12">
        <v>0.33</v>
      </c>
      <c r="J1366" s="12">
        <v>40</v>
      </c>
      <c r="K1366" s="12">
        <v>108.41</v>
      </c>
      <c r="L1366" s="12">
        <v>4336.3999999999996</v>
      </c>
      <c r="M1366" s="12">
        <v>0</v>
      </c>
      <c r="N1366" s="12">
        <v>-216.82010200000002</v>
      </c>
      <c r="O1366" s="12">
        <v>535.54562099999998</v>
      </c>
      <c r="P1366" s="12">
        <v>4655.1255190000002</v>
      </c>
    </row>
    <row r="1367" spans="1:16" ht="14.5" x14ac:dyDescent="0.25">
      <c r="A1367" s="10">
        <v>45944</v>
      </c>
      <c r="B1367" s="2" t="str">
        <f t="shared" si="42"/>
        <v>Oct-2025</v>
      </c>
      <c r="C1367" s="2" t="str">
        <f t="shared" si="43"/>
        <v>Q3</v>
      </c>
      <c r="D1367" s="2" t="s">
        <v>28</v>
      </c>
      <c r="E1367" s="11" t="s">
        <v>302</v>
      </c>
      <c r="F1367" s="11" t="s">
        <v>151</v>
      </c>
      <c r="G1367" s="11" t="s">
        <v>504</v>
      </c>
      <c r="H1367" s="11" t="s">
        <v>66</v>
      </c>
      <c r="I1367" s="12">
        <v>0.3</v>
      </c>
      <c r="J1367" s="12">
        <v>30</v>
      </c>
      <c r="K1367" s="12">
        <v>99.12</v>
      </c>
      <c r="L1367" s="12">
        <v>2973.6</v>
      </c>
      <c r="M1367" s="12">
        <v>0</v>
      </c>
      <c r="N1367" s="12">
        <v>-148.68007</v>
      </c>
      <c r="O1367" s="12">
        <v>367.23975199999995</v>
      </c>
      <c r="P1367" s="12">
        <v>3192.159682</v>
      </c>
    </row>
    <row r="1368" spans="1:16" ht="14.5" x14ac:dyDescent="0.25">
      <c r="A1368" s="10">
        <v>45944</v>
      </c>
      <c r="B1368" s="2" t="str">
        <f t="shared" si="42"/>
        <v>Oct-2025</v>
      </c>
      <c r="C1368" s="2" t="str">
        <f t="shared" si="43"/>
        <v>Q3</v>
      </c>
      <c r="D1368" s="2" t="s">
        <v>28</v>
      </c>
      <c r="E1368" s="11" t="s">
        <v>302</v>
      </c>
      <c r="F1368" s="11" t="s">
        <v>151</v>
      </c>
      <c r="G1368" s="11" t="s">
        <v>505</v>
      </c>
      <c r="H1368" s="11" t="s">
        <v>167</v>
      </c>
      <c r="I1368" s="12">
        <v>0.22</v>
      </c>
      <c r="J1368" s="12">
        <v>40</v>
      </c>
      <c r="K1368" s="12">
        <v>83.63</v>
      </c>
      <c r="L1368" s="12">
        <v>3345.2</v>
      </c>
      <c r="M1368" s="12">
        <v>0</v>
      </c>
      <c r="N1368" s="12">
        <v>-167.26007899999999</v>
      </c>
      <c r="O1368" s="12">
        <v>413.13236999999998</v>
      </c>
      <c r="P1368" s="12">
        <v>3591.072291</v>
      </c>
    </row>
    <row r="1369" spans="1:16" ht="14.5" x14ac:dyDescent="0.25">
      <c r="A1369" s="10">
        <v>45944</v>
      </c>
      <c r="B1369" s="2" t="str">
        <f t="shared" si="42"/>
        <v>Oct-2025</v>
      </c>
      <c r="C1369" s="2" t="str">
        <f t="shared" si="43"/>
        <v>Q3</v>
      </c>
      <c r="D1369" s="2" t="s">
        <v>28</v>
      </c>
      <c r="E1369" s="11" t="s">
        <v>302</v>
      </c>
      <c r="F1369" s="11" t="s">
        <v>151</v>
      </c>
      <c r="G1369" s="11" t="s">
        <v>505</v>
      </c>
      <c r="H1369" s="11" t="s">
        <v>55</v>
      </c>
      <c r="I1369" s="12">
        <v>0.42</v>
      </c>
      <c r="J1369" s="12">
        <v>50</v>
      </c>
      <c r="K1369" s="12">
        <v>136.28</v>
      </c>
      <c r="L1369" s="12">
        <v>6814.0000000000009</v>
      </c>
      <c r="M1369" s="12">
        <v>0</v>
      </c>
      <c r="N1369" s="12">
        <v>-340.70015999999998</v>
      </c>
      <c r="O1369" s="12">
        <v>841.52934700000003</v>
      </c>
      <c r="P1369" s="12">
        <v>7314.8291870000003</v>
      </c>
    </row>
    <row r="1370" spans="1:16" ht="14.5" x14ac:dyDescent="0.25">
      <c r="A1370" s="10">
        <v>45944</v>
      </c>
      <c r="B1370" s="2" t="str">
        <f t="shared" si="42"/>
        <v>Oct-2025</v>
      </c>
      <c r="C1370" s="2" t="str">
        <f t="shared" si="43"/>
        <v>Q3</v>
      </c>
      <c r="D1370" s="2" t="s">
        <v>28</v>
      </c>
      <c r="E1370" s="11" t="s">
        <v>302</v>
      </c>
      <c r="F1370" s="11" t="s">
        <v>151</v>
      </c>
      <c r="G1370" s="11" t="s">
        <v>503</v>
      </c>
      <c r="H1370" s="11" t="s">
        <v>176</v>
      </c>
      <c r="I1370" s="12">
        <v>0.33</v>
      </c>
      <c r="J1370" s="12">
        <v>40</v>
      </c>
      <c r="K1370" s="12">
        <v>145.58000000000001</v>
      </c>
      <c r="L1370" s="12">
        <v>5823.2</v>
      </c>
      <c r="M1370" s="12">
        <v>0</v>
      </c>
      <c r="N1370" s="12">
        <v>-291.16013700000002</v>
      </c>
      <c r="O1370" s="12">
        <v>719.16549699999996</v>
      </c>
      <c r="P1370" s="12">
        <v>6251.2053599999999</v>
      </c>
    </row>
    <row r="1371" spans="1:16" ht="14.5" x14ac:dyDescent="0.25">
      <c r="A1371" s="10">
        <v>45944</v>
      </c>
      <c r="B1371" s="2" t="str">
        <f t="shared" si="42"/>
        <v>Oct-2025</v>
      </c>
      <c r="C1371" s="2" t="str">
        <f t="shared" si="43"/>
        <v>Q3</v>
      </c>
      <c r="D1371" s="2" t="s">
        <v>28</v>
      </c>
      <c r="E1371" s="11" t="s">
        <v>302</v>
      </c>
      <c r="F1371" s="11" t="s">
        <v>151</v>
      </c>
      <c r="G1371" s="11" t="s">
        <v>505</v>
      </c>
      <c r="H1371" s="11" t="s">
        <v>49</v>
      </c>
      <c r="I1371" s="12">
        <v>0.33</v>
      </c>
      <c r="J1371" s="12">
        <v>60</v>
      </c>
      <c r="K1371" s="12">
        <v>145.58000000000001</v>
      </c>
      <c r="L1371" s="12">
        <v>8734.7999999999993</v>
      </c>
      <c r="M1371" s="12">
        <v>0</v>
      </c>
      <c r="N1371" s="12">
        <v>-436.740205</v>
      </c>
      <c r="O1371" s="12">
        <v>1078.748245</v>
      </c>
      <c r="P1371" s="12">
        <v>9376.8080399999999</v>
      </c>
    </row>
    <row r="1372" spans="1:16" ht="14.5" x14ac:dyDescent="0.25">
      <c r="A1372" s="10">
        <v>45944</v>
      </c>
      <c r="B1372" s="2" t="str">
        <f t="shared" si="42"/>
        <v>Oct-2025</v>
      </c>
      <c r="C1372" s="2" t="str">
        <f t="shared" si="43"/>
        <v>Q3</v>
      </c>
      <c r="D1372" s="2" t="s">
        <v>28</v>
      </c>
      <c r="E1372" s="11" t="s">
        <v>302</v>
      </c>
      <c r="F1372" s="11" t="s">
        <v>151</v>
      </c>
      <c r="G1372" s="11" t="s">
        <v>504</v>
      </c>
      <c r="H1372" s="11" t="s">
        <v>68</v>
      </c>
      <c r="I1372" s="12">
        <v>0.5</v>
      </c>
      <c r="J1372" s="12">
        <v>20</v>
      </c>
      <c r="K1372" s="12">
        <v>238.5</v>
      </c>
      <c r="L1372" s="12">
        <v>4769.9999999999991</v>
      </c>
      <c r="M1372" s="12">
        <v>0</v>
      </c>
      <c r="N1372" s="12">
        <v>-238.500112</v>
      </c>
      <c r="O1372" s="12">
        <v>589.09524299999998</v>
      </c>
      <c r="P1372" s="12">
        <v>5120.595131</v>
      </c>
    </row>
    <row r="1373" spans="1:16" ht="14.5" x14ac:dyDescent="0.25">
      <c r="A1373" s="10">
        <v>45944</v>
      </c>
      <c r="B1373" s="2" t="str">
        <f t="shared" si="42"/>
        <v>Oct-2025</v>
      </c>
      <c r="C1373" s="2" t="str">
        <f t="shared" si="43"/>
        <v>Q3</v>
      </c>
      <c r="D1373" s="2" t="s">
        <v>28</v>
      </c>
      <c r="E1373" s="11" t="s">
        <v>302</v>
      </c>
      <c r="F1373" s="11" t="s">
        <v>151</v>
      </c>
      <c r="G1373" s="11" t="s">
        <v>503</v>
      </c>
      <c r="H1373" s="11" t="s">
        <v>177</v>
      </c>
      <c r="I1373" s="12">
        <v>0.33</v>
      </c>
      <c r="J1373" s="12">
        <v>40</v>
      </c>
      <c r="K1373" s="12">
        <v>86.73</v>
      </c>
      <c r="L1373" s="12">
        <v>3469.2</v>
      </c>
      <c r="M1373" s="12">
        <v>0</v>
      </c>
      <c r="N1373" s="12">
        <v>-173.460081</v>
      </c>
      <c r="O1373" s="12">
        <v>428.44637700000004</v>
      </c>
      <c r="P1373" s="12">
        <v>3724.1862959999999</v>
      </c>
    </row>
    <row r="1374" spans="1:16" ht="14.5" x14ac:dyDescent="0.25">
      <c r="A1374" s="10">
        <v>45944</v>
      </c>
      <c r="B1374" s="2" t="str">
        <f t="shared" si="42"/>
        <v>Oct-2025</v>
      </c>
      <c r="C1374" s="2" t="str">
        <f t="shared" si="43"/>
        <v>Q3</v>
      </c>
      <c r="D1374" s="2" t="s">
        <v>28</v>
      </c>
      <c r="E1374" s="11" t="s">
        <v>302</v>
      </c>
      <c r="F1374" s="11" t="s">
        <v>151</v>
      </c>
      <c r="G1374" s="11" t="s">
        <v>503</v>
      </c>
      <c r="H1374" s="11" t="s">
        <v>46</v>
      </c>
      <c r="I1374" s="12">
        <v>0.25</v>
      </c>
      <c r="J1374" s="12">
        <v>30</v>
      </c>
      <c r="K1374" s="12">
        <v>108.41</v>
      </c>
      <c r="L1374" s="12">
        <v>3252.3</v>
      </c>
      <c r="M1374" s="12">
        <v>0</v>
      </c>
      <c r="N1374" s="12">
        <v>-162.61507599999999</v>
      </c>
      <c r="O1374" s="12">
        <v>401.65921600000001</v>
      </c>
      <c r="P1374" s="12">
        <v>3491.3441400000002</v>
      </c>
    </row>
    <row r="1375" spans="1:16" ht="14.5" x14ac:dyDescent="0.25">
      <c r="A1375" s="10">
        <v>45944</v>
      </c>
      <c r="B1375" s="2" t="str">
        <f t="shared" si="42"/>
        <v>Oct-2025</v>
      </c>
      <c r="C1375" s="2" t="str">
        <f t="shared" si="43"/>
        <v>Q3</v>
      </c>
      <c r="D1375" s="2" t="s">
        <v>28</v>
      </c>
      <c r="E1375" s="11" t="s">
        <v>302</v>
      </c>
      <c r="F1375" s="11" t="s">
        <v>151</v>
      </c>
      <c r="G1375" s="11" t="s">
        <v>503</v>
      </c>
      <c r="H1375" s="11" t="s">
        <v>48</v>
      </c>
      <c r="I1375" s="12">
        <v>0.22</v>
      </c>
      <c r="J1375" s="12">
        <v>40</v>
      </c>
      <c r="K1375" s="12">
        <v>123.89</v>
      </c>
      <c r="L1375" s="12">
        <v>4955.5999999999995</v>
      </c>
      <c r="M1375" s="12">
        <v>0</v>
      </c>
      <c r="N1375" s="12">
        <v>-247.78011599999999</v>
      </c>
      <c r="O1375" s="12">
        <v>612.01685299999997</v>
      </c>
      <c r="P1375" s="12">
        <v>5319.8367369999996</v>
      </c>
    </row>
    <row r="1376" spans="1:16" ht="14.5" x14ac:dyDescent="0.25">
      <c r="A1376" s="10">
        <v>45944</v>
      </c>
      <c r="B1376" s="2" t="str">
        <f t="shared" si="42"/>
        <v>Oct-2025</v>
      </c>
      <c r="C1376" s="2" t="str">
        <f t="shared" si="43"/>
        <v>Q3</v>
      </c>
      <c r="D1376" s="2" t="s">
        <v>28</v>
      </c>
      <c r="E1376" s="11" t="s">
        <v>302</v>
      </c>
      <c r="F1376" s="11" t="s">
        <v>151</v>
      </c>
      <c r="G1376" s="11" t="s">
        <v>503</v>
      </c>
      <c r="H1376" s="11" t="s">
        <v>174</v>
      </c>
      <c r="I1376" s="12">
        <v>0.22</v>
      </c>
      <c r="J1376" s="12">
        <v>40</v>
      </c>
      <c r="K1376" s="12">
        <v>76.81</v>
      </c>
      <c r="L1376" s="12">
        <v>3072.4</v>
      </c>
      <c r="M1376" s="12">
        <v>0</v>
      </c>
      <c r="N1376" s="12">
        <v>-153.62007199999999</v>
      </c>
      <c r="O1376" s="12">
        <v>379.44155699999999</v>
      </c>
      <c r="P1376" s="12">
        <v>3298.221485</v>
      </c>
    </row>
    <row r="1377" spans="1:16" ht="14.5" x14ac:dyDescent="0.25">
      <c r="A1377" s="10">
        <v>45944</v>
      </c>
      <c r="B1377" s="2" t="str">
        <f t="shared" si="42"/>
        <v>Oct-2025</v>
      </c>
      <c r="C1377" s="2" t="str">
        <f t="shared" si="43"/>
        <v>Q3</v>
      </c>
      <c r="D1377" s="2" t="s">
        <v>28</v>
      </c>
      <c r="E1377" s="11" t="s">
        <v>302</v>
      </c>
      <c r="F1377" s="11" t="s">
        <v>151</v>
      </c>
      <c r="G1377" s="11" t="s">
        <v>505</v>
      </c>
      <c r="H1377" s="11" t="s">
        <v>50</v>
      </c>
      <c r="I1377" s="12">
        <v>0.63</v>
      </c>
      <c r="J1377" s="12">
        <v>50</v>
      </c>
      <c r="K1377" s="12">
        <v>154.87</v>
      </c>
      <c r="L1377" s="12">
        <v>7743.5</v>
      </c>
      <c r="M1377" s="12">
        <v>0</v>
      </c>
      <c r="N1377" s="12">
        <v>-387.17518200000001</v>
      </c>
      <c r="O1377" s="12">
        <v>956.32264499999997</v>
      </c>
      <c r="P1377" s="12">
        <v>8312.6474629999993</v>
      </c>
    </row>
    <row r="1378" spans="1:16" ht="14.5" x14ac:dyDescent="0.25">
      <c r="A1378" s="10">
        <v>45944</v>
      </c>
      <c r="B1378" s="2" t="str">
        <f t="shared" si="42"/>
        <v>Oct-2025</v>
      </c>
      <c r="C1378" s="2" t="str">
        <f t="shared" si="43"/>
        <v>Q3</v>
      </c>
      <c r="D1378" s="2" t="s">
        <v>28</v>
      </c>
      <c r="E1378" s="11" t="s">
        <v>302</v>
      </c>
      <c r="F1378" s="11" t="s">
        <v>151</v>
      </c>
      <c r="G1378" s="11" t="s">
        <v>506</v>
      </c>
      <c r="H1378" s="11" t="s">
        <v>54</v>
      </c>
      <c r="I1378" s="12">
        <v>0.75</v>
      </c>
      <c r="J1378" s="12">
        <v>36</v>
      </c>
      <c r="K1378" s="12">
        <v>284.95999999999998</v>
      </c>
      <c r="L1378" s="12">
        <v>10258.56</v>
      </c>
      <c r="M1378" s="12">
        <v>0</v>
      </c>
      <c r="N1378" s="12">
        <v>-512.92824099999996</v>
      </c>
      <c r="O1378" s="12">
        <v>1266.932683</v>
      </c>
      <c r="P1378" s="12">
        <v>11012.564442000001</v>
      </c>
    </row>
    <row r="1379" spans="1:16" ht="14.5" x14ac:dyDescent="0.25">
      <c r="A1379" s="10">
        <v>45944</v>
      </c>
      <c r="B1379" s="2" t="str">
        <f t="shared" ref="B1379:B1442" si="44">+TEXT(A1379,"MMM-yyy")</f>
        <v>Oct-2025</v>
      </c>
      <c r="C1379" s="2" t="str">
        <f t="shared" ref="C1379:C1442" si="45">"Q" &amp; CHOOSE(MONTH(A1379),4,4,4,1,1,1,2,2,2,3,3,3)</f>
        <v>Q3</v>
      </c>
      <c r="D1379" s="2" t="s">
        <v>28</v>
      </c>
      <c r="E1379" s="11" t="s">
        <v>303</v>
      </c>
      <c r="F1379" s="11" t="s">
        <v>14</v>
      </c>
      <c r="G1379" s="11" t="s">
        <v>503</v>
      </c>
      <c r="H1379" s="11" t="s">
        <v>176</v>
      </c>
      <c r="I1379" s="12">
        <v>1</v>
      </c>
      <c r="J1379" s="12">
        <v>120</v>
      </c>
      <c r="K1379" s="12">
        <v>158.86000000000001</v>
      </c>
      <c r="L1379" s="12">
        <v>19063.2</v>
      </c>
      <c r="M1379" s="12">
        <v>-1732.84</v>
      </c>
      <c r="N1379" s="12">
        <v>0</v>
      </c>
      <c r="O1379" s="12">
        <v>2252.9470710000001</v>
      </c>
      <c r="P1379" s="12">
        <v>19583.307070999999</v>
      </c>
    </row>
    <row r="1380" spans="1:16" ht="14.5" x14ac:dyDescent="0.25">
      <c r="A1380" s="10">
        <v>45944</v>
      </c>
      <c r="B1380" s="2" t="str">
        <f t="shared" si="44"/>
        <v>Oct-2025</v>
      </c>
      <c r="C1380" s="2" t="str">
        <f t="shared" si="45"/>
        <v>Q3</v>
      </c>
      <c r="D1380" s="2" t="s">
        <v>28</v>
      </c>
      <c r="E1380" s="11" t="s">
        <v>303</v>
      </c>
      <c r="F1380" s="11" t="s">
        <v>14</v>
      </c>
      <c r="G1380" s="11" t="s">
        <v>505</v>
      </c>
      <c r="H1380" s="11" t="s">
        <v>40</v>
      </c>
      <c r="I1380" s="12">
        <v>2</v>
      </c>
      <c r="J1380" s="12">
        <v>360</v>
      </c>
      <c r="K1380" s="12">
        <v>94.65</v>
      </c>
      <c r="L1380" s="12">
        <v>34074</v>
      </c>
      <c r="M1380" s="12">
        <v>-3097.3300000000004</v>
      </c>
      <c r="N1380" s="12">
        <v>0</v>
      </c>
      <c r="O1380" s="12">
        <v>4026.967584</v>
      </c>
      <c r="P1380" s="12">
        <v>35003.637583999996</v>
      </c>
    </row>
    <row r="1381" spans="1:16" ht="14.5" x14ac:dyDescent="0.25">
      <c r="A1381" s="10">
        <v>45944</v>
      </c>
      <c r="B1381" s="2" t="str">
        <f t="shared" si="44"/>
        <v>Oct-2025</v>
      </c>
      <c r="C1381" s="2" t="str">
        <f t="shared" si="45"/>
        <v>Q3</v>
      </c>
      <c r="D1381" s="2" t="s">
        <v>28</v>
      </c>
      <c r="E1381" s="11" t="s">
        <v>303</v>
      </c>
      <c r="F1381" s="11" t="s">
        <v>14</v>
      </c>
      <c r="G1381" s="11" t="s">
        <v>505</v>
      </c>
      <c r="H1381" s="11" t="s">
        <v>43</v>
      </c>
      <c r="I1381" s="12">
        <v>1</v>
      </c>
      <c r="J1381" s="12">
        <v>40</v>
      </c>
      <c r="K1381" s="12">
        <v>283.94</v>
      </c>
      <c r="L1381" s="12">
        <v>11357.599999999999</v>
      </c>
      <c r="M1381" s="12">
        <v>-1032.4099999999999</v>
      </c>
      <c r="N1381" s="12">
        <v>0</v>
      </c>
      <c r="O1381" s="12">
        <v>1342.2748610000001</v>
      </c>
      <c r="P1381" s="12">
        <v>11667.464861</v>
      </c>
    </row>
    <row r="1382" spans="1:16" ht="14.5" x14ac:dyDescent="0.25">
      <c r="A1382" s="10">
        <v>45944</v>
      </c>
      <c r="B1382" s="2" t="str">
        <f t="shared" si="44"/>
        <v>Oct-2025</v>
      </c>
      <c r="C1382" s="2" t="str">
        <f t="shared" si="45"/>
        <v>Q3</v>
      </c>
      <c r="D1382" s="2" t="s">
        <v>28</v>
      </c>
      <c r="E1382" s="11" t="s">
        <v>303</v>
      </c>
      <c r="F1382" s="11" t="s">
        <v>14</v>
      </c>
      <c r="G1382" s="11" t="s">
        <v>503</v>
      </c>
      <c r="H1382" s="11" t="s">
        <v>87</v>
      </c>
      <c r="I1382" s="12">
        <v>1</v>
      </c>
      <c r="J1382" s="12">
        <v>180</v>
      </c>
      <c r="K1382" s="12">
        <v>114.93</v>
      </c>
      <c r="L1382" s="12">
        <v>20687.400000000001</v>
      </c>
      <c r="M1382" s="12">
        <v>-1880.48</v>
      </c>
      <c r="N1382" s="12">
        <v>0</v>
      </c>
      <c r="O1382" s="12">
        <v>2444.8998940000001</v>
      </c>
      <c r="P1382" s="12">
        <v>21251.819894</v>
      </c>
    </row>
    <row r="1383" spans="1:16" ht="14.5" x14ac:dyDescent="0.25">
      <c r="A1383" s="10">
        <v>45944</v>
      </c>
      <c r="B1383" s="2" t="str">
        <f t="shared" si="44"/>
        <v>Oct-2025</v>
      </c>
      <c r="C1383" s="2" t="str">
        <f t="shared" si="45"/>
        <v>Q3</v>
      </c>
      <c r="D1383" s="2" t="s">
        <v>28</v>
      </c>
      <c r="E1383" s="11" t="s">
        <v>303</v>
      </c>
      <c r="F1383" s="11" t="s">
        <v>14</v>
      </c>
      <c r="G1383" s="11" t="s">
        <v>503</v>
      </c>
      <c r="H1383" s="11" t="s">
        <v>46</v>
      </c>
      <c r="I1383" s="12">
        <v>1</v>
      </c>
      <c r="J1383" s="12">
        <v>120</v>
      </c>
      <c r="K1383" s="12">
        <v>121.69</v>
      </c>
      <c r="L1383" s="12">
        <v>14602.800000000001</v>
      </c>
      <c r="M1383" s="12">
        <v>-1327.39</v>
      </c>
      <c r="N1383" s="12">
        <v>0</v>
      </c>
      <c r="O1383" s="12">
        <v>1725.8035070000001</v>
      </c>
      <c r="P1383" s="12">
        <v>15001.213507</v>
      </c>
    </row>
    <row r="1384" spans="1:16" ht="14.5" x14ac:dyDescent="0.25">
      <c r="A1384" s="10">
        <v>45944</v>
      </c>
      <c r="B1384" s="2" t="str">
        <f t="shared" si="44"/>
        <v>Oct-2025</v>
      </c>
      <c r="C1384" s="2" t="str">
        <f t="shared" si="45"/>
        <v>Q3</v>
      </c>
      <c r="D1384" s="2" t="s">
        <v>28</v>
      </c>
      <c r="E1384" s="11" t="s">
        <v>303</v>
      </c>
      <c r="F1384" s="11" t="s">
        <v>14</v>
      </c>
      <c r="G1384" s="11" t="s">
        <v>504</v>
      </c>
      <c r="H1384" s="11" t="s">
        <v>66</v>
      </c>
      <c r="I1384" s="12">
        <v>1</v>
      </c>
      <c r="J1384" s="12">
        <v>100</v>
      </c>
      <c r="K1384" s="12">
        <v>108.17</v>
      </c>
      <c r="L1384" s="12">
        <v>10817</v>
      </c>
      <c r="M1384" s="12">
        <v>-983.2700000000001</v>
      </c>
      <c r="N1384" s="12">
        <v>0</v>
      </c>
      <c r="O1384" s="12">
        <v>1278.3850540000001</v>
      </c>
      <c r="P1384" s="12">
        <v>11112.115054</v>
      </c>
    </row>
    <row r="1385" spans="1:16" ht="14.5" x14ac:dyDescent="0.25">
      <c r="A1385" s="10">
        <v>45944</v>
      </c>
      <c r="B1385" s="2" t="str">
        <f t="shared" si="44"/>
        <v>Oct-2025</v>
      </c>
      <c r="C1385" s="2" t="str">
        <f t="shared" si="45"/>
        <v>Q3</v>
      </c>
      <c r="D1385" s="2" t="s">
        <v>28</v>
      </c>
      <c r="E1385" s="11" t="s">
        <v>303</v>
      </c>
      <c r="F1385" s="11" t="s">
        <v>14</v>
      </c>
      <c r="G1385" s="11" t="s">
        <v>506</v>
      </c>
      <c r="H1385" s="11" t="s">
        <v>58</v>
      </c>
      <c r="I1385" s="12">
        <v>1</v>
      </c>
      <c r="J1385" s="12">
        <v>72</v>
      </c>
      <c r="K1385" s="12">
        <v>148.74</v>
      </c>
      <c r="L1385" s="12">
        <v>10709.279999999999</v>
      </c>
      <c r="M1385" s="12">
        <v>-973.47</v>
      </c>
      <c r="N1385" s="12">
        <v>0</v>
      </c>
      <c r="O1385" s="12">
        <v>1265.655452</v>
      </c>
      <c r="P1385" s="12">
        <v>11001.465452</v>
      </c>
    </row>
    <row r="1386" spans="1:16" ht="14.5" x14ac:dyDescent="0.25">
      <c r="A1386" s="10">
        <v>45944</v>
      </c>
      <c r="B1386" s="2" t="str">
        <f t="shared" si="44"/>
        <v>Oct-2025</v>
      </c>
      <c r="C1386" s="2" t="str">
        <f t="shared" si="45"/>
        <v>Q3</v>
      </c>
      <c r="D1386" s="2" t="s">
        <v>28</v>
      </c>
      <c r="E1386" s="11" t="s">
        <v>303</v>
      </c>
      <c r="F1386" s="11" t="s">
        <v>14</v>
      </c>
      <c r="G1386" s="11" t="s">
        <v>506</v>
      </c>
      <c r="H1386" s="11" t="s">
        <v>54</v>
      </c>
      <c r="I1386" s="12">
        <v>1</v>
      </c>
      <c r="J1386" s="12">
        <v>48</v>
      </c>
      <c r="K1386" s="12">
        <v>310.99</v>
      </c>
      <c r="L1386" s="12">
        <v>14927.519999999999</v>
      </c>
      <c r="M1386" s="12">
        <v>-1356.91</v>
      </c>
      <c r="N1386" s="12">
        <v>0</v>
      </c>
      <c r="O1386" s="12">
        <v>1764.1795119999999</v>
      </c>
      <c r="P1386" s="12">
        <v>15334.789511999999</v>
      </c>
    </row>
    <row r="1387" spans="1:16" ht="14.5" x14ac:dyDescent="0.25">
      <c r="A1387" s="10">
        <v>45944</v>
      </c>
      <c r="B1387" s="2" t="str">
        <f t="shared" si="44"/>
        <v>Oct-2025</v>
      </c>
      <c r="C1387" s="2" t="str">
        <f t="shared" si="45"/>
        <v>Q3</v>
      </c>
      <c r="D1387" s="2" t="s">
        <v>28</v>
      </c>
      <c r="E1387" s="11" t="s">
        <v>303</v>
      </c>
      <c r="F1387" s="11" t="s">
        <v>14</v>
      </c>
      <c r="G1387" s="11" t="s">
        <v>505</v>
      </c>
      <c r="H1387" s="11" t="s">
        <v>55</v>
      </c>
      <c r="I1387" s="12">
        <v>1</v>
      </c>
      <c r="J1387" s="12">
        <v>120</v>
      </c>
      <c r="K1387" s="12">
        <v>152.11000000000001</v>
      </c>
      <c r="L1387" s="12">
        <v>18253.2</v>
      </c>
      <c r="M1387" s="12">
        <v>-1659.2199999999998</v>
      </c>
      <c r="N1387" s="12">
        <v>0</v>
      </c>
      <c r="O1387" s="12">
        <v>2157.2176589999999</v>
      </c>
      <c r="P1387" s="12">
        <v>18751.197659000001</v>
      </c>
    </row>
    <row r="1388" spans="1:16" ht="14.5" x14ac:dyDescent="0.25">
      <c r="A1388" s="10">
        <v>45944</v>
      </c>
      <c r="B1388" s="2" t="str">
        <f t="shared" si="44"/>
        <v>Oct-2025</v>
      </c>
      <c r="C1388" s="2" t="str">
        <f t="shared" si="45"/>
        <v>Q3</v>
      </c>
      <c r="D1388" s="2" t="s">
        <v>28</v>
      </c>
      <c r="E1388" s="11" t="s">
        <v>303</v>
      </c>
      <c r="F1388" s="11" t="s">
        <v>14</v>
      </c>
      <c r="G1388" s="11" t="s">
        <v>503</v>
      </c>
      <c r="H1388" s="11" t="s">
        <v>41</v>
      </c>
      <c r="I1388" s="12">
        <v>1</v>
      </c>
      <c r="J1388" s="12">
        <v>180</v>
      </c>
      <c r="K1388" s="12">
        <v>60.84</v>
      </c>
      <c r="L1388" s="12">
        <v>10951.199999999999</v>
      </c>
      <c r="M1388" s="12">
        <v>-995.46</v>
      </c>
      <c r="N1388" s="12">
        <v>0</v>
      </c>
      <c r="O1388" s="12">
        <v>1294.246355</v>
      </c>
      <c r="P1388" s="12">
        <v>11249.986354999999</v>
      </c>
    </row>
    <row r="1389" spans="1:16" ht="14.5" x14ac:dyDescent="0.25">
      <c r="A1389" s="10">
        <v>45944</v>
      </c>
      <c r="B1389" s="2" t="str">
        <f t="shared" si="44"/>
        <v>Oct-2025</v>
      </c>
      <c r="C1389" s="2" t="str">
        <f t="shared" si="45"/>
        <v>Q3</v>
      </c>
      <c r="D1389" s="2" t="s">
        <v>28</v>
      </c>
      <c r="E1389" s="11" t="s">
        <v>303</v>
      </c>
      <c r="F1389" s="11" t="s">
        <v>14</v>
      </c>
      <c r="G1389" s="11" t="s">
        <v>504</v>
      </c>
      <c r="H1389" s="11" t="s">
        <v>68</v>
      </c>
      <c r="I1389" s="12">
        <v>1</v>
      </c>
      <c r="J1389" s="12">
        <v>40</v>
      </c>
      <c r="K1389" s="12">
        <v>260.27999999999997</v>
      </c>
      <c r="L1389" s="12">
        <v>10411.200000000001</v>
      </c>
      <c r="M1389" s="12">
        <v>-946.38</v>
      </c>
      <c r="N1389" s="12">
        <v>0</v>
      </c>
      <c r="O1389" s="12">
        <v>1230.4267480000001</v>
      </c>
      <c r="P1389" s="12">
        <v>10695.246748</v>
      </c>
    </row>
    <row r="1390" spans="1:16" ht="14.5" x14ac:dyDescent="0.25">
      <c r="A1390" s="10">
        <v>45944</v>
      </c>
      <c r="B1390" s="2" t="str">
        <f t="shared" si="44"/>
        <v>Oct-2025</v>
      </c>
      <c r="C1390" s="2" t="str">
        <f t="shared" si="45"/>
        <v>Q3</v>
      </c>
      <c r="D1390" s="2" t="s">
        <v>28</v>
      </c>
      <c r="E1390" s="11" t="s">
        <v>303</v>
      </c>
      <c r="F1390" s="11" t="s">
        <v>14</v>
      </c>
      <c r="G1390" s="11" t="s">
        <v>503</v>
      </c>
      <c r="H1390" s="11" t="s">
        <v>51</v>
      </c>
      <c r="I1390" s="12">
        <v>1</v>
      </c>
      <c r="J1390" s="12">
        <v>180</v>
      </c>
      <c r="K1390" s="12">
        <v>64.23</v>
      </c>
      <c r="L1390" s="12">
        <v>11561.4</v>
      </c>
      <c r="M1390" s="12">
        <v>-1050.9299999999998</v>
      </c>
      <c r="N1390" s="12">
        <v>0</v>
      </c>
      <c r="O1390" s="12">
        <v>1366.3612640000001</v>
      </c>
      <c r="P1390" s="12">
        <v>11876.831264</v>
      </c>
    </row>
    <row r="1391" spans="1:16" ht="14.5" x14ac:dyDescent="0.25">
      <c r="A1391" s="10">
        <v>45944</v>
      </c>
      <c r="B1391" s="2" t="str">
        <f t="shared" si="44"/>
        <v>Oct-2025</v>
      </c>
      <c r="C1391" s="2" t="str">
        <f t="shared" si="45"/>
        <v>Q3</v>
      </c>
      <c r="D1391" s="2" t="s">
        <v>28</v>
      </c>
      <c r="E1391" s="11" t="s">
        <v>303</v>
      </c>
      <c r="F1391" s="11" t="s">
        <v>14</v>
      </c>
      <c r="G1391" s="11" t="s">
        <v>503</v>
      </c>
      <c r="H1391" s="11" t="s">
        <v>59</v>
      </c>
      <c r="I1391" s="12">
        <v>1</v>
      </c>
      <c r="J1391" s="12">
        <v>180</v>
      </c>
      <c r="K1391" s="12">
        <v>64.23</v>
      </c>
      <c r="L1391" s="12">
        <v>11561.4</v>
      </c>
      <c r="M1391" s="12">
        <v>-1050.9299999999998</v>
      </c>
      <c r="N1391" s="12">
        <v>0</v>
      </c>
      <c r="O1391" s="12">
        <v>1366.3612640000001</v>
      </c>
      <c r="P1391" s="12">
        <v>11876.831264</v>
      </c>
    </row>
    <row r="1392" spans="1:16" ht="14.5" x14ac:dyDescent="0.25">
      <c r="A1392" s="10">
        <v>45944</v>
      </c>
      <c r="B1392" s="2" t="str">
        <f t="shared" si="44"/>
        <v>Oct-2025</v>
      </c>
      <c r="C1392" s="2" t="str">
        <f t="shared" si="45"/>
        <v>Q3</v>
      </c>
      <c r="D1392" s="2" t="s">
        <v>28</v>
      </c>
      <c r="E1392" s="11" t="s">
        <v>303</v>
      </c>
      <c r="F1392" s="11" t="s">
        <v>14</v>
      </c>
      <c r="G1392" s="11" t="s">
        <v>503</v>
      </c>
      <c r="H1392" s="11" t="s">
        <v>45</v>
      </c>
      <c r="I1392" s="12">
        <v>1</v>
      </c>
      <c r="J1392" s="12">
        <v>180</v>
      </c>
      <c r="K1392" s="12">
        <v>64.23</v>
      </c>
      <c r="L1392" s="12">
        <v>11561.4</v>
      </c>
      <c r="M1392" s="12">
        <v>-1050.9299999999998</v>
      </c>
      <c r="N1392" s="12">
        <v>0</v>
      </c>
      <c r="O1392" s="12">
        <v>1366.3612640000001</v>
      </c>
      <c r="P1392" s="12">
        <v>11876.831264</v>
      </c>
    </row>
    <row r="1393" spans="1:16" ht="14.5" x14ac:dyDescent="0.25">
      <c r="A1393" s="10">
        <v>45944</v>
      </c>
      <c r="B1393" s="2" t="str">
        <f t="shared" si="44"/>
        <v>Oct-2025</v>
      </c>
      <c r="C1393" s="2" t="str">
        <f t="shared" si="45"/>
        <v>Q3</v>
      </c>
      <c r="D1393" s="2" t="s">
        <v>28</v>
      </c>
      <c r="E1393" s="11" t="s">
        <v>303</v>
      </c>
      <c r="F1393" s="11" t="s">
        <v>14</v>
      </c>
      <c r="G1393" s="11" t="s">
        <v>504</v>
      </c>
      <c r="H1393" s="11" t="s">
        <v>69</v>
      </c>
      <c r="I1393" s="12">
        <v>1</v>
      </c>
      <c r="J1393" s="12">
        <v>100</v>
      </c>
      <c r="K1393" s="12">
        <v>162.26</v>
      </c>
      <c r="L1393" s="12">
        <v>16226</v>
      </c>
      <c r="M1393" s="12">
        <v>-1474.94</v>
      </c>
      <c r="N1393" s="12">
        <v>0</v>
      </c>
      <c r="O1393" s="12">
        <v>1917.6380300000001</v>
      </c>
      <c r="P1393" s="12">
        <v>16668.69803</v>
      </c>
    </row>
    <row r="1394" spans="1:16" ht="14.5" x14ac:dyDescent="0.25">
      <c r="A1394" s="10">
        <v>45944</v>
      </c>
      <c r="B1394" s="2" t="str">
        <f t="shared" si="44"/>
        <v>Oct-2025</v>
      </c>
      <c r="C1394" s="2" t="str">
        <f t="shared" si="45"/>
        <v>Q3</v>
      </c>
      <c r="D1394" s="2" t="s">
        <v>28</v>
      </c>
      <c r="E1394" s="11" t="s">
        <v>303</v>
      </c>
      <c r="F1394" s="11" t="s">
        <v>14</v>
      </c>
      <c r="G1394" s="11" t="s">
        <v>503</v>
      </c>
      <c r="H1394" s="11" t="s">
        <v>52</v>
      </c>
      <c r="I1394" s="12">
        <v>1</v>
      </c>
      <c r="J1394" s="12">
        <v>180</v>
      </c>
      <c r="K1394" s="12">
        <v>70.989999999999995</v>
      </c>
      <c r="L1394" s="12">
        <v>12778.2</v>
      </c>
      <c r="M1394" s="12">
        <v>-1161.54</v>
      </c>
      <c r="N1394" s="12">
        <v>0</v>
      </c>
      <c r="O1394" s="12">
        <v>1510.1659810000001</v>
      </c>
      <c r="P1394" s="12">
        <v>13126.825981</v>
      </c>
    </row>
    <row r="1395" spans="1:16" ht="14.5" x14ac:dyDescent="0.25">
      <c r="A1395" s="10">
        <v>45944</v>
      </c>
      <c r="B1395" s="2" t="str">
        <f t="shared" si="44"/>
        <v>Oct-2025</v>
      </c>
      <c r="C1395" s="2" t="str">
        <f t="shared" si="45"/>
        <v>Q3</v>
      </c>
      <c r="D1395" s="2" t="s">
        <v>28</v>
      </c>
      <c r="E1395" s="11" t="s">
        <v>303</v>
      </c>
      <c r="F1395" s="11" t="s">
        <v>14</v>
      </c>
      <c r="G1395" s="11" t="s">
        <v>507</v>
      </c>
      <c r="H1395" s="11" t="s">
        <v>60</v>
      </c>
      <c r="I1395" s="12">
        <v>2</v>
      </c>
      <c r="J1395" s="12">
        <v>120</v>
      </c>
      <c r="K1395" s="12">
        <v>98.03</v>
      </c>
      <c r="L1395" s="12">
        <v>11763.6</v>
      </c>
      <c r="M1395" s="12">
        <v>-1069.3100000000002</v>
      </c>
      <c r="N1395" s="12">
        <v>0</v>
      </c>
      <c r="O1395" s="12">
        <v>1390.257867</v>
      </c>
      <c r="P1395" s="12">
        <v>12084.547866999999</v>
      </c>
    </row>
    <row r="1396" spans="1:16" ht="14.5" x14ac:dyDescent="0.25">
      <c r="A1396" s="10">
        <v>45944</v>
      </c>
      <c r="B1396" s="2" t="str">
        <f t="shared" si="44"/>
        <v>Oct-2025</v>
      </c>
      <c r="C1396" s="2" t="str">
        <f t="shared" si="45"/>
        <v>Q3</v>
      </c>
      <c r="D1396" s="2" t="s">
        <v>28</v>
      </c>
      <c r="E1396" s="11" t="s">
        <v>303</v>
      </c>
      <c r="F1396" s="11" t="s">
        <v>14</v>
      </c>
      <c r="G1396" s="11" t="s">
        <v>505</v>
      </c>
      <c r="H1396" s="11" t="s">
        <v>49</v>
      </c>
      <c r="I1396" s="12">
        <v>2</v>
      </c>
      <c r="J1396" s="12">
        <v>360</v>
      </c>
      <c r="K1396" s="12">
        <v>182.53</v>
      </c>
      <c r="L1396" s="12">
        <v>65710.8</v>
      </c>
      <c r="M1396" s="12">
        <v>-5973.11</v>
      </c>
      <c r="N1396" s="12">
        <v>0</v>
      </c>
      <c r="O1396" s="12">
        <v>7765.9006330000002</v>
      </c>
      <c r="P1396" s="12">
        <v>67503.590633</v>
      </c>
    </row>
    <row r="1397" spans="1:16" ht="14.5" x14ac:dyDescent="0.25">
      <c r="A1397" s="10">
        <v>45946</v>
      </c>
      <c r="B1397" s="2" t="str">
        <f t="shared" si="44"/>
        <v>Oct-2025</v>
      </c>
      <c r="C1397" s="2" t="str">
        <f t="shared" si="45"/>
        <v>Q3</v>
      </c>
      <c r="D1397" s="2" t="s">
        <v>28</v>
      </c>
      <c r="E1397" s="11" t="s">
        <v>304</v>
      </c>
      <c r="F1397" s="11" t="s">
        <v>21</v>
      </c>
      <c r="G1397" s="11" t="s">
        <v>506</v>
      </c>
      <c r="H1397" s="11" t="s">
        <v>39</v>
      </c>
      <c r="I1397" s="12">
        <v>10.67</v>
      </c>
      <c r="J1397" s="12">
        <v>768</v>
      </c>
      <c r="K1397" s="12">
        <v>124.25</v>
      </c>
      <c r="L1397" s="12">
        <v>95424</v>
      </c>
      <c r="M1397" s="12">
        <v>0</v>
      </c>
      <c r="N1397" s="12">
        <v>0</v>
      </c>
      <c r="O1397" s="12">
        <v>12405.12</v>
      </c>
      <c r="P1397" s="12">
        <v>107829.12</v>
      </c>
    </row>
    <row r="1398" spans="1:16" ht="14.5" x14ac:dyDescent="0.25">
      <c r="A1398" s="10">
        <v>45947</v>
      </c>
      <c r="B1398" s="2" t="str">
        <f t="shared" si="44"/>
        <v>Oct-2025</v>
      </c>
      <c r="C1398" s="2" t="str">
        <f t="shared" si="45"/>
        <v>Q3</v>
      </c>
      <c r="D1398" s="2" t="s">
        <v>28</v>
      </c>
      <c r="E1398" s="11" t="s">
        <v>305</v>
      </c>
      <c r="F1398" s="11" t="s">
        <v>20</v>
      </c>
      <c r="G1398" s="11" t="s">
        <v>506</v>
      </c>
      <c r="H1398" s="11" t="s">
        <v>39</v>
      </c>
      <c r="I1398" s="12">
        <v>0.69</v>
      </c>
      <c r="J1398" s="12">
        <v>50</v>
      </c>
      <c r="K1398" s="12">
        <v>104</v>
      </c>
      <c r="L1398" s="12">
        <v>5200</v>
      </c>
      <c r="M1398" s="12">
        <v>0</v>
      </c>
      <c r="N1398" s="12">
        <v>0</v>
      </c>
      <c r="O1398" s="12">
        <v>676</v>
      </c>
      <c r="P1398" s="12">
        <v>5876</v>
      </c>
    </row>
    <row r="1399" spans="1:16" ht="14.5" x14ac:dyDescent="0.25">
      <c r="A1399" s="10">
        <v>45947</v>
      </c>
      <c r="B1399" s="2" t="str">
        <f t="shared" si="44"/>
        <v>Oct-2025</v>
      </c>
      <c r="C1399" s="2" t="str">
        <f t="shared" si="45"/>
        <v>Q3</v>
      </c>
      <c r="D1399" s="2" t="s">
        <v>28</v>
      </c>
      <c r="E1399" s="11" t="s">
        <v>306</v>
      </c>
      <c r="F1399" s="11" t="s">
        <v>38</v>
      </c>
      <c r="G1399" s="11" t="s">
        <v>506</v>
      </c>
      <c r="H1399" s="11" t="s">
        <v>39</v>
      </c>
      <c r="I1399" s="12">
        <v>4.17</v>
      </c>
      <c r="J1399" s="12">
        <v>300</v>
      </c>
      <c r="K1399" s="12">
        <v>104</v>
      </c>
      <c r="L1399" s="12">
        <v>31200</v>
      </c>
      <c r="M1399" s="12">
        <v>0</v>
      </c>
      <c r="N1399" s="12">
        <v>0</v>
      </c>
      <c r="O1399" s="12">
        <v>4056</v>
      </c>
      <c r="P1399" s="12">
        <v>35256</v>
      </c>
    </row>
    <row r="1400" spans="1:16" ht="14.5" x14ac:dyDescent="0.25">
      <c r="A1400" s="10">
        <v>45958</v>
      </c>
      <c r="B1400" s="2" t="str">
        <f t="shared" si="44"/>
        <v>Oct-2025</v>
      </c>
      <c r="C1400" s="2" t="str">
        <f t="shared" si="45"/>
        <v>Q3</v>
      </c>
      <c r="D1400" s="2" t="s">
        <v>28</v>
      </c>
      <c r="E1400" s="11" t="s">
        <v>307</v>
      </c>
      <c r="F1400" s="11" t="s">
        <v>21</v>
      </c>
      <c r="G1400" s="11" t="s">
        <v>506</v>
      </c>
      <c r="H1400" s="11" t="s">
        <v>39</v>
      </c>
      <c r="I1400" s="12">
        <v>0.67</v>
      </c>
      <c r="J1400" s="12">
        <v>48</v>
      </c>
      <c r="K1400" s="12">
        <v>124.25</v>
      </c>
      <c r="L1400" s="12">
        <v>5964</v>
      </c>
      <c r="M1400" s="12">
        <v>0</v>
      </c>
      <c r="N1400" s="12">
        <v>0</v>
      </c>
      <c r="O1400" s="12">
        <v>775.32</v>
      </c>
      <c r="P1400" s="12">
        <v>6739.32</v>
      </c>
    </row>
    <row r="1401" spans="1:16" ht="14.5" x14ac:dyDescent="0.25">
      <c r="A1401" s="10">
        <v>45961</v>
      </c>
      <c r="B1401" s="2" t="str">
        <f t="shared" si="44"/>
        <v>Oct-2025</v>
      </c>
      <c r="C1401" s="2" t="str">
        <f t="shared" si="45"/>
        <v>Q3</v>
      </c>
      <c r="D1401" s="2" t="s">
        <v>28</v>
      </c>
      <c r="E1401" s="11" t="s">
        <v>308</v>
      </c>
      <c r="F1401" s="11" t="s">
        <v>14</v>
      </c>
      <c r="G1401" s="11" t="s">
        <v>505</v>
      </c>
      <c r="H1401" s="11" t="s">
        <v>167</v>
      </c>
      <c r="I1401" s="12">
        <v>1</v>
      </c>
      <c r="J1401" s="12">
        <v>180</v>
      </c>
      <c r="K1401" s="12">
        <v>91.27</v>
      </c>
      <c r="L1401" s="12">
        <v>16428.599999999999</v>
      </c>
      <c r="M1401" s="12">
        <v>-1493.36</v>
      </c>
      <c r="N1401" s="12">
        <v>0</v>
      </c>
      <c r="O1401" s="12">
        <v>1941.581553</v>
      </c>
      <c r="P1401" s="12">
        <v>16876.821553000002</v>
      </c>
    </row>
    <row r="1402" spans="1:16" ht="14.5" x14ac:dyDescent="0.25">
      <c r="A1402" s="10">
        <v>45961</v>
      </c>
      <c r="B1402" s="2" t="str">
        <f t="shared" si="44"/>
        <v>Oct-2025</v>
      </c>
      <c r="C1402" s="2" t="str">
        <f t="shared" si="45"/>
        <v>Q3</v>
      </c>
      <c r="D1402" s="2" t="s">
        <v>28</v>
      </c>
      <c r="E1402" s="11" t="s">
        <v>308</v>
      </c>
      <c r="F1402" s="11" t="s">
        <v>14</v>
      </c>
      <c r="G1402" s="11" t="s">
        <v>505</v>
      </c>
      <c r="H1402" s="11" t="s">
        <v>62</v>
      </c>
      <c r="I1402" s="12">
        <v>1</v>
      </c>
      <c r="J1402" s="12">
        <v>40</v>
      </c>
      <c r="K1402" s="12">
        <v>439.44</v>
      </c>
      <c r="L1402" s="12">
        <v>17577.599999999999</v>
      </c>
      <c r="M1402" s="12">
        <v>-1597.8</v>
      </c>
      <c r="N1402" s="12">
        <v>0</v>
      </c>
      <c r="O1402" s="12">
        <v>2077.374378</v>
      </c>
      <c r="P1402" s="12">
        <v>18057.174378</v>
      </c>
    </row>
    <row r="1403" spans="1:16" ht="14.5" x14ac:dyDescent="0.25">
      <c r="A1403" s="10">
        <v>45961</v>
      </c>
      <c r="B1403" s="2" t="str">
        <f t="shared" si="44"/>
        <v>Oct-2025</v>
      </c>
      <c r="C1403" s="2" t="str">
        <f t="shared" si="45"/>
        <v>Q3</v>
      </c>
      <c r="D1403" s="2" t="s">
        <v>28</v>
      </c>
      <c r="E1403" s="11" t="s">
        <v>308</v>
      </c>
      <c r="F1403" s="11" t="s">
        <v>14</v>
      </c>
      <c r="G1403" s="11" t="s">
        <v>506</v>
      </c>
      <c r="H1403" s="11" t="s">
        <v>39</v>
      </c>
      <c r="I1403" s="12">
        <v>1</v>
      </c>
      <c r="J1403" s="12">
        <v>72</v>
      </c>
      <c r="K1403" s="12">
        <v>131.83000000000001</v>
      </c>
      <c r="L1403" s="12">
        <v>9491.76</v>
      </c>
      <c r="M1403" s="12">
        <v>-862.8</v>
      </c>
      <c r="N1403" s="12">
        <v>0</v>
      </c>
      <c r="O1403" s="12">
        <v>1121.7650039999999</v>
      </c>
      <c r="P1403" s="12">
        <v>9750.7250039999999</v>
      </c>
    </row>
    <row r="1404" spans="1:16" ht="14.5" x14ac:dyDescent="0.25">
      <c r="A1404" s="10">
        <v>45961</v>
      </c>
      <c r="B1404" s="2" t="str">
        <f t="shared" si="44"/>
        <v>Oct-2025</v>
      </c>
      <c r="C1404" s="2" t="str">
        <f t="shared" si="45"/>
        <v>Q3</v>
      </c>
      <c r="D1404" s="2" t="s">
        <v>28</v>
      </c>
      <c r="E1404" s="11" t="s">
        <v>308</v>
      </c>
      <c r="F1404" s="11" t="s">
        <v>14</v>
      </c>
      <c r="G1404" s="11" t="s">
        <v>505</v>
      </c>
      <c r="H1404" s="11" t="s">
        <v>50</v>
      </c>
      <c r="I1404" s="12">
        <v>1</v>
      </c>
      <c r="J1404" s="12">
        <v>80</v>
      </c>
      <c r="K1404" s="12">
        <v>169.01</v>
      </c>
      <c r="L1404" s="12">
        <v>13520.8</v>
      </c>
      <c r="M1404" s="12">
        <v>-1229.04</v>
      </c>
      <c r="N1404" s="12">
        <v>0</v>
      </c>
      <c r="O1404" s="12">
        <v>1597.9290900000001</v>
      </c>
      <c r="P1404" s="12">
        <v>13889.68909</v>
      </c>
    </row>
    <row r="1405" spans="1:16" ht="14.5" x14ac:dyDescent="0.25">
      <c r="A1405" s="10">
        <v>45961</v>
      </c>
      <c r="B1405" s="2" t="str">
        <f t="shared" si="44"/>
        <v>Oct-2025</v>
      </c>
      <c r="C1405" s="2" t="str">
        <f t="shared" si="45"/>
        <v>Q3</v>
      </c>
      <c r="D1405" s="2" t="s">
        <v>28</v>
      </c>
      <c r="E1405" s="11" t="s">
        <v>308</v>
      </c>
      <c r="F1405" s="11" t="s">
        <v>14</v>
      </c>
      <c r="G1405" s="11" t="s">
        <v>503</v>
      </c>
      <c r="H1405" s="11" t="s">
        <v>166</v>
      </c>
      <c r="I1405" s="12">
        <v>1</v>
      </c>
      <c r="J1405" s="12">
        <v>120</v>
      </c>
      <c r="K1405" s="12">
        <v>64.23</v>
      </c>
      <c r="L1405" s="12">
        <v>7707.5999999999995</v>
      </c>
      <c r="M1405" s="12">
        <v>-700.62</v>
      </c>
      <c r="N1405" s="12">
        <v>0</v>
      </c>
      <c r="O1405" s="12">
        <v>910.90756599999997</v>
      </c>
      <c r="P1405" s="12">
        <v>7917.8875660000003</v>
      </c>
    </row>
    <row r="1406" spans="1:16" ht="14.5" x14ac:dyDescent="0.25">
      <c r="A1406" s="10">
        <v>45961</v>
      </c>
      <c r="B1406" s="2" t="str">
        <f t="shared" si="44"/>
        <v>Oct-2025</v>
      </c>
      <c r="C1406" s="2" t="str">
        <f t="shared" si="45"/>
        <v>Q3</v>
      </c>
      <c r="D1406" s="2" t="s">
        <v>28</v>
      </c>
      <c r="E1406" s="11" t="s">
        <v>308</v>
      </c>
      <c r="F1406" s="11" t="s">
        <v>14</v>
      </c>
      <c r="G1406" s="11" t="s">
        <v>504</v>
      </c>
      <c r="H1406" s="11" t="s">
        <v>67</v>
      </c>
      <c r="I1406" s="12">
        <v>1</v>
      </c>
      <c r="J1406" s="12">
        <v>40</v>
      </c>
      <c r="K1406" s="12">
        <v>393.46</v>
      </c>
      <c r="L1406" s="12">
        <v>15738.4</v>
      </c>
      <c r="M1406" s="12">
        <v>-1430.6200000000001</v>
      </c>
      <c r="N1406" s="12">
        <v>0</v>
      </c>
      <c r="O1406" s="12">
        <v>1860.0117379999999</v>
      </c>
      <c r="P1406" s="12">
        <v>16167.791738</v>
      </c>
    </row>
    <row r="1407" spans="1:16" ht="14.5" x14ac:dyDescent="0.25">
      <c r="A1407" s="10">
        <v>45961</v>
      </c>
      <c r="B1407" s="2" t="str">
        <f t="shared" si="44"/>
        <v>Oct-2025</v>
      </c>
      <c r="C1407" s="2" t="str">
        <f t="shared" si="45"/>
        <v>Q3</v>
      </c>
      <c r="D1407" s="2" t="s">
        <v>28</v>
      </c>
      <c r="E1407" s="11" t="s">
        <v>308</v>
      </c>
      <c r="F1407" s="11" t="s">
        <v>14</v>
      </c>
      <c r="G1407" s="11" t="s">
        <v>505</v>
      </c>
      <c r="H1407" s="11" t="s">
        <v>168</v>
      </c>
      <c r="I1407" s="12">
        <v>1</v>
      </c>
      <c r="J1407" s="12">
        <v>80</v>
      </c>
      <c r="K1407" s="12">
        <v>229.86</v>
      </c>
      <c r="L1407" s="12">
        <v>18388.8</v>
      </c>
      <c r="M1407" s="12">
        <v>-1671.54</v>
      </c>
      <c r="N1407" s="12">
        <v>0</v>
      </c>
      <c r="O1407" s="12">
        <v>2173.2441949999998</v>
      </c>
      <c r="P1407" s="12">
        <v>18890.504195000001</v>
      </c>
    </row>
    <row r="1408" spans="1:16" ht="14.5" x14ac:dyDescent="0.25">
      <c r="A1408" s="10">
        <v>45961</v>
      </c>
      <c r="B1408" s="2" t="str">
        <f t="shared" si="44"/>
        <v>Oct-2025</v>
      </c>
      <c r="C1408" s="2" t="str">
        <f t="shared" si="45"/>
        <v>Q3</v>
      </c>
      <c r="D1408" s="2" t="s">
        <v>28</v>
      </c>
      <c r="E1408" s="11" t="s">
        <v>308</v>
      </c>
      <c r="F1408" s="11" t="s">
        <v>14</v>
      </c>
      <c r="G1408" s="11" t="s">
        <v>503</v>
      </c>
      <c r="H1408" s="11" t="s">
        <v>174</v>
      </c>
      <c r="I1408" s="12">
        <v>1</v>
      </c>
      <c r="J1408" s="12">
        <v>180</v>
      </c>
      <c r="K1408" s="12">
        <v>83.82</v>
      </c>
      <c r="L1408" s="12">
        <v>15087.6</v>
      </c>
      <c r="M1408" s="12">
        <v>-1371.4599999999998</v>
      </c>
      <c r="N1408" s="12">
        <v>0</v>
      </c>
      <c r="O1408" s="12">
        <v>1783.098524</v>
      </c>
      <c r="P1408" s="12">
        <v>15499.238524</v>
      </c>
    </row>
    <row r="1409" spans="1:16" ht="14.5" x14ac:dyDescent="0.25">
      <c r="A1409" s="10">
        <v>45961</v>
      </c>
      <c r="B1409" s="2" t="str">
        <f t="shared" si="44"/>
        <v>Oct-2025</v>
      </c>
      <c r="C1409" s="2" t="str">
        <f t="shared" si="45"/>
        <v>Q3</v>
      </c>
      <c r="D1409" s="2" t="s">
        <v>28</v>
      </c>
      <c r="E1409" s="11" t="s">
        <v>308</v>
      </c>
      <c r="F1409" s="11" t="s">
        <v>14</v>
      </c>
      <c r="G1409" s="11" t="s">
        <v>507</v>
      </c>
      <c r="H1409" s="11" t="s">
        <v>60</v>
      </c>
      <c r="I1409" s="12">
        <v>2</v>
      </c>
      <c r="J1409" s="12">
        <v>120</v>
      </c>
      <c r="K1409" s="12">
        <v>98.03</v>
      </c>
      <c r="L1409" s="12">
        <v>11763.6</v>
      </c>
      <c r="M1409" s="12">
        <v>-1069.3100000000002</v>
      </c>
      <c r="N1409" s="12">
        <v>0</v>
      </c>
      <c r="O1409" s="12">
        <v>1390.257953</v>
      </c>
      <c r="P1409" s="12">
        <v>12084.547952999999</v>
      </c>
    </row>
    <row r="1410" spans="1:16" ht="14.5" x14ac:dyDescent="0.25">
      <c r="A1410" s="10">
        <v>45961</v>
      </c>
      <c r="B1410" s="2" t="str">
        <f t="shared" si="44"/>
        <v>Oct-2025</v>
      </c>
      <c r="C1410" s="2" t="str">
        <f t="shared" si="45"/>
        <v>Q3</v>
      </c>
      <c r="D1410" s="2" t="s">
        <v>28</v>
      </c>
      <c r="E1410" s="11" t="s">
        <v>309</v>
      </c>
      <c r="F1410" s="11" t="s">
        <v>21</v>
      </c>
      <c r="G1410" s="11" t="s">
        <v>506</v>
      </c>
      <c r="H1410" s="11" t="s">
        <v>54</v>
      </c>
      <c r="I1410" s="12">
        <v>2.88</v>
      </c>
      <c r="J1410" s="12">
        <v>138</v>
      </c>
      <c r="K1410" s="12">
        <v>293.10000000000002</v>
      </c>
      <c r="L1410" s="12">
        <v>40447.800000000003</v>
      </c>
      <c r="M1410" s="12">
        <v>0</v>
      </c>
      <c r="N1410" s="12">
        <v>0</v>
      </c>
      <c r="O1410" s="12">
        <v>5258.2127259999997</v>
      </c>
      <c r="P1410" s="12">
        <v>45706.012726000001</v>
      </c>
    </row>
    <row r="1411" spans="1:16" ht="14.5" x14ac:dyDescent="0.25">
      <c r="A1411" s="10">
        <v>45961</v>
      </c>
      <c r="B1411" s="2" t="str">
        <f t="shared" si="44"/>
        <v>Oct-2025</v>
      </c>
      <c r="C1411" s="2" t="str">
        <f t="shared" si="45"/>
        <v>Q3</v>
      </c>
      <c r="D1411" s="2" t="s">
        <v>28</v>
      </c>
      <c r="E1411" s="11" t="s">
        <v>309</v>
      </c>
      <c r="F1411" s="11" t="s">
        <v>21</v>
      </c>
      <c r="G1411" s="11" t="s">
        <v>506</v>
      </c>
      <c r="H1411" s="11" t="s">
        <v>39</v>
      </c>
      <c r="I1411" s="12">
        <v>1</v>
      </c>
      <c r="J1411" s="12">
        <v>72</v>
      </c>
      <c r="K1411" s="12">
        <v>124.25</v>
      </c>
      <c r="L1411" s="12">
        <v>8946</v>
      </c>
      <c r="M1411" s="12">
        <v>0</v>
      </c>
      <c r="N1411" s="12">
        <v>0</v>
      </c>
      <c r="O1411" s="12">
        <v>1162.979718</v>
      </c>
      <c r="P1411" s="12">
        <v>10108.979718000001</v>
      </c>
    </row>
    <row r="1412" spans="1:16" ht="14.5" x14ac:dyDescent="0.25">
      <c r="A1412" s="10">
        <v>45961</v>
      </c>
      <c r="B1412" s="2" t="str">
        <f t="shared" si="44"/>
        <v>Oct-2025</v>
      </c>
      <c r="C1412" s="2" t="str">
        <f t="shared" si="45"/>
        <v>Q3</v>
      </c>
      <c r="D1412" s="2" t="s">
        <v>28</v>
      </c>
      <c r="E1412" s="11" t="s">
        <v>309</v>
      </c>
      <c r="F1412" s="11" t="s">
        <v>21</v>
      </c>
      <c r="G1412" s="11" t="s">
        <v>506</v>
      </c>
      <c r="H1412" s="11" t="s">
        <v>58</v>
      </c>
      <c r="I1412" s="12">
        <v>3.92</v>
      </c>
      <c r="J1412" s="12">
        <v>282</v>
      </c>
      <c r="K1412" s="12">
        <v>140.18</v>
      </c>
      <c r="L1412" s="12">
        <v>39530.759999999995</v>
      </c>
      <c r="M1412" s="12">
        <v>0</v>
      </c>
      <c r="N1412" s="12">
        <v>0</v>
      </c>
      <c r="O1412" s="12">
        <v>5138.9975549999999</v>
      </c>
      <c r="P1412" s="12">
        <v>44669.757554999997</v>
      </c>
    </row>
    <row r="1413" spans="1:16" ht="14.5" x14ac:dyDescent="0.25">
      <c r="A1413" s="10">
        <v>45961</v>
      </c>
      <c r="B1413" s="2" t="str">
        <f t="shared" si="44"/>
        <v>Oct-2025</v>
      </c>
      <c r="C1413" s="2" t="str">
        <f t="shared" si="45"/>
        <v>Q3</v>
      </c>
      <c r="D1413" s="2" t="s">
        <v>28</v>
      </c>
      <c r="E1413" s="11" t="s">
        <v>310</v>
      </c>
      <c r="F1413" s="11" t="s">
        <v>116</v>
      </c>
      <c r="G1413" s="11" t="s">
        <v>503</v>
      </c>
      <c r="H1413" s="11" t="s">
        <v>42</v>
      </c>
      <c r="I1413" s="12">
        <v>1</v>
      </c>
      <c r="J1413" s="12">
        <v>120</v>
      </c>
      <c r="K1413" s="12">
        <v>141.97</v>
      </c>
      <c r="L1413" s="12">
        <v>17036.400000000001</v>
      </c>
      <c r="M1413" s="12">
        <v>-1548.61</v>
      </c>
      <c r="N1413" s="12">
        <v>0</v>
      </c>
      <c r="O1413" s="12">
        <v>2013.4128539999999</v>
      </c>
      <c r="P1413" s="12">
        <v>17501.202853999999</v>
      </c>
    </row>
    <row r="1414" spans="1:16" ht="14.5" x14ac:dyDescent="0.25">
      <c r="A1414" s="10">
        <v>45961</v>
      </c>
      <c r="B1414" s="2" t="str">
        <f t="shared" si="44"/>
        <v>Oct-2025</v>
      </c>
      <c r="C1414" s="2" t="str">
        <f t="shared" si="45"/>
        <v>Q3</v>
      </c>
      <c r="D1414" s="2" t="s">
        <v>28</v>
      </c>
      <c r="E1414" s="11" t="s">
        <v>310</v>
      </c>
      <c r="F1414" s="11" t="s">
        <v>116</v>
      </c>
      <c r="G1414" s="11" t="s">
        <v>503</v>
      </c>
      <c r="H1414" s="11" t="s">
        <v>172</v>
      </c>
      <c r="I1414" s="12">
        <v>1</v>
      </c>
      <c r="J1414" s="12">
        <v>180</v>
      </c>
      <c r="K1414" s="12">
        <v>98.03</v>
      </c>
      <c r="L1414" s="12">
        <v>17645.400000000001</v>
      </c>
      <c r="M1414" s="12">
        <v>-1603.97</v>
      </c>
      <c r="N1414" s="12">
        <v>0</v>
      </c>
      <c r="O1414" s="12">
        <v>2085.3860599999998</v>
      </c>
      <c r="P1414" s="12">
        <v>18126.816060000001</v>
      </c>
    </row>
    <row r="1415" spans="1:16" ht="14.5" x14ac:dyDescent="0.25">
      <c r="A1415" s="10">
        <v>45961</v>
      </c>
      <c r="B1415" s="2" t="str">
        <f t="shared" si="44"/>
        <v>Oct-2025</v>
      </c>
      <c r="C1415" s="2" t="str">
        <f t="shared" si="45"/>
        <v>Q3</v>
      </c>
      <c r="D1415" s="2" t="s">
        <v>28</v>
      </c>
      <c r="E1415" s="11" t="s">
        <v>310</v>
      </c>
      <c r="F1415" s="11" t="s">
        <v>116</v>
      </c>
      <c r="G1415" s="11" t="s">
        <v>503</v>
      </c>
      <c r="H1415" s="11" t="s">
        <v>179</v>
      </c>
      <c r="I1415" s="12">
        <v>0.5</v>
      </c>
      <c r="J1415" s="12">
        <v>90</v>
      </c>
      <c r="K1415" s="12">
        <v>128.44999999999999</v>
      </c>
      <c r="L1415" s="12">
        <v>11560.500000000002</v>
      </c>
      <c r="M1415" s="12">
        <v>-1050.8499999999999</v>
      </c>
      <c r="N1415" s="12">
        <v>0</v>
      </c>
      <c r="O1415" s="12">
        <v>1366.2546049999999</v>
      </c>
      <c r="P1415" s="12">
        <v>11875.904605</v>
      </c>
    </row>
    <row r="1416" spans="1:16" ht="14.5" x14ac:dyDescent="0.25">
      <c r="A1416" s="10">
        <v>45961</v>
      </c>
      <c r="B1416" s="2" t="str">
        <f t="shared" si="44"/>
        <v>Oct-2025</v>
      </c>
      <c r="C1416" s="2" t="str">
        <f t="shared" si="45"/>
        <v>Q3</v>
      </c>
      <c r="D1416" s="2" t="s">
        <v>28</v>
      </c>
      <c r="E1416" s="11" t="s">
        <v>310</v>
      </c>
      <c r="F1416" s="11" t="s">
        <v>116</v>
      </c>
      <c r="G1416" s="11" t="s">
        <v>505</v>
      </c>
      <c r="H1416" s="11" t="s">
        <v>167</v>
      </c>
      <c r="I1416" s="12">
        <v>0.5</v>
      </c>
      <c r="J1416" s="12">
        <v>90</v>
      </c>
      <c r="K1416" s="12">
        <v>91.27</v>
      </c>
      <c r="L1416" s="12">
        <v>8214.2999999999993</v>
      </c>
      <c r="M1416" s="12">
        <v>-746.68</v>
      </c>
      <c r="N1416" s="12">
        <v>0</v>
      </c>
      <c r="O1416" s="12">
        <v>970.79067400000008</v>
      </c>
      <c r="P1416" s="12">
        <v>8438.4106740000007</v>
      </c>
    </row>
    <row r="1417" spans="1:16" ht="14.5" x14ac:dyDescent="0.25">
      <c r="A1417" s="10">
        <v>45961</v>
      </c>
      <c r="B1417" s="2" t="str">
        <f t="shared" si="44"/>
        <v>Oct-2025</v>
      </c>
      <c r="C1417" s="2" t="str">
        <f t="shared" si="45"/>
        <v>Q3</v>
      </c>
      <c r="D1417" s="2" t="s">
        <v>28</v>
      </c>
      <c r="E1417" s="11" t="s">
        <v>310</v>
      </c>
      <c r="F1417" s="11" t="s">
        <v>116</v>
      </c>
      <c r="G1417" s="11" t="s">
        <v>503</v>
      </c>
      <c r="H1417" s="11" t="s">
        <v>166</v>
      </c>
      <c r="I1417" s="12">
        <v>1</v>
      </c>
      <c r="J1417" s="12">
        <v>120</v>
      </c>
      <c r="K1417" s="12">
        <v>64.23</v>
      </c>
      <c r="L1417" s="12">
        <v>7707.5999999999995</v>
      </c>
      <c r="M1417" s="12">
        <v>-700.62</v>
      </c>
      <c r="N1417" s="12">
        <v>0</v>
      </c>
      <c r="O1417" s="12">
        <v>910.90746999999999</v>
      </c>
      <c r="P1417" s="12">
        <v>7917.8874699999997</v>
      </c>
    </row>
    <row r="1418" spans="1:16" ht="14.5" x14ac:dyDescent="0.25">
      <c r="A1418" s="10">
        <v>45961</v>
      </c>
      <c r="B1418" s="2" t="str">
        <f t="shared" si="44"/>
        <v>Oct-2025</v>
      </c>
      <c r="C1418" s="2" t="str">
        <f t="shared" si="45"/>
        <v>Q3</v>
      </c>
      <c r="D1418" s="2" t="s">
        <v>28</v>
      </c>
      <c r="E1418" s="11" t="s">
        <v>310</v>
      </c>
      <c r="F1418" s="11" t="s">
        <v>116</v>
      </c>
      <c r="G1418" s="11" t="s">
        <v>503</v>
      </c>
      <c r="H1418" s="11" t="s">
        <v>174</v>
      </c>
      <c r="I1418" s="12">
        <v>1</v>
      </c>
      <c r="J1418" s="12">
        <v>180</v>
      </c>
      <c r="K1418" s="12">
        <v>83.82</v>
      </c>
      <c r="L1418" s="12">
        <v>15087.6</v>
      </c>
      <c r="M1418" s="12">
        <v>-1371.4599999999998</v>
      </c>
      <c r="N1418" s="12">
        <v>0</v>
      </c>
      <c r="O1418" s="12">
        <v>1783.0983370000001</v>
      </c>
      <c r="P1418" s="12">
        <v>15499.238337000001</v>
      </c>
    </row>
    <row r="1419" spans="1:16" ht="14.5" x14ac:dyDescent="0.25">
      <c r="A1419" s="10">
        <v>45964</v>
      </c>
      <c r="B1419" s="2" t="str">
        <f t="shared" si="44"/>
        <v>Nov-2025</v>
      </c>
      <c r="C1419" s="2" t="str">
        <f t="shared" si="45"/>
        <v>Q3</v>
      </c>
      <c r="D1419" s="2" t="s">
        <v>28</v>
      </c>
      <c r="E1419" s="11" t="s">
        <v>311</v>
      </c>
      <c r="F1419" s="11" t="s">
        <v>104</v>
      </c>
      <c r="G1419" s="11" t="s">
        <v>504</v>
      </c>
      <c r="H1419" s="11" t="s">
        <v>69</v>
      </c>
      <c r="I1419" s="12">
        <v>7.0000000000000007E-2</v>
      </c>
      <c r="J1419" s="12">
        <v>7</v>
      </c>
      <c r="K1419" s="12">
        <v>169.91</v>
      </c>
      <c r="L1419" s="12">
        <v>1189.3699999999999</v>
      </c>
      <c r="M1419" s="12">
        <v>0</v>
      </c>
      <c r="N1419" s="12">
        <v>0</v>
      </c>
      <c r="O1419" s="12">
        <v>154.61827299999999</v>
      </c>
      <c r="P1419" s="12">
        <v>1343.9882729999999</v>
      </c>
    </row>
    <row r="1420" spans="1:16" ht="14.5" x14ac:dyDescent="0.25">
      <c r="A1420" s="10">
        <v>45964</v>
      </c>
      <c r="B1420" s="2" t="str">
        <f t="shared" si="44"/>
        <v>Nov-2025</v>
      </c>
      <c r="C1420" s="2" t="str">
        <f t="shared" si="45"/>
        <v>Q3</v>
      </c>
      <c r="D1420" s="2" t="s">
        <v>28</v>
      </c>
      <c r="E1420" s="11" t="s">
        <v>311</v>
      </c>
      <c r="F1420" s="11" t="s">
        <v>104</v>
      </c>
      <c r="G1420" s="11" t="s">
        <v>505</v>
      </c>
      <c r="H1420" s="11" t="s">
        <v>50</v>
      </c>
      <c r="I1420" s="12">
        <v>0.1</v>
      </c>
      <c r="J1420" s="12">
        <v>8</v>
      </c>
      <c r="K1420" s="12">
        <v>176.99</v>
      </c>
      <c r="L1420" s="12">
        <v>1415.92</v>
      </c>
      <c r="M1420" s="12">
        <v>0</v>
      </c>
      <c r="N1420" s="12">
        <v>0</v>
      </c>
      <c r="O1420" s="12">
        <v>184.069806</v>
      </c>
      <c r="P1420" s="12">
        <v>1599.989806</v>
      </c>
    </row>
    <row r="1421" spans="1:16" ht="14.5" x14ac:dyDescent="0.25">
      <c r="A1421" s="10">
        <v>45964</v>
      </c>
      <c r="B1421" s="2" t="str">
        <f t="shared" si="44"/>
        <v>Nov-2025</v>
      </c>
      <c r="C1421" s="2" t="str">
        <f t="shared" si="45"/>
        <v>Q3</v>
      </c>
      <c r="D1421" s="2" t="s">
        <v>28</v>
      </c>
      <c r="E1421" s="11" t="s">
        <v>311</v>
      </c>
      <c r="F1421" s="11" t="s">
        <v>104</v>
      </c>
      <c r="G1421" s="11" t="s">
        <v>506</v>
      </c>
      <c r="H1421" s="11" t="s">
        <v>39</v>
      </c>
      <c r="I1421" s="12">
        <v>0.19</v>
      </c>
      <c r="J1421" s="12">
        <v>14</v>
      </c>
      <c r="K1421" s="12">
        <v>138.05000000000001</v>
      </c>
      <c r="L1421" s="12">
        <v>1932.7</v>
      </c>
      <c r="M1421" s="12">
        <v>0</v>
      </c>
      <c r="N1421" s="12">
        <v>0</v>
      </c>
      <c r="O1421" s="12">
        <v>251.25128100000001</v>
      </c>
      <c r="P1421" s="12">
        <v>2183.9512810000001</v>
      </c>
    </row>
    <row r="1422" spans="1:16" ht="14.5" x14ac:dyDescent="0.25">
      <c r="A1422" s="10">
        <v>45964</v>
      </c>
      <c r="B1422" s="2" t="str">
        <f t="shared" si="44"/>
        <v>Nov-2025</v>
      </c>
      <c r="C1422" s="2" t="str">
        <f t="shared" si="45"/>
        <v>Q3</v>
      </c>
      <c r="D1422" s="2" t="s">
        <v>28</v>
      </c>
      <c r="E1422" s="11" t="s">
        <v>311</v>
      </c>
      <c r="F1422" s="11" t="s">
        <v>104</v>
      </c>
      <c r="G1422" s="11" t="s">
        <v>507</v>
      </c>
      <c r="H1422" s="11" t="s">
        <v>60</v>
      </c>
      <c r="I1422" s="12">
        <v>0.08</v>
      </c>
      <c r="J1422" s="12">
        <v>5</v>
      </c>
      <c r="K1422" s="12">
        <v>102.65</v>
      </c>
      <c r="L1422" s="12">
        <v>513.25</v>
      </c>
      <c r="M1422" s="12">
        <v>0</v>
      </c>
      <c r="N1422" s="12">
        <v>0</v>
      </c>
      <c r="O1422" s="12">
        <v>66.722573999999994</v>
      </c>
      <c r="P1422" s="12">
        <v>579.97257400000001</v>
      </c>
    </row>
    <row r="1423" spans="1:16" ht="14.5" x14ac:dyDescent="0.25">
      <c r="A1423" s="10">
        <v>45964</v>
      </c>
      <c r="B1423" s="2" t="str">
        <f t="shared" si="44"/>
        <v>Nov-2025</v>
      </c>
      <c r="C1423" s="2" t="str">
        <f t="shared" si="45"/>
        <v>Q3</v>
      </c>
      <c r="D1423" s="2" t="s">
        <v>28</v>
      </c>
      <c r="E1423" s="11" t="s">
        <v>311</v>
      </c>
      <c r="F1423" s="11" t="s">
        <v>104</v>
      </c>
      <c r="G1423" s="11" t="s">
        <v>503</v>
      </c>
      <c r="H1423" s="11" t="s">
        <v>89</v>
      </c>
      <c r="I1423" s="12">
        <v>0.04</v>
      </c>
      <c r="J1423" s="12">
        <v>5</v>
      </c>
      <c r="K1423" s="12">
        <v>120.35</v>
      </c>
      <c r="L1423" s="12">
        <v>601.75000000000011</v>
      </c>
      <c r="M1423" s="12">
        <v>0</v>
      </c>
      <c r="N1423" s="12">
        <v>0</v>
      </c>
      <c r="O1423" s="12">
        <v>78.227587</v>
      </c>
      <c r="P1423" s="12">
        <v>679.97758699999997</v>
      </c>
    </row>
    <row r="1424" spans="1:16" ht="14.5" x14ac:dyDescent="0.25">
      <c r="A1424" s="10">
        <v>45964</v>
      </c>
      <c r="B1424" s="2" t="str">
        <f t="shared" si="44"/>
        <v>Nov-2025</v>
      </c>
      <c r="C1424" s="2" t="str">
        <f t="shared" si="45"/>
        <v>Q3</v>
      </c>
      <c r="D1424" s="2" t="s">
        <v>28</v>
      </c>
      <c r="E1424" s="11" t="s">
        <v>311</v>
      </c>
      <c r="F1424" s="11" t="s">
        <v>104</v>
      </c>
      <c r="G1424" s="11" t="s">
        <v>503</v>
      </c>
      <c r="H1424" s="11" t="s">
        <v>51</v>
      </c>
      <c r="I1424" s="12">
        <v>0.03</v>
      </c>
      <c r="J1424" s="12">
        <v>6</v>
      </c>
      <c r="K1424" s="12">
        <v>65.13</v>
      </c>
      <c r="L1424" s="12">
        <v>390.78</v>
      </c>
      <c r="M1424" s="12">
        <v>0</v>
      </c>
      <c r="N1424" s="12">
        <v>0</v>
      </c>
      <c r="O1424" s="12">
        <v>50.801456999999999</v>
      </c>
      <c r="P1424" s="12">
        <v>441.581457</v>
      </c>
    </row>
    <row r="1425" spans="1:16" ht="14.5" x14ac:dyDescent="0.25">
      <c r="A1425" s="10">
        <v>45964</v>
      </c>
      <c r="B1425" s="2" t="str">
        <f t="shared" si="44"/>
        <v>Nov-2025</v>
      </c>
      <c r="C1425" s="2" t="str">
        <f t="shared" si="45"/>
        <v>Q3</v>
      </c>
      <c r="D1425" s="2" t="s">
        <v>28</v>
      </c>
      <c r="E1425" s="11" t="s">
        <v>311</v>
      </c>
      <c r="F1425" s="11" t="s">
        <v>104</v>
      </c>
      <c r="G1425" s="11" t="s">
        <v>503</v>
      </c>
      <c r="H1425" s="11" t="s">
        <v>45</v>
      </c>
      <c r="I1425" s="12">
        <v>0.04</v>
      </c>
      <c r="J1425" s="12">
        <v>8</v>
      </c>
      <c r="K1425" s="12">
        <v>65.13</v>
      </c>
      <c r="L1425" s="12">
        <v>521.04</v>
      </c>
      <c r="M1425" s="12">
        <v>0</v>
      </c>
      <c r="N1425" s="12">
        <v>0</v>
      </c>
      <c r="O1425" s="12">
        <v>67.735275999999999</v>
      </c>
      <c r="P1425" s="12">
        <v>588.77527599999996</v>
      </c>
    </row>
    <row r="1426" spans="1:16" ht="14.5" x14ac:dyDescent="0.25">
      <c r="A1426" s="10">
        <v>45964</v>
      </c>
      <c r="B1426" s="2" t="str">
        <f t="shared" si="44"/>
        <v>Nov-2025</v>
      </c>
      <c r="C1426" s="2" t="str">
        <f t="shared" si="45"/>
        <v>Q3</v>
      </c>
      <c r="D1426" s="2" t="s">
        <v>28</v>
      </c>
      <c r="E1426" s="11" t="s">
        <v>311</v>
      </c>
      <c r="F1426" s="11" t="s">
        <v>104</v>
      </c>
      <c r="G1426" s="11" t="s">
        <v>505</v>
      </c>
      <c r="H1426" s="11" t="s">
        <v>55</v>
      </c>
      <c r="I1426" s="12">
        <v>0.05</v>
      </c>
      <c r="J1426" s="12">
        <v>6</v>
      </c>
      <c r="K1426" s="12">
        <v>155.75</v>
      </c>
      <c r="L1426" s="12">
        <v>934.5</v>
      </c>
      <c r="M1426" s="12">
        <v>0</v>
      </c>
      <c r="N1426" s="12">
        <v>0</v>
      </c>
      <c r="O1426" s="12">
        <v>121.485136</v>
      </c>
      <c r="P1426" s="12">
        <v>1055.985136</v>
      </c>
    </row>
    <row r="1427" spans="1:16" ht="14.5" x14ac:dyDescent="0.25">
      <c r="A1427" s="10">
        <v>45964</v>
      </c>
      <c r="B1427" s="2" t="str">
        <f t="shared" si="44"/>
        <v>Nov-2025</v>
      </c>
      <c r="C1427" s="2" t="str">
        <f t="shared" si="45"/>
        <v>Q3</v>
      </c>
      <c r="D1427" s="2" t="s">
        <v>28</v>
      </c>
      <c r="E1427" s="11" t="s">
        <v>311</v>
      </c>
      <c r="F1427" s="11" t="s">
        <v>104</v>
      </c>
      <c r="G1427" s="11" t="s">
        <v>507</v>
      </c>
      <c r="H1427" s="11" t="s">
        <v>90</v>
      </c>
      <c r="I1427" s="12">
        <v>0.57999999999999996</v>
      </c>
      <c r="J1427" s="12">
        <v>70</v>
      </c>
      <c r="K1427" s="12">
        <v>60.18</v>
      </c>
      <c r="L1427" s="12">
        <v>4212.6000000000004</v>
      </c>
      <c r="M1427" s="12">
        <v>0</v>
      </c>
      <c r="N1427" s="12">
        <v>0</v>
      </c>
      <c r="O1427" s="12">
        <v>547.63861099999997</v>
      </c>
      <c r="P1427" s="12">
        <v>4760.2386109999998</v>
      </c>
    </row>
    <row r="1428" spans="1:16" ht="14.5" x14ac:dyDescent="0.25">
      <c r="A1428" s="10">
        <v>45965</v>
      </c>
      <c r="B1428" s="2" t="str">
        <f t="shared" si="44"/>
        <v>Nov-2025</v>
      </c>
      <c r="C1428" s="2" t="str">
        <f t="shared" si="45"/>
        <v>Q3</v>
      </c>
      <c r="D1428" s="2" t="s">
        <v>28</v>
      </c>
      <c r="E1428" s="11" t="s">
        <v>312</v>
      </c>
      <c r="F1428" s="11" t="s">
        <v>104</v>
      </c>
      <c r="G1428" s="11" t="s">
        <v>503</v>
      </c>
      <c r="H1428" s="11" t="s">
        <v>51</v>
      </c>
      <c r="I1428" s="12">
        <v>0.06</v>
      </c>
      <c r="J1428" s="12">
        <v>10</v>
      </c>
      <c r="K1428" s="12">
        <v>65.13</v>
      </c>
      <c r="L1428" s="12">
        <v>651.29999999999995</v>
      </c>
      <c r="M1428" s="12">
        <v>0</v>
      </c>
      <c r="N1428" s="12">
        <v>0</v>
      </c>
      <c r="O1428" s="12">
        <v>84.668864999999997</v>
      </c>
      <c r="P1428" s="12">
        <v>735.96886500000005</v>
      </c>
    </row>
    <row r="1429" spans="1:16" ht="14.5" x14ac:dyDescent="0.25">
      <c r="A1429" s="10">
        <v>45965</v>
      </c>
      <c r="B1429" s="2" t="str">
        <f t="shared" si="44"/>
        <v>Nov-2025</v>
      </c>
      <c r="C1429" s="2" t="str">
        <f t="shared" si="45"/>
        <v>Q3</v>
      </c>
      <c r="D1429" s="2" t="s">
        <v>28</v>
      </c>
      <c r="E1429" s="11" t="s">
        <v>312</v>
      </c>
      <c r="F1429" s="11" t="s">
        <v>104</v>
      </c>
      <c r="G1429" s="11" t="s">
        <v>507</v>
      </c>
      <c r="H1429" s="11" t="s">
        <v>60</v>
      </c>
      <c r="I1429" s="12">
        <v>0.33</v>
      </c>
      <c r="J1429" s="12">
        <v>20</v>
      </c>
      <c r="K1429" s="12">
        <v>102.65</v>
      </c>
      <c r="L1429" s="12">
        <v>2053</v>
      </c>
      <c r="M1429" s="12">
        <v>0</v>
      </c>
      <c r="N1429" s="12">
        <v>0</v>
      </c>
      <c r="O1429" s="12">
        <v>266.88957499999998</v>
      </c>
      <c r="P1429" s="12">
        <v>2319.8895750000001</v>
      </c>
    </row>
    <row r="1430" spans="1:16" ht="14.5" x14ac:dyDescent="0.25">
      <c r="A1430" s="10">
        <v>45965</v>
      </c>
      <c r="B1430" s="2" t="str">
        <f t="shared" si="44"/>
        <v>Nov-2025</v>
      </c>
      <c r="C1430" s="2" t="str">
        <f t="shared" si="45"/>
        <v>Q3</v>
      </c>
      <c r="D1430" s="2" t="s">
        <v>28</v>
      </c>
      <c r="E1430" s="11" t="s">
        <v>312</v>
      </c>
      <c r="F1430" s="11" t="s">
        <v>104</v>
      </c>
      <c r="G1430" s="11" t="s">
        <v>503</v>
      </c>
      <c r="H1430" s="11" t="s">
        <v>42</v>
      </c>
      <c r="I1430" s="12">
        <v>0.08</v>
      </c>
      <c r="J1430" s="12">
        <v>10</v>
      </c>
      <c r="K1430" s="12">
        <v>148.66999999999999</v>
      </c>
      <c r="L1430" s="12">
        <v>1486.7</v>
      </c>
      <c r="M1430" s="12">
        <v>0</v>
      </c>
      <c r="N1430" s="12">
        <v>0</v>
      </c>
      <c r="O1430" s="12">
        <v>193.270692</v>
      </c>
      <c r="P1430" s="12">
        <v>1679.9706920000001</v>
      </c>
    </row>
    <row r="1431" spans="1:16" ht="14.5" x14ac:dyDescent="0.25">
      <c r="A1431" s="10">
        <v>45965</v>
      </c>
      <c r="B1431" s="2" t="str">
        <f t="shared" si="44"/>
        <v>Nov-2025</v>
      </c>
      <c r="C1431" s="2" t="str">
        <f t="shared" si="45"/>
        <v>Q3</v>
      </c>
      <c r="D1431" s="2" t="s">
        <v>28</v>
      </c>
      <c r="E1431" s="11" t="s">
        <v>312</v>
      </c>
      <c r="F1431" s="11" t="s">
        <v>104</v>
      </c>
      <c r="G1431" s="11" t="s">
        <v>503</v>
      </c>
      <c r="H1431" s="11" t="s">
        <v>45</v>
      </c>
      <c r="I1431" s="12">
        <v>0.11</v>
      </c>
      <c r="J1431" s="12">
        <v>20</v>
      </c>
      <c r="K1431" s="12">
        <v>65.13</v>
      </c>
      <c r="L1431" s="12">
        <v>1302.5999999999999</v>
      </c>
      <c r="M1431" s="12">
        <v>0</v>
      </c>
      <c r="N1431" s="12">
        <v>0</v>
      </c>
      <c r="O1431" s="12">
        <v>169.33772999999999</v>
      </c>
      <c r="P1431" s="12">
        <v>1471.9377300000001</v>
      </c>
    </row>
    <row r="1432" spans="1:16" ht="14.5" x14ac:dyDescent="0.25">
      <c r="A1432" s="10">
        <v>45965</v>
      </c>
      <c r="B1432" s="2" t="str">
        <f t="shared" si="44"/>
        <v>Nov-2025</v>
      </c>
      <c r="C1432" s="2" t="str">
        <f t="shared" si="45"/>
        <v>Q3</v>
      </c>
      <c r="D1432" s="2" t="s">
        <v>28</v>
      </c>
      <c r="E1432" s="11" t="s">
        <v>312</v>
      </c>
      <c r="F1432" s="11" t="s">
        <v>104</v>
      </c>
      <c r="G1432" s="11" t="s">
        <v>503</v>
      </c>
      <c r="H1432" s="11" t="s">
        <v>174</v>
      </c>
      <c r="I1432" s="12">
        <v>0.06</v>
      </c>
      <c r="J1432" s="12">
        <v>10</v>
      </c>
      <c r="K1432" s="12">
        <v>87.79</v>
      </c>
      <c r="L1432" s="12">
        <v>877.9</v>
      </c>
      <c r="M1432" s="12">
        <v>0</v>
      </c>
      <c r="N1432" s="12">
        <v>0</v>
      </c>
      <c r="O1432" s="12">
        <v>114.12681799999999</v>
      </c>
      <c r="P1432" s="12">
        <v>992.02681800000005</v>
      </c>
    </row>
    <row r="1433" spans="1:16" ht="14.5" x14ac:dyDescent="0.25">
      <c r="A1433" s="10">
        <v>45965</v>
      </c>
      <c r="B1433" s="2" t="str">
        <f t="shared" si="44"/>
        <v>Nov-2025</v>
      </c>
      <c r="C1433" s="2" t="str">
        <f t="shared" si="45"/>
        <v>Q3</v>
      </c>
      <c r="D1433" s="2" t="s">
        <v>28</v>
      </c>
      <c r="E1433" s="11" t="s">
        <v>312</v>
      </c>
      <c r="F1433" s="11" t="s">
        <v>104</v>
      </c>
      <c r="G1433" s="11" t="s">
        <v>503</v>
      </c>
      <c r="H1433" s="11" t="s">
        <v>47</v>
      </c>
      <c r="I1433" s="12">
        <v>0.08</v>
      </c>
      <c r="J1433" s="12">
        <v>10</v>
      </c>
      <c r="K1433" s="12">
        <v>123.89</v>
      </c>
      <c r="L1433" s="12">
        <v>1238.8999999999999</v>
      </c>
      <c r="M1433" s="12">
        <v>0</v>
      </c>
      <c r="N1433" s="12">
        <v>0</v>
      </c>
      <c r="O1433" s="12">
        <v>161.05674300000001</v>
      </c>
      <c r="P1433" s="12">
        <v>1399.956743</v>
      </c>
    </row>
    <row r="1434" spans="1:16" ht="14.5" x14ac:dyDescent="0.25">
      <c r="A1434" s="10">
        <v>45965</v>
      </c>
      <c r="B1434" s="2" t="str">
        <f t="shared" si="44"/>
        <v>Nov-2025</v>
      </c>
      <c r="C1434" s="2" t="str">
        <f t="shared" si="45"/>
        <v>Q3</v>
      </c>
      <c r="D1434" s="2" t="s">
        <v>28</v>
      </c>
      <c r="E1434" s="11" t="s">
        <v>312</v>
      </c>
      <c r="F1434" s="11" t="s">
        <v>104</v>
      </c>
      <c r="G1434" s="11" t="s">
        <v>503</v>
      </c>
      <c r="H1434" s="11" t="s">
        <v>59</v>
      </c>
      <c r="I1434" s="12">
        <v>0.11</v>
      </c>
      <c r="J1434" s="12">
        <v>20</v>
      </c>
      <c r="K1434" s="12">
        <v>65.13</v>
      </c>
      <c r="L1434" s="12">
        <v>1302.5999999999999</v>
      </c>
      <c r="M1434" s="12">
        <v>0</v>
      </c>
      <c r="N1434" s="12">
        <v>0</v>
      </c>
      <c r="O1434" s="12">
        <v>169.33772999999999</v>
      </c>
      <c r="P1434" s="12">
        <v>1471.9377300000001</v>
      </c>
    </row>
    <row r="1435" spans="1:16" ht="14.5" x14ac:dyDescent="0.25">
      <c r="A1435" s="10">
        <v>45965</v>
      </c>
      <c r="B1435" s="2" t="str">
        <f t="shared" si="44"/>
        <v>Nov-2025</v>
      </c>
      <c r="C1435" s="2" t="str">
        <f t="shared" si="45"/>
        <v>Q3</v>
      </c>
      <c r="D1435" s="2" t="s">
        <v>28</v>
      </c>
      <c r="E1435" s="11" t="s">
        <v>312</v>
      </c>
      <c r="F1435" s="11" t="s">
        <v>104</v>
      </c>
      <c r="G1435" s="11" t="s">
        <v>503</v>
      </c>
      <c r="H1435" s="11" t="s">
        <v>52</v>
      </c>
      <c r="I1435" s="12">
        <v>0.06</v>
      </c>
      <c r="J1435" s="12">
        <v>10</v>
      </c>
      <c r="K1435" s="12">
        <v>74.34</v>
      </c>
      <c r="L1435" s="12">
        <v>743.4</v>
      </c>
      <c r="M1435" s="12">
        <v>0</v>
      </c>
      <c r="N1435" s="12">
        <v>0</v>
      </c>
      <c r="O1435" s="12">
        <v>96.641846000000015</v>
      </c>
      <c r="P1435" s="12">
        <v>840.04184599999996</v>
      </c>
    </row>
    <row r="1436" spans="1:16" ht="14.5" x14ac:dyDescent="0.25">
      <c r="A1436" s="10">
        <v>45971</v>
      </c>
      <c r="B1436" s="2" t="str">
        <f t="shared" si="44"/>
        <v>Nov-2025</v>
      </c>
      <c r="C1436" s="2" t="str">
        <f t="shared" si="45"/>
        <v>Q3</v>
      </c>
      <c r="D1436" s="2" t="s">
        <v>28</v>
      </c>
      <c r="E1436" s="11" t="s">
        <v>313</v>
      </c>
      <c r="F1436" s="11" t="s">
        <v>21</v>
      </c>
      <c r="G1436" s="11" t="s">
        <v>506</v>
      </c>
      <c r="H1436" s="11" t="s">
        <v>39</v>
      </c>
      <c r="I1436" s="12">
        <v>2</v>
      </c>
      <c r="J1436" s="12">
        <v>144</v>
      </c>
      <c r="K1436" s="12">
        <v>124.25</v>
      </c>
      <c r="L1436" s="12">
        <v>17892</v>
      </c>
      <c r="M1436" s="12">
        <v>0</v>
      </c>
      <c r="N1436" s="12">
        <v>0</v>
      </c>
      <c r="O1436" s="12">
        <v>2325.96</v>
      </c>
      <c r="P1436" s="12">
        <v>20217.96</v>
      </c>
    </row>
    <row r="1437" spans="1:16" ht="14.5" x14ac:dyDescent="0.25">
      <c r="A1437" s="10">
        <v>45977</v>
      </c>
      <c r="B1437" s="2" t="str">
        <f t="shared" si="44"/>
        <v>Nov-2025</v>
      </c>
      <c r="C1437" s="2" t="str">
        <f t="shared" si="45"/>
        <v>Q3</v>
      </c>
      <c r="D1437" s="2" t="s">
        <v>28</v>
      </c>
      <c r="E1437" s="11" t="s">
        <v>314</v>
      </c>
      <c r="F1437" s="11" t="s">
        <v>38</v>
      </c>
      <c r="G1437" s="11" t="s">
        <v>504</v>
      </c>
      <c r="H1437" s="11" t="s">
        <v>61</v>
      </c>
      <c r="I1437" s="12">
        <v>0.05</v>
      </c>
      <c r="J1437" s="12">
        <v>2</v>
      </c>
      <c r="K1437" s="12">
        <v>336.13</v>
      </c>
      <c r="L1437" s="12">
        <v>672.26</v>
      </c>
      <c r="M1437" s="12">
        <v>-61.11</v>
      </c>
      <c r="N1437" s="12">
        <v>0</v>
      </c>
      <c r="O1437" s="12">
        <v>0</v>
      </c>
      <c r="P1437" s="12">
        <v>611.15</v>
      </c>
    </row>
    <row r="1438" spans="1:16" ht="14.5" x14ac:dyDescent="0.25">
      <c r="A1438" s="10">
        <v>45977</v>
      </c>
      <c r="B1438" s="2" t="str">
        <f t="shared" si="44"/>
        <v>Nov-2025</v>
      </c>
      <c r="C1438" s="2" t="str">
        <f t="shared" si="45"/>
        <v>Q3</v>
      </c>
      <c r="D1438" s="2" t="s">
        <v>28</v>
      </c>
      <c r="E1438" s="11" t="s">
        <v>315</v>
      </c>
      <c r="F1438" s="11" t="s">
        <v>38</v>
      </c>
      <c r="G1438" s="11" t="s">
        <v>504</v>
      </c>
      <c r="H1438" s="11" t="s">
        <v>67</v>
      </c>
      <c r="I1438" s="12">
        <v>0.05</v>
      </c>
      <c r="J1438" s="12">
        <v>2</v>
      </c>
      <c r="K1438" s="12">
        <v>393.46</v>
      </c>
      <c r="L1438" s="12">
        <v>786.92</v>
      </c>
      <c r="M1438" s="12">
        <v>-71.53</v>
      </c>
      <c r="N1438" s="12">
        <v>0</v>
      </c>
      <c r="O1438" s="12">
        <v>93</v>
      </c>
      <c r="P1438" s="12">
        <v>808.39</v>
      </c>
    </row>
    <row r="1439" spans="1:16" ht="14.5" x14ac:dyDescent="0.25">
      <c r="A1439" s="10">
        <v>45977</v>
      </c>
      <c r="B1439" s="2" t="str">
        <f t="shared" si="44"/>
        <v>Nov-2025</v>
      </c>
      <c r="C1439" s="2" t="str">
        <f t="shared" si="45"/>
        <v>Q3</v>
      </c>
      <c r="D1439" s="2" t="s">
        <v>28</v>
      </c>
      <c r="E1439" s="11" t="s">
        <v>316</v>
      </c>
      <c r="F1439" s="11" t="s">
        <v>38</v>
      </c>
      <c r="G1439" s="11" t="s">
        <v>507</v>
      </c>
      <c r="H1439" s="11" t="s">
        <v>60</v>
      </c>
      <c r="I1439" s="12">
        <v>0.03</v>
      </c>
      <c r="J1439" s="12">
        <v>2</v>
      </c>
      <c r="K1439" s="12">
        <v>98.03</v>
      </c>
      <c r="L1439" s="12">
        <v>196.06</v>
      </c>
      <c r="M1439" s="12">
        <v>-17.82</v>
      </c>
      <c r="N1439" s="12">
        <v>0</v>
      </c>
      <c r="O1439" s="12">
        <v>23.17</v>
      </c>
      <c r="P1439" s="12">
        <v>201.41</v>
      </c>
    </row>
    <row r="1440" spans="1:16" ht="14.5" x14ac:dyDescent="0.25">
      <c r="A1440" s="10">
        <v>45978</v>
      </c>
      <c r="B1440" s="2" t="str">
        <f t="shared" si="44"/>
        <v>Nov-2025</v>
      </c>
      <c r="C1440" s="2" t="str">
        <f t="shared" si="45"/>
        <v>Q3</v>
      </c>
      <c r="D1440" s="2" t="s">
        <v>28</v>
      </c>
      <c r="E1440" s="11" t="s">
        <v>317</v>
      </c>
      <c r="F1440" s="11" t="s">
        <v>151</v>
      </c>
      <c r="G1440" s="11" t="s">
        <v>505</v>
      </c>
      <c r="H1440" s="11" t="s">
        <v>55</v>
      </c>
      <c r="I1440" s="12">
        <v>1</v>
      </c>
      <c r="J1440" s="12">
        <v>120</v>
      </c>
      <c r="K1440" s="12">
        <v>136.28</v>
      </c>
      <c r="L1440" s="12">
        <v>16353.6</v>
      </c>
      <c r="M1440" s="12">
        <v>0</v>
      </c>
      <c r="N1440" s="12">
        <v>0</v>
      </c>
      <c r="O1440" s="12">
        <v>2125.9693750000001</v>
      </c>
      <c r="P1440" s="12">
        <v>18479.569374999999</v>
      </c>
    </row>
    <row r="1441" spans="1:16" ht="14.5" x14ac:dyDescent="0.25">
      <c r="A1441" s="10">
        <v>45978</v>
      </c>
      <c r="B1441" s="2" t="str">
        <f t="shared" si="44"/>
        <v>Nov-2025</v>
      </c>
      <c r="C1441" s="2" t="str">
        <f t="shared" si="45"/>
        <v>Q3</v>
      </c>
      <c r="D1441" s="2" t="s">
        <v>28</v>
      </c>
      <c r="E1441" s="11" t="s">
        <v>317</v>
      </c>
      <c r="F1441" s="11" t="s">
        <v>151</v>
      </c>
      <c r="G1441" s="11" t="s">
        <v>505</v>
      </c>
      <c r="H1441" s="11" t="s">
        <v>43</v>
      </c>
      <c r="I1441" s="12">
        <v>3</v>
      </c>
      <c r="J1441" s="12">
        <v>120</v>
      </c>
      <c r="K1441" s="12">
        <v>260.18</v>
      </c>
      <c r="L1441" s="12">
        <v>31221.600000000002</v>
      </c>
      <c r="M1441" s="12">
        <v>0</v>
      </c>
      <c r="N1441" s="12">
        <v>0</v>
      </c>
      <c r="O1441" s="12">
        <v>4058.8106250000001</v>
      </c>
      <c r="P1441" s="12">
        <v>35280.410624999997</v>
      </c>
    </row>
    <row r="1442" spans="1:16" ht="14.5" x14ac:dyDescent="0.25">
      <c r="A1442" s="10">
        <v>45978</v>
      </c>
      <c r="B1442" s="2" t="str">
        <f t="shared" si="44"/>
        <v>Nov-2025</v>
      </c>
      <c r="C1442" s="2" t="str">
        <f t="shared" si="45"/>
        <v>Q3</v>
      </c>
      <c r="D1442" s="2" t="s">
        <v>28</v>
      </c>
      <c r="E1442" s="11" t="s">
        <v>318</v>
      </c>
      <c r="F1442" s="11" t="s">
        <v>104</v>
      </c>
      <c r="G1442" s="11" t="s">
        <v>503</v>
      </c>
      <c r="H1442" s="11" t="s">
        <v>87</v>
      </c>
      <c r="I1442" s="12">
        <v>0.06</v>
      </c>
      <c r="J1442" s="12">
        <v>10</v>
      </c>
      <c r="K1442" s="12">
        <v>120.35</v>
      </c>
      <c r="L1442" s="12">
        <v>1203.5000000000002</v>
      </c>
      <c r="M1442" s="12">
        <v>0</v>
      </c>
      <c r="N1442" s="12">
        <v>0</v>
      </c>
      <c r="O1442" s="12">
        <v>156.45458800000003</v>
      </c>
      <c r="P1442" s="12">
        <v>1359.9545880000001</v>
      </c>
    </row>
    <row r="1443" spans="1:16" ht="14.5" x14ac:dyDescent="0.25">
      <c r="A1443" s="10">
        <v>45978</v>
      </c>
      <c r="B1443" s="2" t="str">
        <f t="shared" ref="B1443:B1506" si="46">+TEXT(A1443,"MMM-yyy")</f>
        <v>Nov-2025</v>
      </c>
      <c r="C1443" s="2" t="str">
        <f t="shared" ref="C1443:C1506" si="47">"Q" &amp; CHOOSE(MONTH(A1443),4,4,4,1,1,1,2,2,2,3,3,3)</f>
        <v>Q3</v>
      </c>
      <c r="D1443" s="2" t="s">
        <v>28</v>
      </c>
      <c r="E1443" s="11" t="s">
        <v>318</v>
      </c>
      <c r="F1443" s="11" t="s">
        <v>104</v>
      </c>
      <c r="G1443" s="11" t="s">
        <v>507</v>
      </c>
      <c r="H1443" s="11" t="s">
        <v>90</v>
      </c>
      <c r="I1443" s="12">
        <v>0.42</v>
      </c>
      <c r="J1443" s="12">
        <v>50</v>
      </c>
      <c r="K1443" s="12">
        <v>60.18</v>
      </c>
      <c r="L1443" s="12">
        <v>3008.9999999999995</v>
      </c>
      <c r="M1443" s="12">
        <v>0</v>
      </c>
      <c r="N1443" s="12">
        <v>0</v>
      </c>
      <c r="O1443" s="12">
        <v>391.16897</v>
      </c>
      <c r="P1443" s="12">
        <v>3400.1689700000002</v>
      </c>
    </row>
    <row r="1444" spans="1:16" ht="14.5" x14ac:dyDescent="0.25">
      <c r="A1444" s="10">
        <v>45978</v>
      </c>
      <c r="B1444" s="2" t="str">
        <f t="shared" si="46"/>
        <v>Nov-2025</v>
      </c>
      <c r="C1444" s="2" t="str">
        <f t="shared" si="47"/>
        <v>Q3</v>
      </c>
      <c r="D1444" s="2" t="s">
        <v>28</v>
      </c>
      <c r="E1444" s="11" t="s">
        <v>318</v>
      </c>
      <c r="F1444" s="11" t="s">
        <v>104</v>
      </c>
      <c r="G1444" s="11" t="s">
        <v>503</v>
      </c>
      <c r="H1444" s="11" t="s">
        <v>177</v>
      </c>
      <c r="I1444" s="12">
        <v>0.08</v>
      </c>
      <c r="J1444" s="12">
        <v>10</v>
      </c>
      <c r="K1444" s="12">
        <v>99.12</v>
      </c>
      <c r="L1444" s="12">
        <v>991.2</v>
      </c>
      <c r="M1444" s="12">
        <v>0</v>
      </c>
      <c r="N1444" s="12">
        <v>0</v>
      </c>
      <c r="O1444" s="12">
        <v>128.855661</v>
      </c>
      <c r="P1444" s="12">
        <v>1120.0556610000001</v>
      </c>
    </row>
    <row r="1445" spans="1:16" ht="14.5" x14ac:dyDescent="0.25">
      <c r="A1445" s="10">
        <v>45978</v>
      </c>
      <c r="B1445" s="2" t="str">
        <f t="shared" si="46"/>
        <v>Nov-2025</v>
      </c>
      <c r="C1445" s="2" t="str">
        <f t="shared" si="47"/>
        <v>Q3</v>
      </c>
      <c r="D1445" s="2" t="s">
        <v>28</v>
      </c>
      <c r="E1445" s="11" t="s">
        <v>318</v>
      </c>
      <c r="F1445" s="11" t="s">
        <v>104</v>
      </c>
      <c r="G1445" s="11" t="s">
        <v>505</v>
      </c>
      <c r="H1445" s="11" t="s">
        <v>56</v>
      </c>
      <c r="I1445" s="12">
        <v>0.08</v>
      </c>
      <c r="J1445" s="12">
        <v>10</v>
      </c>
      <c r="K1445" s="12">
        <v>53.1</v>
      </c>
      <c r="L1445" s="12">
        <v>531</v>
      </c>
      <c r="M1445" s="12">
        <v>0</v>
      </c>
      <c r="N1445" s="12">
        <v>0</v>
      </c>
      <c r="O1445" s="12">
        <v>69.029818000000006</v>
      </c>
      <c r="P1445" s="12">
        <v>600.02981799999998</v>
      </c>
    </row>
    <row r="1446" spans="1:16" ht="14.5" x14ac:dyDescent="0.25">
      <c r="A1446" s="10">
        <v>45978</v>
      </c>
      <c r="B1446" s="2" t="str">
        <f t="shared" si="46"/>
        <v>Nov-2025</v>
      </c>
      <c r="C1446" s="2" t="str">
        <f t="shared" si="47"/>
        <v>Q3</v>
      </c>
      <c r="D1446" s="2" t="s">
        <v>28</v>
      </c>
      <c r="E1446" s="11" t="s">
        <v>318</v>
      </c>
      <c r="F1446" s="11" t="s">
        <v>104</v>
      </c>
      <c r="G1446" s="11" t="s">
        <v>505</v>
      </c>
      <c r="H1446" s="11" t="s">
        <v>40</v>
      </c>
      <c r="I1446" s="12">
        <v>0.22</v>
      </c>
      <c r="J1446" s="12">
        <v>40</v>
      </c>
      <c r="K1446" s="12">
        <v>99.12</v>
      </c>
      <c r="L1446" s="12">
        <v>3964.8</v>
      </c>
      <c r="M1446" s="12">
        <v>0</v>
      </c>
      <c r="N1446" s="12">
        <v>0</v>
      </c>
      <c r="O1446" s="12">
        <v>515.422642</v>
      </c>
      <c r="P1446" s="12">
        <v>4480.2226419999997</v>
      </c>
    </row>
    <row r="1447" spans="1:16" ht="14.5" x14ac:dyDescent="0.25">
      <c r="A1447" s="10">
        <v>45978</v>
      </c>
      <c r="B1447" s="2" t="str">
        <f t="shared" si="46"/>
        <v>Nov-2025</v>
      </c>
      <c r="C1447" s="2" t="str">
        <f t="shared" si="47"/>
        <v>Q3</v>
      </c>
      <c r="D1447" s="2" t="s">
        <v>28</v>
      </c>
      <c r="E1447" s="11" t="s">
        <v>318</v>
      </c>
      <c r="F1447" s="11" t="s">
        <v>104</v>
      </c>
      <c r="G1447" s="11" t="s">
        <v>503</v>
      </c>
      <c r="H1447" s="11" t="s">
        <v>57</v>
      </c>
      <c r="I1447" s="12">
        <v>0.06</v>
      </c>
      <c r="J1447" s="12">
        <v>10</v>
      </c>
      <c r="K1447" s="12">
        <v>123.89</v>
      </c>
      <c r="L1447" s="12">
        <v>1238.8999999999999</v>
      </c>
      <c r="M1447" s="12">
        <v>0</v>
      </c>
      <c r="N1447" s="12">
        <v>0</v>
      </c>
      <c r="O1447" s="12">
        <v>161.05657600000001</v>
      </c>
      <c r="P1447" s="12">
        <v>1399.956576</v>
      </c>
    </row>
    <row r="1448" spans="1:16" ht="14.5" x14ac:dyDescent="0.25">
      <c r="A1448" s="10">
        <v>45978</v>
      </c>
      <c r="B1448" s="2" t="str">
        <f t="shared" si="46"/>
        <v>Nov-2025</v>
      </c>
      <c r="C1448" s="2" t="str">
        <f t="shared" si="47"/>
        <v>Q3</v>
      </c>
      <c r="D1448" s="2" t="s">
        <v>28</v>
      </c>
      <c r="E1448" s="11" t="s">
        <v>318</v>
      </c>
      <c r="F1448" s="11" t="s">
        <v>104</v>
      </c>
      <c r="G1448" s="11" t="s">
        <v>503</v>
      </c>
      <c r="H1448" s="11" t="s">
        <v>52</v>
      </c>
      <c r="I1448" s="12">
        <v>0.06</v>
      </c>
      <c r="J1448" s="12">
        <v>10</v>
      </c>
      <c r="K1448" s="12">
        <v>74.34</v>
      </c>
      <c r="L1448" s="12">
        <v>743.4</v>
      </c>
      <c r="M1448" s="12">
        <v>0</v>
      </c>
      <c r="N1448" s="12">
        <v>0</v>
      </c>
      <c r="O1448" s="12">
        <v>96.641745</v>
      </c>
      <c r="P1448" s="12">
        <v>840.04174499999999</v>
      </c>
    </row>
    <row r="1449" spans="1:16" ht="14.5" x14ac:dyDescent="0.25">
      <c r="A1449" s="10">
        <v>45982</v>
      </c>
      <c r="B1449" s="2" t="str">
        <f t="shared" si="46"/>
        <v>Nov-2025</v>
      </c>
      <c r="C1449" s="2" t="str">
        <f t="shared" si="47"/>
        <v>Q3</v>
      </c>
      <c r="D1449" s="2" t="s">
        <v>28</v>
      </c>
      <c r="E1449" s="11" t="s">
        <v>319</v>
      </c>
      <c r="F1449" s="11" t="s">
        <v>151</v>
      </c>
      <c r="G1449" s="11" t="s">
        <v>506</v>
      </c>
      <c r="H1449" s="11" t="s">
        <v>39</v>
      </c>
      <c r="I1449" s="12">
        <v>0.42</v>
      </c>
      <c r="J1449" s="12">
        <v>30</v>
      </c>
      <c r="K1449" s="12">
        <v>120.8</v>
      </c>
      <c r="L1449" s="12">
        <v>3624</v>
      </c>
      <c r="M1449" s="12">
        <v>0</v>
      </c>
      <c r="N1449" s="12">
        <v>0</v>
      </c>
      <c r="O1449" s="12">
        <v>471.12004999999999</v>
      </c>
      <c r="P1449" s="12">
        <v>4095.12005</v>
      </c>
    </row>
    <row r="1450" spans="1:16" ht="14.5" x14ac:dyDescent="0.25">
      <c r="A1450" s="10">
        <v>45982</v>
      </c>
      <c r="B1450" s="2" t="str">
        <f t="shared" si="46"/>
        <v>Nov-2025</v>
      </c>
      <c r="C1450" s="2" t="str">
        <f t="shared" si="47"/>
        <v>Q3</v>
      </c>
      <c r="D1450" s="2" t="s">
        <v>28</v>
      </c>
      <c r="E1450" s="11" t="s">
        <v>319</v>
      </c>
      <c r="F1450" s="11" t="s">
        <v>151</v>
      </c>
      <c r="G1450" s="11" t="s">
        <v>506</v>
      </c>
      <c r="H1450" s="11" t="s">
        <v>58</v>
      </c>
      <c r="I1450" s="12">
        <v>0.41</v>
      </c>
      <c r="J1450" s="12">
        <v>30</v>
      </c>
      <c r="K1450" s="12">
        <v>136.28</v>
      </c>
      <c r="L1450" s="12">
        <v>4088.4</v>
      </c>
      <c r="M1450" s="12">
        <v>0</v>
      </c>
      <c r="N1450" s="12">
        <v>0</v>
      </c>
      <c r="O1450" s="12">
        <v>531.49205700000005</v>
      </c>
      <c r="P1450" s="12">
        <v>4619.892057</v>
      </c>
    </row>
    <row r="1451" spans="1:16" ht="14.5" x14ac:dyDescent="0.25">
      <c r="A1451" s="10">
        <v>45982</v>
      </c>
      <c r="B1451" s="2" t="str">
        <f t="shared" si="46"/>
        <v>Nov-2025</v>
      </c>
      <c r="C1451" s="2" t="str">
        <f t="shared" si="47"/>
        <v>Q3</v>
      </c>
      <c r="D1451" s="2" t="s">
        <v>28</v>
      </c>
      <c r="E1451" s="11" t="s">
        <v>319</v>
      </c>
      <c r="F1451" s="11" t="s">
        <v>151</v>
      </c>
      <c r="G1451" s="11" t="s">
        <v>507</v>
      </c>
      <c r="H1451" s="11" t="s">
        <v>60</v>
      </c>
      <c r="I1451" s="12">
        <v>0.5</v>
      </c>
      <c r="J1451" s="12">
        <v>30</v>
      </c>
      <c r="K1451" s="12">
        <v>89.82</v>
      </c>
      <c r="L1451" s="12">
        <v>2694.6</v>
      </c>
      <c r="M1451" s="12">
        <v>0</v>
      </c>
      <c r="N1451" s="12">
        <v>0</v>
      </c>
      <c r="O1451" s="12">
        <v>350.29803799999996</v>
      </c>
      <c r="P1451" s="12">
        <v>3044.8980379999998</v>
      </c>
    </row>
    <row r="1452" spans="1:16" ht="14.5" x14ac:dyDescent="0.25">
      <c r="A1452" s="10">
        <v>45982</v>
      </c>
      <c r="B1452" s="2" t="str">
        <f t="shared" si="46"/>
        <v>Nov-2025</v>
      </c>
      <c r="C1452" s="2" t="str">
        <f t="shared" si="47"/>
        <v>Q3</v>
      </c>
      <c r="D1452" s="2" t="s">
        <v>28</v>
      </c>
      <c r="E1452" s="11" t="s">
        <v>319</v>
      </c>
      <c r="F1452" s="11" t="s">
        <v>151</v>
      </c>
      <c r="G1452" s="11" t="s">
        <v>506</v>
      </c>
      <c r="H1452" s="11" t="s">
        <v>181</v>
      </c>
      <c r="I1452" s="12">
        <v>0.3</v>
      </c>
      <c r="J1452" s="12">
        <v>30</v>
      </c>
      <c r="K1452" s="12">
        <v>89.82</v>
      </c>
      <c r="L1452" s="12">
        <v>2694.6</v>
      </c>
      <c r="M1452" s="12">
        <v>0</v>
      </c>
      <c r="N1452" s="12">
        <v>0</v>
      </c>
      <c r="O1452" s="12">
        <v>350.29803799999996</v>
      </c>
      <c r="P1452" s="12">
        <v>3044.8980379999998</v>
      </c>
    </row>
    <row r="1453" spans="1:16" ht="14.5" x14ac:dyDescent="0.25">
      <c r="A1453" s="10">
        <v>45982</v>
      </c>
      <c r="B1453" s="2" t="str">
        <f t="shared" si="46"/>
        <v>Nov-2025</v>
      </c>
      <c r="C1453" s="2" t="str">
        <f t="shared" si="47"/>
        <v>Q3</v>
      </c>
      <c r="D1453" s="2" t="s">
        <v>28</v>
      </c>
      <c r="E1453" s="11" t="s">
        <v>319</v>
      </c>
      <c r="F1453" s="11" t="s">
        <v>151</v>
      </c>
      <c r="G1453" s="11" t="s">
        <v>505</v>
      </c>
      <c r="H1453" s="11" t="s">
        <v>43</v>
      </c>
      <c r="I1453" s="12">
        <v>2</v>
      </c>
      <c r="J1453" s="12">
        <v>80</v>
      </c>
      <c r="K1453" s="12">
        <v>260.18</v>
      </c>
      <c r="L1453" s="12">
        <v>20814.399999999998</v>
      </c>
      <c r="M1453" s="12">
        <v>0</v>
      </c>
      <c r="N1453" s="12">
        <v>0</v>
      </c>
      <c r="O1453" s="12">
        <v>2705.8722900000002</v>
      </c>
      <c r="P1453" s="12">
        <v>23520.272290000001</v>
      </c>
    </row>
    <row r="1454" spans="1:16" ht="14.5" x14ac:dyDescent="0.25">
      <c r="A1454" s="10">
        <v>45982</v>
      </c>
      <c r="B1454" s="2" t="str">
        <f t="shared" si="46"/>
        <v>Nov-2025</v>
      </c>
      <c r="C1454" s="2" t="str">
        <f t="shared" si="47"/>
        <v>Q3</v>
      </c>
      <c r="D1454" s="2" t="s">
        <v>28</v>
      </c>
      <c r="E1454" s="11" t="s">
        <v>319</v>
      </c>
      <c r="F1454" s="11" t="s">
        <v>151</v>
      </c>
      <c r="G1454" s="11" t="s">
        <v>506</v>
      </c>
      <c r="H1454" s="11" t="s">
        <v>54</v>
      </c>
      <c r="I1454" s="12">
        <v>0.63</v>
      </c>
      <c r="J1454" s="12">
        <v>30</v>
      </c>
      <c r="K1454" s="12">
        <v>272.57</v>
      </c>
      <c r="L1454" s="12">
        <v>8177.1</v>
      </c>
      <c r="M1454" s="12">
        <v>0</v>
      </c>
      <c r="N1454" s="12">
        <v>0</v>
      </c>
      <c r="O1454" s="12">
        <v>1063.0231139999999</v>
      </c>
      <c r="P1454" s="12">
        <v>9240.123114</v>
      </c>
    </row>
    <row r="1455" spans="1:16" ht="14.5" x14ac:dyDescent="0.25">
      <c r="A1455" s="10">
        <v>45982</v>
      </c>
      <c r="B1455" s="2" t="str">
        <f t="shared" si="46"/>
        <v>Nov-2025</v>
      </c>
      <c r="C1455" s="2" t="str">
        <f t="shared" si="47"/>
        <v>Q3</v>
      </c>
      <c r="D1455" s="2" t="s">
        <v>28</v>
      </c>
      <c r="E1455" s="11" t="s">
        <v>319</v>
      </c>
      <c r="F1455" s="11" t="s">
        <v>151</v>
      </c>
      <c r="G1455" s="11" t="s">
        <v>505</v>
      </c>
      <c r="H1455" s="11" t="s">
        <v>55</v>
      </c>
      <c r="I1455" s="12">
        <v>1</v>
      </c>
      <c r="J1455" s="12">
        <v>120</v>
      </c>
      <c r="K1455" s="12">
        <v>136.28</v>
      </c>
      <c r="L1455" s="12">
        <v>16353.6</v>
      </c>
      <c r="M1455" s="12">
        <v>0</v>
      </c>
      <c r="N1455" s="12">
        <v>0</v>
      </c>
      <c r="O1455" s="12">
        <v>2125.9682280000002</v>
      </c>
      <c r="P1455" s="12">
        <v>18479.568228</v>
      </c>
    </row>
    <row r="1456" spans="1:16" ht="14.5" x14ac:dyDescent="0.25">
      <c r="A1456" s="10">
        <v>45982</v>
      </c>
      <c r="B1456" s="2" t="str">
        <f t="shared" si="46"/>
        <v>Nov-2025</v>
      </c>
      <c r="C1456" s="2" t="str">
        <f t="shared" si="47"/>
        <v>Q3</v>
      </c>
      <c r="D1456" s="2" t="s">
        <v>28</v>
      </c>
      <c r="E1456" s="11" t="s">
        <v>319</v>
      </c>
      <c r="F1456" s="11" t="s">
        <v>151</v>
      </c>
      <c r="G1456" s="11" t="s">
        <v>509</v>
      </c>
      <c r="H1456" s="11" t="s">
        <v>285</v>
      </c>
      <c r="I1456" s="12">
        <v>0.5</v>
      </c>
      <c r="J1456" s="12">
        <v>30</v>
      </c>
      <c r="K1456" s="12">
        <v>446.02</v>
      </c>
      <c r="L1456" s="12">
        <v>13380.599999999999</v>
      </c>
      <c r="M1456" s="12">
        <v>0</v>
      </c>
      <c r="N1456" s="12">
        <v>0</v>
      </c>
      <c r="O1456" s="12">
        <v>1739.4781860000001</v>
      </c>
      <c r="P1456" s="12">
        <v>15120.078186000001</v>
      </c>
    </row>
    <row r="1457" spans="1:16" ht="14.5" x14ac:dyDescent="0.25">
      <c r="A1457" s="10">
        <v>45982</v>
      </c>
      <c r="B1457" s="2" t="str">
        <f t="shared" si="46"/>
        <v>Nov-2025</v>
      </c>
      <c r="C1457" s="2" t="str">
        <f t="shared" si="47"/>
        <v>Q3</v>
      </c>
      <c r="D1457" s="2" t="s">
        <v>28</v>
      </c>
      <c r="E1457" s="11" t="s">
        <v>320</v>
      </c>
      <c r="F1457" s="11" t="s">
        <v>151</v>
      </c>
      <c r="G1457" s="11" t="s">
        <v>506</v>
      </c>
      <c r="H1457" s="11" t="s">
        <v>39</v>
      </c>
      <c r="I1457" s="12">
        <v>1</v>
      </c>
      <c r="J1457" s="12">
        <v>72</v>
      </c>
      <c r="K1457" s="12">
        <v>120.8</v>
      </c>
      <c r="L1457" s="12">
        <v>8697.6</v>
      </c>
      <c r="M1457" s="12">
        <v>0</v>
      </c>
      <c r="N1457" s="12">
        <v>0</v>
      </c>
      <c r="O1457" s="12">
        <v>1130.6877770000001</v>
      </c>
      <c r="P1457" s="12">
        <v>9828.2877769999996</v>
      </c>
    </row>
    <row r="1458" spans="1:16" ht="14.5" x14ac:dyDescent="0.25">
      <c r="A1458" s="10">
        <v>45982</v>
      </c>
      <c r="B1458" s="2" t="str">
        <f t="shared" si="46"/>
        <v>Nov-2025</v>
      </c>
      <c r="C1458" s="2" t="str">
        <f t="shared" si="47"/>
        <v>Q3</v>
      </c>
      <c r="D1458" s="2" t="s">
        <v>28</v>
      </c>
      <c r="E1458" s="11" t="s">
        <v>320</v>
      </c>
      <c r="F1458" s="11" t="s">
        <v>151</v>
      </c>
      <c r="G1458" s="11" t="s">
        <v>505</v>
      </c>
      <c r="H1458" s="11" t="s">
        <v>43</v>
      </c>
      <c r="I1458" s="12">
        <v>2</v>
      </c>
      <c r="J1458" s="12">
        <v>80</v>
      </c>
      <c r="K1458" s="12">
        <v>260.18</v>
      </c>
      <c r="L1458" s="12">
        <v>20814.399999999998</v>
      </c>
      <c r="M1458" s="12">
        <v>0</v>
      </c>
      <c r="N1458" s="12">
        <v>0</v>
      </c>
      <c r="O1458" s="12">
        <v>2705.8714660000001</v>
      </c>
      <c r="P1458" s="12">
        <v>23520.271465999998</v>
      </c>
    </row>
    <row r="1459" spans="1:16" ht="14.5" x14ac:dyDescent="0.25">
      <c r="A1459" s="10">
        <v>45982</v>
      </c>
      <c r="B1459" s="2" t="str">
        <f t="shared" si="46"/>
        <v>Nov-2025</v>
      </c>
      <c r="C1459" s="2" t="str">
        <f t="shared" si="47"/>
        <v>Q3</v>
      </c>
      <c r="D1459" s="2" t="s">
        <v>28</v>
      </c>
      <c r="E1459" s="11" t="s">
        <v>320</v>
      </c>
      <c r="F1459" s="11" t="s">
        <v>151</v>
      </c>
      <c r="G1459" s="11" t="s">
        <v>507</v>
      </c>
      <c r="H1459" s="11" t="s">
        <v>60</v>
      </c>
      <c r="I1459" s="12">
        <v>1</v>
      </c>
      <c r="J1459" s="12">
        <v>60</v>
      </c>
      <c r="K1459" s="12">
        <v>89.82</v>
      </c>
      <c r="L1459" s="12">
        <v>5389.2</v>
      </c>
      <c r="M1459" s="12">
        <v>0</v>
      </c>
      <c r="N1459" s="12">
        <v>0</v>
      </c>
      <c r="O1459" s="12">
        <v>700.59586200000001</v>
      </c>
      <c r="P1459" s="12">
        <v>6089.7958619999999</v>
      </c>
    </row>
    <row r="1460" spans="1:16" ht="14.5" x14ac:dyDescent="0.25">
      <c r="A1460" s="10">
        <v>45982</v>
      </c>
      <c r="B1460" s="2" t="str">
        <f t="shared" si="46"/>
        <v>Nov-2025</v>
      </c>
      <c r="C1460" s="2" t="str">
        <f t="shared" si="47"/>
        <v>Q3</v>
      </c>
      <c r="D1460" s="2" t="s">
        <v>28</v>
      </c>
      <c r="E1460" s="11" t="s">
        <v>320</v>
      </c>
      <c r="F1460" s="11" t="s">
        <v>151</v>
      </c>
      <c r="G1460" s="11" t="s">
        <v>506</v>
      </c>
      <c r="H1460" s="11" t="s">
        <v>189</v>
      </c>
      <c r="I1460" s="12">
        <v>1</v>
      </c>
      <c r="J1460" s="12">
        <v>100</v>
      </c>
      <c r="K1460" s="12">
        <v>65.040000000000006</v>
      </c>
      <c r="L1460" s="12">
        <v>6504</v>
      </c>
      <c r="M1460" s="12">
        <v>0</v>
      </c>
      <c r="N1460" s="12">
        <v>0</v>
      </c>
      <c r="O1460" s="12">
        <v>845.51983299999995</v>
      </c>
      <c r="P1460" s="12">
        <v>7349.5198330000003</v>
      </c>
    </row>
    <row r="1461" spans="1:16" ht="14.5" x14ac:dyDescent="0.25">
      <c r="A1461" s="10">
        <v>45982</v>
      </c>
      <c r="B1461" s="2" t="str">
        <f t="shared" si="46"/>
        <v>Nov-2025</v>
      </c>
      <c r="C1461" s="2" t="str">
        <f t="shared" si="47"/>
        <v>Q3</v>
      </c>
      <c r="D1461" s="2" t="s">
        <v>28</v>
      </c>
      <c r="E1461" s="11" t="s">
        <v>320</v>
      </c>
      <c r="F1461" s="11" t="s">
        <v>151</v>
      </c>
      <c r="G1461" s="11" t="s">
        <v>506</v>
      </c>
      <c r="H1461" s="11" t="s">
        <v>58</v>
      </c>
      <c r="I1461" s="12">
        <v>1</v>
      </c>
      <c r="J1461" s="12">
        <v>72</v>
      </c>
      <c r="K1461" s="12">
        <v>136.28</v>
      </c>
      <c r="L1461" s="12">
        <v>9812.16</v>
      </c>
      <c r="M1461" s="12">
        <v>0</v>
      </c>
      <c r="N1461" s="12">
        <v>0</v>
      </c>
      <c r="O1461" s="12">
        <v>1275.5805479999999</v>
      </c>
      <c r="P1461" s="12">
        <v>11087.740548</v>
      </c>
    </row>
    <row r="1462" spans="1:16" ht="14.5" x14ac:dyDescent="0.25">
      <c r="A1462" s="10">
        <v>45982</v>
      </c>
      <c r="B1462" s="2" t="str">
        <f t="shared" si="46"/>
        <v>Nov-2025</v>
      </c>
      <c r="C1462" s="2" t="str">
        <f t="shared" si="47"/>
        <v>Q3</v>
      </c>
      <c r="D1462" s="2" t="s">
        <v>28</v>
      </c>
      <c r="E1462" s="11" t="s">
        <v>320</v>
      </c>
      <c r="F1462" s="11" t="s">
        <v>151</v>
      </c>
      <c r="G1462" s="11" t="s">
        <v>506</v>
      </c>
      <c r="H1462" s="11" t="s">
        <v>54</v>
      </c>
      <c r="I1462" s="12">
        <v>1</v>
      </c>
      <c r="J1462" s="12">
        <v>48</v>
      </c>
      <c r="K1462" s="12">
        <v>272.57</v>
      </c>
      <c r="L1462" s="12">
        <v>13083.36</v>
      </c>
      <c r="M1462" s="12">
        <v>0</v>
      </c>
      <c r="N1462" s="12">
        <v>0</v>
      </c>
      <c r="O1462" s="12">
        <v>1700.836464</v>
      </c>
      <c r="P1462" s="12">
        <v>14784.196464000001</v>
      </c>
    </row>
    <row r="1463" spans="1:16" ht="14.5" x14ac:dyDescent="0.25">
      <c r="A1463" s="10">
        <v>45982</v>
      </c>
      <c r="B1463" s="2" t="str">
        <f t="shared" si="46"/>
        <v>Nov-2025</v>
      </c>
      <c r="C1463" s="2" t="str">
        <f t="shared" si="47"/>
        <v>Q3</v>
      </c>
      <c r="D1463" s="2" t="s">
        <v>28</v>
      </c>
      <c r="E1463" s="11" t="s">
        <v>320</v>
      </c>
      <c r="F1463" s="11" t="s">
        <v>151</v>
      </c>
      <c r="G1463" s="11" t="s">
        <v>503</v>
      </c>
      <c r="H1463" s="11" t="s">
        <v>177</v>
      </c>
      <c r="I1463" s="12">
        <v>1</v>
      </c>
      <c r="J1463" s="12">
        <v>120</v>
      </c>
      <c r="K1463" s="12">
        <v>86.73</v>
      </c>
      <c r="L1463" s="12">
        <v>10407.6</v>
      </c>
      <c r="M1463" s="12">
        <v>0</v>
      </c>
      <c r="N1463" s="12">
        <v>0</v>
      </c>
      <c r="O1463" s="12">
        <v>1352.9877330000002</v>
      </c>
      <c r="P1463" s="12">
        <v>11760.587733</v>
      </c>
    </row>
    <row r="1464" spans="1:16" ht="14.5" x14ac:dyDescent="0.25">
      <c r="A1464" s="10">
        <v>45982</v>
      </c>
      <c r="B1464" s="2" t="str">
        <f t="shared" si="46"/>
        <v>Nov-2025</v>
      </c>
      <c r="C1464" s="2" t="str">
        <f t="shared" si="47"/>
        <v>Q3</v>
      </c>
      <c r="D1464" s="2" t="s">
        <v>28</v>
      </c>
      <c r="E1464" s="11" t="s">
        <v>320</v>
      </c>
      <c r="F1464" s="11" t="s">
        <v>151</v>
      </c>
      <c r="G1464" s="11" t="s">
        <v>503</v>
      </c>
      <c r="H1464" s="11" t="s">
        <v>180</v>
      </c>
      <c r="I1464" s="12">
        <v>1.01</v>
      </c>
      <c r="J1464" s="12">
        <v>80</v>
      </c>
      <c r="K1464" s="12">
        <v>130.09</v>
      </c>
      <c r="L1464" s="12">
        <v>10407.199999999999</v>
      </c>
      <c r="M1464" s="12">
        <v>0</v>
      </c>
      <c r="N1464" s="12">
        <v>0</v>
      </c>
      <c r="O1464" s="12">
        <v>1352.935733</v>
      </c>
      <c r="P1464" s="12">
        <v>11760.135732999999</v>
      </c>
    </row>
    <row r="1465" spans="1:16" ht="14.5" x14ac:dyDescent="0.25">
      <c r="A1465" s="10">
        <v>45982</v>
      </c>
      <c r="B1465" s="2" t="str">
        <f t="shared" si="46"/>
        <v>Nov-2025</v>
      </c>
      <c r="C1465" s="2" t="str">
        <f t="shared" si="47"/>
        <v>Q3</v>
      </c>
      <c r="D1465" s="2" t="s">
        <v>28</v>
      </c>
      <c r="E1465" s="11" t="s">
        <v>320</v>
      </c>
      <c r="F1465" s="11" t="s">
        <v>151</v>
      </c>
      <c r="G1465" s="11" t="s">
        <v>504</v>
      </c>
      <c r="H1465" s="11" t="s">
        <v>66</v>
      </c>
      <c r="I1465" s="12">
        <v>1</v>
      </c>
      <c r="J1465" s="12">
        <v>100</v>
      </c>
      <c r="K1465" s="12">
        <v>99.12</v>
      </c>
      <c r="L1465" s="12">
        <v>9912</v>
      </c>
      <c r="M1465" s="12">
        <v>0</v>
      </c>
      <c r="N1465" s="12">
        <v>0</v>
      </c>
      <c r="O1465" s="12">
        <v>1288.5597460000001</v>
      </c>
      <c r="P1465" s="12">
        <v>11200.559746000001</v>
      </c>
    </row>
    <row r="1466" spans="1:16" ht="14.5" x14ac:dyDescent="0.25">
      <c r="A1466" s="10">
        <v>45982</v>
      </c>
      <c r="B1466" s="2" t="str">
        <f t="shared" si="46"/>
        <v>Nov-2025</v>
      </c>
      <c r="C1466" s="2" t="str">
        <f t="shared" si="47"/>
        <v>Q3</v>
      </c>
      <c r="D1466" s="2" t="s">
        <v>28</v>
      </c>
      <c r="E1466" s="11" t="s">
        <v>320</v>
      </c>
      <c r="F1466" s="11" t="s">
        <v>151</v>
      </c>
      <c r="G1466" s="11" t="s">
        <v>504</v>
      </c>
      <c r="H1466" s="11" t="s">
        <v>68</v>
      </c>
      <c r="I1466" s="12">
        <v>2</v>
      </c>
      <c r="J1466" s="12">
        <v>80</v>
      </c>
      <c r="K1466" s="12">
        <v>238.5</v>
      </c>
      <c r="L1466" s="12">
        <v>19079.999999999996</v>
      </c>
      <c r="M1466" s="12">
        <v>0</v>
      </c>
      <c r="N1466" s="12">
        <v>0</v>
      </c>
      <c r="O1466" s="12">
        <v>2480.3995100000002</v>
      </c>
      <c r="P1466" s="12">
        <v>21560.399509999999</v>
      </c>
    </row>
    <row r="1467" spans="1:16" ht="14.5" x14ac:dyDescent="0.25">
      <c r="A1467" s="10">
        <v>45982</v>
      </c>
      <c r="B1467" s="2" t="str">
        <f t="shared" si="46"/>
        <v>Nov-2025</v>
      </c>
      <c r="C1467" s="2" t="str">
        <f t="shared" si="47"/>
        <v>Q3</v>
      </c>
      <c r="D1467" s="2" t="s">
        <v>28</v>
      </c>
      <c r="E1467" s="11" t="s">
        <v>320</v>
      </c>
      <c r="F1467" s="11" t="s">
        <v>151</v>
      </c>
      <c r="G1467" s="11" t="s">
        <v>505</v>
      </c>
      <c r="H1467" s="11" t="s">
        <v>55</v>
      </c>
      <c r="I1467" s="12">
        <v>1</v>
      </c>
      <c r="J1467" s="12">
        <v>120</v>
      </c>
      <c r="K1467" s="12">
        <v>136.28</v>
      </c>
      <c r="L1467" s="12">
        <v>16353.6</v>
      </c>
      <c r="M1467" s="12">
        <v>0</v>
      </c>
      <c r="N1467" s="12">
        <v>0</v>
      </c>
      <c r="O1467" s="12">
        <v>2125.96758</v>
      </c>
      <c r="P1467" s="12">
        <v>18479.567579999999</v>
      </c>
    </row>
    <row r="1468" spans="1:16" ht="14.5" x14ac:dyDescent="0.25">
      <c r="A1468" s="10">
        <v>45982</v>
      </c>
      <c r="B1468" s="2" t="str">
        <f t="shared" si="46"/>
        <v>Nov-2025</v>
      </c>
      <c r="C1468" s="2" t="str">
        <f t="shared" si="47"/>
        <v>Q3</v>
      </c>
      <c r="D1468" s="2" t="s">
        <v>28</v>
      </c>
      <c r="E1468" s="11" t="s">
        <v>320</v>
      </c>
      <c r="F1468" s="11" t="s">
        <v>151</v>
      </c>
      <c r="G1468" s="11" t="s">
        <v>505</v>
      </c>
      <c r="H1468" s="11" t="s">
        <v>56</v>
      </c>
      <c r="I1468" s="12">
        <v>1</v>
      </c>
      <c r="J1468" s="12">
        <v>120</v>
      </c>
      <c r="K1468" s="12">
        <v>46.46</v>
      </c>
      <c r="L1468" s="12">
        <v>5575.2</v>
      </c>
      <c r="M1468" s="12">
        <v>0</v>
      </c>
      <c r="N1468" s="12">
        <v>0</v>
      </c>
      <c r="O1468" s="12">
        <v>724.77585699999997</v>
      </c>
      <c r="P1468" s="12">
        <v>6299.9758570000004</v>
      </c>
    </row>
    <row r="1469" spans="1:16" ht="14.5" x14ac:dyDescent="0.25">
      <c r="A1469" s="10">
        <v>45982</v>
      </c>
      <c r="B1469" s="2" t="str">
        <f t="shared" si="46"/>
        <v>Nov-2025</v>
      </c>
      <c r="C1469" s="2" t="str">
        <f t="shared" si="47"/>
        <v>Q3</v>
      </c>
      <c r="D1469" s="2" t="s">
        <v>28</v>
      </c>
      <c r="E1469" s="11" t="s">
        <v>320</v>
      </c>
      <c r="F1469" s="11" t="s">
        <v>151</v>
      </c>
      <c r="G1469" s="11" t="s">
        <v>503</v>
      </c>
      <c r="H1469" s="11" t="s">
        <v>175</v>
      </c>
      <c r="I1469" s="12">
        <v>0.5</v>
      </c>
      <c r="J1469" s="12">
        <v>60</v>
      </c>
      <c r="K1469" s="12">
        <v>71.239999999999995</v>
      </c>
      <c r="L1469" s="12">
        <v>4274.3999999999996</v>
      </c>
      <c r="M1469" s="12">
        <v>0</v>
      </c>
      <c r="N1469" s="12">
        <v>0</v>
      </c>
      <c r="O1469" s="12">
        <v>555.67188999999996</v>
      </c>
      <c r="P1469" s="12">
        <v>4830.0718900000002</v>
      </c>
    </row>
    <row r="1470" spans="1:16" ht="14.5" x14ac:dyDescent="0.25">
      <c r="A1470" s="10">
        <v>45982</v>
      </c>
      <c r="B1470" s="2" t="str">
        <f t="shared" si="46"/>
        <v>Nov-2025</v>
      </c>
      <c r="C1470" s="2" t="str">
        <f t="shared" si="47"/>
        <v>Q3</v>
      </c>
      <c r="D1470" s="2" t="s">
        <v>28</v>
      </c>
      <c r="E1470" s="11" t="s">
        <v>321</v>
      </c>
      <c r="F1470" s="11" t="s">
        <v>151</v>
      </c>
      <c r="G1470" s="11" t="s">
        <v>507</v>
      </c>
      <c r="H1470" s="11" t="s">
        <v>90</v>
      </c>
      <c r="I1470" s="12">
        <v>1</v>
      </c>
      <c r="J1470" s="12">
        <v>120</v>
      </c>
      <c r="K1470" s="12">
        <v>52.65</v>
      </c>
      <c r="L1470" s="12">
        <v>6318.0000000000009</v>
      </c>
      <c r="M1470" s="12">
        <v>0</v>
      </c>
      <c r="N1470" s="12">
        <v>0</v>
      </c>
      <c r="O1470" s="12">
        <v>821.34021200000007</v>
      </c>
      <c r="P1470" s="12">
        <v>7139.3402120000001</v>
      </c>
    </row>
    <row r="1471" spans="1:16" ht="14.5" x14ac:dyDescent="0.25">
      <c r="A1471" s="10">
        <v>45982</v>
      </c>
      <c r="B1471" s="2" t="str">
        <f t="shared" si="46"/>
        <v>Nov-2025</v>
      </c>
      <c r="C1471" s="2" t="str">
        <f t="shared" si="47"/>
        <v>Q3</v>
      </c>
      <c r="D1471" s="2" t="s">
        <v>28</v>
      </c>
      <c r="E1471" s="11" t="s">
        <v>321</v>
      </c>
      <c r="F1471" s="11" t="s">
        <v>151</v>
      </c>
      <c r="G1471" s="11" t="s">
        <v>506</v>
      </c>
      <c r="H1471" s="11" t="s">
        <v>54</v>
      </c>
      <c r="I1471" s="12">
        <v>1</v>
      </c>
      <c r="J1471" s="12">
        <v>48</v>
      </c>
      <c r="K1471" s="12">
        <v>272.57</v>
      </c>
      <c r="L1471" s="12">
        <v>13083.36</v>
      </c>
      <c r="M1471" s="12">
        <v>0</v>
      </c>
      <c r="N1471" s="12">
        <v>0</v>
      </c>
      <c r="O1471" s="12">
        <v>1700.8372400000001</v>
      </c>
      <c r="P1471" s="12">
        <v>14784.19724</v>
      </c>
    </row>
    <row r="1472" spans="1:16" ht="14.5" x14ac:dyDescent="0.25">
      <c r="A1472" s="10">
        <v>45982</v>
      </c>
      <c r="B1472" s="2" t="str">
        <f t="shared" si="46"/>
        <v>Nov-2025</v>
      </c>
      <c r="C1472" s="2" t="str">
        <f t="shared" si="47"/>
        <v>Q3</v>
      </c>
      <c r="D1472" s="2" t="s">
        <v>28</v>
      </c>
      <c r="E1472" s="11" t="s">
        <v>321</v>
      </c>
      <c r="F1472" s="11" t="s">
        <v>151</v>
      </c>
      <c r="G1472" s="11" t="s">
        <v>505</v>
      </c>
      <c r="H1472" s="11" t="s">
        <v>55</v>
      </c>
      <c r="I1472" s="12">
        <v>2</v>
      </c>
      <c r="J1472" s="12">
        <v>240</v>
      </c>
      <c r="K1472" s="12">
        <v>136.28</v>
      </c>
      <c r="L1472" s="12">
        <v>32707.200000000001</v>
      </c>
      <c r="M1472" s="12">
        <v>0</v>
      </c>
      <c r="N1472" s="12">
        <v>0</v>
      </c>
      <c r="O1472" s="12">
        <v>4251.9370989999998</v>
      </c>
      <c r="P1472" s="12">
        <v>36959.137099</v>
      </c>
    </row>
    <row r="1473" spans="1:16" ht="14.5" x14ac:dyDescent="0.25">
      <c r="A1473" s="10">
        <v>45982</v>
      </c>
      <c r="B1473" s="2" t="str">
        <f t="shared" si="46"/>
        <v>Nov-2025</v>
      </c>
      <c r="C1473" s="2" t="str">
        <f t="shared" si="47"/>
        <v>Q3</v>
      </c>
      <c r="D1473" s="2" t="s">
        <v>28</v>
      </c>
      <c r="E1473" s="11" t="s">
        <v>321</v>
      </c>
      <c r="F1473" s="11" t="s">
        <v>151</v>
      </c>
      <c r="G1473" s="11" t="s">
        <v>505</v>
      </c>
      <c r="H1473" s="11" t="s">
        <v>43</v>
      </c>
      <c r="I1473" s="12">
        <v>3</v>
      </c>
      <c r="J1473" s="12">
        <v>120</v>
      </c>
      <c r="K1473" s="12">
        <v>260.18</v>
      </c>
      <c r="L1473" s="12">
        <v>31221.600000000002</v>
      </c>
      <c r="M1473" s="12">
        <v>0</v>
      </c>
      <c r="N1473" s="12">
        <v>0</v>
      </c>
      <c r="O1473" s="12">
        <v>4058.809049</v>
      </c>
      <c r="P1473" s="12">
        <v>35280.409049000002</v>
      </c>
    </row>
    <row r="1474" spans="1:16" ht="14.5" x14ac:dyDescent="0.25">
      <c r="A1474" s="10">
        <v>45982</v>
      </c>
      <c r="B1474" s="2" t="str">
        <f t="shared" si="46"/>
        <v>Nov-2025</v>
      </c>
      <c r="C1474" s="2" t="str">
        <f t="shared" si="47"/>
        <v>Q3</v>
      </c>
      <c r="D1474" s="2" t="s">
        <v>28</v>
      </c>
      <c r="E1474" s="11" t="s">
        <v>321</v>
      </c>
      <c r="F1474" s="11" t="s">
        <v>151</v>
      </c>
      <c r="G1474" s="11" t="s">
        <v>506</v>
      </c>
      <c r="H1474" s="11" t="s">
        <v>189</v>
      </c>
      <c r="I1474" s="12">
        <v>1</v>
      </c>
      <c r="J1474" s="12">
        <v>100</v>
      </c>
      <c r="K1474" s="12">
        <v>65.040000000000006</v>
      </c>
      <c r="L1474" s="12">
        <v>6504</v>
      </c>
      <c r="M1474" s="12">
        <v>0</v>
      </c>
      <c r="N1474" s="12">
        <v>0</v>
      </c>
      <c r="O1474" s="12">
        <v>845.520219</v>
      </c>
      <c r="P1474" s="12">
        <v>7349.520219</v>
      </c>
    </row>
    <row r="1475" spans="1:16" ht="14.5" x14ac:dyDescent="0.25">
      <c r="A1475" s="10">
        <v>45982</v>
      </c>
      <c r="B1475" s="2" t="str">
        <f t="shared" si="46"/>
        <v>Nov-2025</v>
      </c>
      <c r="C1475" s="2" t="str">
        <f t="shared" si="47"/>
        <v>Q3</v>
      </c>
      <c r="D1475" s="2" t="s">
        <v>28</v>
      </c>
      <c r="E1475" s="11" t="s">
        <v>321</v>
      </c>
      <c r="F1475" s="11" t="s">
        <v>151</v>
      </c>
      <c r="G1475" s="11" t="s">
        <v>507</v>
      </c>
      <c r="H1475" s="11" t="s">
        <v>60</v>
      </c>
      <c r="I1475" s="12">
        <v>1</v>
      </c>
      <c r="J1475" s="12">
        <v>60</v>
      </c>
      <c r="K1475" s="12">
        <v>89.82</v>
      </c>
      <c r="L1475" s="12">
        <v>5389.2</v>
      </c>
      <c r="M1475" s="12">
        <v>0</v>
      </c>
      <c r="N1475" s="12">
        <v>0</v>
      </c>
      <c r="O1475" s="12">
        <v>700.596181</v>
      </c>
      <c r="P1475" s="12">
        <v>6089.7961809999997</v>
      </c>
    </row>
    <row r="1476" spans="1:16" ht="14.5" x14ac:dyDescent="0.25">
      <c r="A1476" s="10">
        <v>45982</v>
      </c>
      <c r="B1476" s="2" t="str">
        <f t="shared" si="46"/>
        <v>Nov-2025</v>
      </c>
      <c r="C1476" s="2" t="str">
        <f t="shared" si="47"/>
        <v>Q3</v>
      </c>
      <c r="D1476" s="2" t="s">
        <v>28</v>
      </c>
      <c r="E1476" s="11" t="s">
        <v>322</v>
      </c>
      <c r="F1476" s="11" t="s">
        <v>151</v>
      </c>
      <c r="G1476" s="11" t="s">
        <v>503</v>
      </c>
      <c r="H1476" s="11" t="s">
        <v>42</v>
      </c>
      <c r="I1476" s="12">
        <v>1</v>
      </c>
      <c r="J1476" s="12">
        <v>120</v>
      </c>
      <c r="K1476" s="12">
        <v>136.28</v>
      </c>
      <c r="L1476" s="12">
        <v>16353.6</v>
      </c>
      <c r="M1476" s="12">
        <v>0</v>
      </c>
      <c r="N1476" s="12">
        <v>0</v>
      </c>
      <c r="O1476" s="12">
        <v>2125.968597</v>
      </c>
      <c r="P1476" s="12">
        <v>18479.568597000001</v>
      </c>
    </row>
    <row r="1477" spans="1:16" ht="14.5" x14ac:dyDescent="0.25">
      <c r="A1477" s="10">
        <v>45982</v>
      </c>
      <c r="B1477" s="2" t="str">
        <f t="shared" si="46"/>
        <v>Nov-2025</v>
      </c>
      <c r="C1477" s="2" t="str">
        <f t="shared" si="47"/>
        <v>Q3</v>
      </c>
      <c r="D1477" s="2" t="s">
        <v>28</v>
      </c>
      <c r="E1477" s="11" t="s">
        <v>322</v>
      </c>
      <c r="F1477" s="11" t="s">
        <v>151</v>
      </c>
      <c r="G1477" s="11" t="s">
        <v>505</v>
      </c>
      <c r="H1477" s="11" t="s">
        <v>55</v>
      </c>
      <c r="I1477" s="12">
        <v>1</v>
      </c>
      <c r="J1477" s="12">
        <v>120</v>
      </c>
      <c r="K1477" s="12">
        <v>136.28</v>
      </c>
      <c r="L1477" s="12">
        <v>16353.6</v>
      </c>
      <c r="M1477" s="12">
        <v>0</v>
      </c>
      <c r="N1477" s="12">
        <v>0</v>
      </c>
      <c r="O1477" s="12">
        <v>2125.968597</v>
      </c>
      <c r="P1477" s="12">
        <v>18479.568597000001</v>
      </c>
    </row>
    <row r="1478" spans="1:16" ht="14.5" x14ac:dyDescent="0.25">
      <c r="A1478" s="10">
        <v>45982</v>
      </c>
      <c r="B1478" s="2" t="str">
        <f t="shared" si="46"/>
        <v>Nov-2025</v>
      </c>
      <c r="C1478" s="2" t="str">
        <f t="shared" si="47"/>
        <v>Q3</v>
      </c>
      <c r="D1478" s="2" t="s">
        <v>28</v>
      </c>
      <c r="E1478" s="11" t="s">
        <v>322</v>
      </c>
      <c r="F1478" s="11" t="s">
        <v>151</v>
      </c>
      <c r="G1478" s="11" t="s">
        <v>507</v>
      </c>
      <c r="H1478" s="11" t="s">
        <v>60</v>
      </c>
      <c r="I1478" s="12">
        <v>1</v>
      </c>
      <c r="J1478" s="12">
        <v>60</v>
      </c>
      <c r="K1478" s="12">
        <v>89.82</v>
      </c>
      <c r="L1478" s="12">
        <v>5389.2</v>
      </c>
      <c r="M1478" s="12">
        <v>0</v>
      </c>
      <c r="N1478" s="12">
        <v>0</v>
      </c>
      <c r="O1478" s="12">
        <v>700.59619700000007</v>
      </c>
      <c r="P1478" s="12">
        <v>6089.7961969999997</v>
      </c>
    </row>
    <row r="1479" spans="1:16" ht="14.5" x14ac:dyDescent="0.25">
      <c r="A1479" s="10">
        <v>45982</v>
      </c>
      <c r="B1479" s="2" t="str">
        <f t="shared" si="46"/>
        <v>Nov-2025</v>
      </c>
      <c r="C1479" s="2" t="str">
        <f t="shared" si="47"/>
        <v>Q3</v>
      </c>
      <c r="D1479" s="2" t="s">
        <v>28</v>
      </c>
      <c r="E1479" s="11" t="s">
        <v>322</v>
      </c>
      <c r="F1479" s="11" t="s">
        <v>151</v>
      </c>
      <c r="G1479" s="11" t="s">
        <v>505</v>
      </c>
      <c r="H1479" s="11" t="s">
        <v>43</v>
      </c>
      <c r="I1479" s="12">
        <v>1</v>
      </c>
      <c r="J1479" s="12">
        <v>40</v>
      </c>
      <c r="K1479" s="12">
        <v>260.18</v>
      </c>
      <c r="L1479" s="12">
        <v>10407.199999999999</v>
      </c>
      <c r="M1479" s="12">
        <v>0</v>
      </c>
      <c r="N1479" s="12">
        <v>0</v>
      </c>
      <c r="O1479" s="12">
        <v>1352.9363800000001</v>
      </c>
      <c r="P1479" s="12">
        <v>11760.13638</v>
      </c>
    </row>
    <row r="1480" spans="1:16" ht="14.5" x14ac:dyDescent="0.25">
      <c r="A1480" s="10">
        <v>45982</v>
      </c>
      <c r="B1480" s="2" t="str">
        <f t="shared" si="46"/>
        <v>Nov-2025</v>
      </c>
      <c r="C1480" s="2" t="str">
        <f t="shared" si="47"/>
        <v>Q3</v>
      </c>
      <c r="D1480" s="2" t="s">
        <v>28</v>
      </c>
      <c r="E1480" s="11" t="s">
        <v>322</v>
      </c>
      <c r="F1480" s="11" t="s">
        <v>151</v>
      </c>
      <c r="G1480" s="11" t="s">
        <v>507</v>
      </c>
      <c r="H1480" s="11" t="s">
        <v>90</v>
      </c>
      <c r="I1480" s="12">
        <v>1</v>
      </c>
      <c r="J1480" s="12">
        <v>120</v>
      </c>
      <c r="K1480" s="12">
        <v>52.65</v>
      </c>
      <c r="L1480" s="12">
        <v>6318.0000000000009</v>
      </c>
      <c r="M1480" s="12">
        <v>0</v>
      </c>
      <c r="N1480" s="12">
        <v>0</v>
      </c>
      <c r="O1480" s="12">
        <v>821.34023000000002</v>
      </c>
      <c r="P1480" s="12">
        <v>7139.3402299999998</v>
      </c>
    </row>
    <row r="1481" spans="1:16" ht="14.5" x14ac:dyDescent="0.25">
      <c r="A1481" s="10">
        <v>45982</v>
      </c>
      <c r="B1481" s="2" t="str">
        <f t="shared" si="46"/>
        <v>Nov-2025</v>
      </c>
      <c r="C1481" s="2" t="str">
        <f t="shared" si="47"/>
        <v>Q3</v>
      </c>
      <c r="D1481" s="2" t="s">
        <v>28</v>
      </c>
      <c r="E1481" s="11" t="s">
        <v>323</v>
      </c>
      <c r="F1481" s="11" t="s">
        <v>151</v>
      </c>
      <c r="G1481" s="11" t="s">
        <v>507</v>
      </c>
      <c r="H1481" s="11" t="s">
        <v>90</v>
      </c>
      <c r="I1481" s="12">
        <v>0.5</v>
      </c>
      <c r="J1481" s="12">
        <v>60</v>
      </c>
      <c r="K1481" s="12">
        <v>52.65</v>
      </c>
      <c r="L1481" s="12">
        <v>3159.0000000000005</v>
      </c>
      <c r="M1481" s="12">
        <v>0</v>
      </c>
      <c r="N1481" s="12">
        <v>0</v>
      </c>
      <c r="O1481" s="12">
        <v>410.66988300000003</v>
      </c>
      <c r="P1481" s="12">
        <v>3569.669883</v>
      </c>
    </row>
    <row r="1482" spans="1:16" ht="14.5" x14ac:dyDescent="0.25">
      <c r="A1482" s="10">
        <v>45982</v>
      </c>
      <c r="B1482" s="2" t="str">
        <f t="shared" si="46"/>
        <v>Nov-2025</v>
      </c>
      <c r="C1482" s="2" t="str">
        <f t="shared" si="47"/>
        <v>Q3</v>
      </c>
      <c r="D1482" s="2" t="s">
        <v>28</v>
      </c>
      <c r="E1482" s="11" t="s">
        <v>323</v>
      </c>
      <c r="F1482" s="11" t="s">
        <v>151</v>
      </c>
      <c r="G1482" s="11" t="s">
        <v>505</v>
      </c>
      <c r="H1482" s="11" t="s">
        <v>40</v>
      </c>
      <c r="I1482" s="12">
        <v>0.5</v>
      </c>
      <c r="J1482" s="12">
        <v>90</v>
      </c>
      <c r="K1482" s="12">
        <v>74.34</v>
      </c>
      <c r="L1482" s="12">
        <v>6690.5999999999995</v>
      </c>
      <c r="M1482" s="12">
        <v>0</v>
      </c>
      <c r="N1482" s="12">
        <v>0</v>
      </c>
      <c r="O1482" s="12">
        <v>869.77775299999996</v>
      </c>
      <c r="P1482" s="12">
        <v>7560.3777529999998</v>
      </c>
    </row>
    <row r="1483" spans="1:16" ht="14.5" x14ac:dyDescent="0.25">
      <c r="A1483" s="10">
        <v>45982</v>
      </c>
      <c r="B1483" s="2" t="str">
        <f t="shared" si="46"/>
        <v>Nov-2025</v>
      </c>
      <c r="C1483" s="2" t="str">
        <f t="shared" si="47"/>
        <v>Q3</v>
      </c>
      <c r="D1483" s="2" t="s">
        <v>28</v>
      </c>
      <c r="E1483" s="11" t="s">
        <v>323</v>
      </c>
      <c r="F1483" s="11" t="s">
        <v>151</v>
      </c>
      <c r="G1483" s="11" t="s">
        <v>509</v>
      </c>
      <c r="H1483" s="11" t="s">
        <v>283</v>
      </c>
      <c r="I1483" s="12">
        <v>0.5</v>
      </c>
      <c r="J1483" s="12">
        <v>60</v>
      </c>
      <c r="K1483" s="12">
        <v>229.2</v>
      </c>
      <c r="L1483" s="12">
        <v>13752</v>
      </c>
      <c r="M1483" s="12">
        <v>0</v>
      </c>
      <c r="N1483" s="12">
        <v>0</v>
      </c>
      <c r="O1483" s="12">
        <v>1787.7594919999999</v>
      </c>
      <c r="P1483" s="12">
        <v>15539.759491999999</v>
      </c>
    </row>
    <row r="1484" spans="1:16" ht="14.5" x14ac:dyDescent="0.25">
      <c r="A1484" s="10">
        <v>45982</v>
      </c>
      <c r="B1484" s="2" t="str">
        <f t="shared" si="46"/>
        <v>Nov-2025</v>
      </c>
      <c r="C1484" s="2" t="str">
        <f t="shared" si="47"/>
        <v>Q3</v>
      </c>
      <c r="D1484" s="2" t="s">
        <v>28</v>
      </c>
      <c r="E1484" s="11" t="s">
        <v>323</v>
      </c>
      <c r="F1484" s="11" t="s">
        <v>151</v>
      </c>
      <c r="G1484" s="11" t="s">
        <v>509</v>
      </c>
      <c r="H1484" s="11" t="s">
        <v>285</v>
      </c>
      <c r="I1484" s="12">
        <v>0.5</v>
      </c>
      <c r="J1484" s="12">
        <v>30</v>
      </c>
      <c r="K1484" s="12">
        <v>446.02</v>
      </c>
      <c r="L1484" s="12">
        <v>13380.599999999999</v>
      </c>
      <c r="M1484" s="12">
        <v>0</v>
      </c>
      <c r="N1484" s="12">
        <v>0</v>
      </c>
      <c r="O1484" s="12">
        <v>1739.4775060000002</v>
      </c>
      <c r="P1484" s="12">
        <v>15120.077506</v>
      </c>
    </row>
    <row r="1485" spans="1:16" ht="14.5" x14ac:dyDescent="0.25">
      <c r="A1485" s="10">
        <v>45982</v>
      </c>
      <c r="B1485" s="2" t="str">
        <f t="shared" si="46"/>
        <v>Nov-2025</v>
      </c>
      <c r="C1485" s="2" t="str">
        <f t="shared" si="47"/>
        <v>Q3</v>
      </c>
      <c r="D1485" s="2" t="s">
        <v>28</v>
      </c>
      <c r="E1485" s="11" t="s">
        <v>323</v>
      </c>
      <c r="F1485" s="11" t="s">
        <v>151</v>
      </c>
      <c r="G1485" s="11" t="s">
        <v>507</v>
      </c>
      <c r="H1485" s="11" t="s">
        <v>60</v>
      </c>
      <c r="I1485" s="12">
        <v>1</v>
      </c>
      <c r="J1485" s="12">
        <v>60</v>
      </c>
      <c r="K1485" s="12">
        <v>89.82</v>
      </c>
      <c r="L1485" s="12">
        <v>5389.2</v>
      </c>
      <c r="M1485" s="12">
        <v>0</v>
      </c>
      <c r="N1485" s="12">
        <v>0</v>
      </c>
      <c r="O1485" s="12">
        <v>700.59580099999994</v>
      </c>
      <c r="P1485" s="12">
        <v>6089.7958010000002</v>
      </c>
    </row>
    <row r="1486" spans="1:16" ht="14.5" x14ac:dyDescent="0.25">
      <c r="A1486" s="10">
        <v>45982</v>
      </c>
      <c r="B1486" s="2" t="str">
        <f t="shared" si="46"/>
        <v>Nov-2025</v>
      </c>
      <c r="C1486" s="2" t="str">
        <f t="shared" si="47"/>
        <v>Q3</v>
      </c>
      <c r="D1486" s="2" t="s">
        <v>28</v>
      </c>
      <c r="E1486" s="11" t="s">
        <v>323</v>
      </c>
      <c r="F1486" s="11" t="s">
        <v>151</v>
      </c>
      <c r="G1486" s="11" t="s">
        <v>509</v>
      </c>
      <c r="H1486" s="11" t="s">
        <v>284</v>
      </c>
      <c r="I1486" s="12">
        <v>0.5</v>
      </c>
      <c r="J1486" s="12">
        <v>100</v>
      </c>
      <c r="K1486" s="12">
        <v>117.7</v>
      </c>
      <c r="L1486" s="12">
        <v>11770</v>
      </c>
      <c r="M1486" s="12">
        <v>0</v>
      </c>
      <c r="N1486" s="12">
        <v>0</v>
      </c>
      <c r="O1486" s="12">
        <v>1530.099565</v>
      </c>
      <c r="P1486" s="12">
        <v>13300.099565</v>
      </c>
    </row>
    <row r="1487" spans="1:16" ht="14.5" x14ac:dyDescent="0.25">
      <c r="A1487" s="10">
        <v>45982</v>
      </c>
      <c r="B1487" s="2" t="str">
        <f t="shared" si="46"/>
        <v>Nov-2025</v>
      </c>
      <c r="C1487" s="2" t="str">
        <f t="shared" si="47"/>
        <v>Q3</v>
      </c>
      <c r="D1487" s="2" t="s">
        <v>28</v>
      </c>
      <c r="E1487" s="11" t="s">
        <v>324</v>
      </c>
      <c r="F1487" s="11" t="s">
        <v>151</v>
      </c>
      <c r="G1487" s="11" t="s">
        <v>506</v>
      </c>
      <c r="H1487" s="11" t="s">
        <v>54</v>
      </c>
      <c r="I1487" s="12">
        <v>1</v>
      </c>
      <c r="J1487" s="12">
        <v>48</v>
      </c>
      <c r="K1487" s="12">
        <v>272.57</v>
      </c>
      <c r="L1487" s="12">
        <v>13083.36</v>
      </c>
      <c r="M1487" s="12">
        <v>0</v>
      </c>
      <c r="N1487" s="12">
        <v>0</v>
      </c>
      <c r="O1487" s="12">
        <v>1700.837356</v>
      </c>
      <c r="P1487" s="12">
        <v>14784.197356000001</v>
      </c>
    </row>
    <row r="1488" spans="1:16" ht="14.5" x14ac:dyDescent="0.25">
      <c r="A1488" s="10">
        <v>45982</v>
      </c>
      <c r="B1488" s="2" t="str">
        <f t="shared" si="46"/>
        <v>Nov-2025</v>
      </c>
      <c r="C1488" s="2" t="str">
        <f t="shared" si="47"/>
        <v>Q3</v>
      </c>
      <c r="D1488" s="2" t="s">
        <v>28</v>
      </c>
      <c r="E1488" s="11" t="s">
        <v>324</v>
      </c>
      <c r="F1488" s="11" t="s">
        <v>151</v>
      </c>
      <c r="G1488" s="11" t="s">
        <v>506</v>
      </c>
      <c r="H1488" s="11" t="s">
        <v>39</v>
      </c>
      <c r="I1488" s="12">
        <v>1</v>
      </c>
      <c r="J1488" s="12">
        <v>72</v>
      </c>
      <c r="K1488" s="12">
        <v>120.8</v>
      </c>
      <c r="L1488" s="12">
        <v>8697.6</v>
      </c>
      <c r="M1488" s="12">
        <v>0</v>
      </c>
      <c r="N1488" s="12">
        <v>0</v>
      </c>
      <c r="O1488" s="12">
        <v>1130.6883700000001</v>
      </c>
      <c r="P1488" s="12">
        <v>9828.2883700000002</v>
      </c>
    </row>
    <row r="1489" spans="1:16" ht="14.5" x14ac:dyDescent="0.25">
      <c r="A1489" s="10">
        <v>45982</v>
      </c>
      <c r="B1489" s="2" t="str">
        <f t="shared" si="46"/>
        <v>Nov-2025</v>
      </c>
      <c r="C1489" s="2" t="str">
        <f t="shared" si="47"/>
        <v>Q3</v>
      </c>
      <c r="D1489" s="2" t="s">
        <v>28</v>
      </c>
      <c r="E1489" s="11" t="s">
        <v>324</v>
      </c>
      <c r="F1489" s="11" t="s">
        <v>151</v>
      </c>
      <c r="G1489" s="11" t="s">
        <v>507</v>
      </c>
      <c r="H1489" s="11" t="s">
        <v>90</v>
      </c>
      <c r="I1489" s="12">
        <v>1</v>
      </c>
      <c r="J1489" s="12">
        <v>120</v>
      </c>
      <c r="K1489" s="12">
        <v>52.65</v>
      </c>
      <c r="L1489" s="12">
        <v>6318.0000000000009</v>
      </c>
      <c r="M1489" s="12">
        <v>0</v>
      </c>
      <c r="N1489" s="12">
        <v>0</v>
      </c>
      <c r="O1489" s="12">
        <v>821.34026900000003</v>
      </c>
      <c r="P1489" s="12">
        <v>7139.3402690000003</v>
      </c>
    </row>
    <row r="1490" spans="1:16" ht="14.5" x14ac:dyDescent="0.25">
      <c r="A1490" s="10">
        <v>45982</v>
      </c>
      <c r="B1490" s="2" t="str">
        <f t="shared" si="46"/>
        <v>Nov-2025</v>
      </c>
      <c r="C1490" s="2" t="str">
        <f t="shared" si="47"/>
        <v>Q3</v>
      </c>
      <c r="D1490" s="2" t="s">
        <v>28</v>
      </c>
      <c r="E1490" s="11" t="s">
        <v>324</v>
      </c>
      <c r="F1490" s="11" t="s">
        <v>151</v>
      </c>
      <c r="G1490" s="11" t="s">
        <v>509</v>
      </c>
      <c r="H1490" s="11" t="s">
        <v>285</v>
      </c>
      <c r="I1490" s="12">
        <v>1</v>
      </c>
      <c r="J1490" s="12">
        <v>60</v>
      </c>
      <c r="K1490" s="12">
        <v>446.02</v>
      </c>
      <c r="L1490" s="12">
        <v>26761.199999999997</v>
      </c>
      <c r="M1490" s="12">
        <v>0</v>
      </c>
      <c r="N1490" s="12">
        <v>0</v>
      </c>
      <c r="O1490" s="12">
        <v>3478.9571380000002</v>
      </c>
      <c r="P1490" s="12">
        <v>30240.157137999999</v>
      </c>
    </row>
    <row r="1491" spans="1:16" ht="14.5" x14ac:dyDescent="0.25">
      <c r="A1491" s="10">
        <v>45982</v>
      </c>
      <c r="B1491" s="2" t="str">
        <f t="shared" si="46"/>
        <v>Nov-2025</v>
      </c>
      <c r="C1491" s="2" t="str">
        <f t="shared" si="47"/>
        <v>Q3</v>
      </c>
      <c r="D1491" s="2" t="s">
        <v>28</v>
      </c>
      <c r="E1491" s="11" t="s">
        <v>324</v>
      </c>
      <c r="F1491" s="11" t="s">
        <v>151</v>
      </c>
      <c r="G1491" s="11" t="s">
        <v>505</v>
      </c>
      <c r="H1491" s="11" t="s">
        <v>43</v>
      </c>
      <c r="I1491" s="12">
        <v>1</v>
      </c>
      <c r="J1491" s="12">
        <v>40</v>
      </c>
      <c r="K1491" s="12">
        <v>260.18</v>
      </c>
      <c r="L1491" s="12">
        <v>10407.199999999999</v>
      </c>
      <c r="M1491" s="12">
        <v>0</v>
      </c>
      <c r="N1491" s="12">
        <v>0</v>
      </c>
      <c r="O1491" s="12">
        <v>1352.9364430000001</v>
      </c>
      <c r="P1491" s="12">
        <v>11760.136442999999</v>
      </c>
    </row>
    <row r="1492" spans="1:16" ht="14.5" x14ac:dyDescent="0.25">
      <c r="A1492" s="10">
        <v>45982</v>
      </c>
      <c r="B1492" s="2" t="str">
        <f t="shared" si="46"/>
        <v>Nov-2025</v>
      </c>
      <c r="C1492" s="2" t="str">
        <f t="shared" si="47"/>
        <v>Q3</v>
      </c>
      <c r="D1492" s="2" t="s">
        <v>28</v>
      </c>
      <c r="E1492" s="11" t="s">
        <v>324</v>
      </c>
      <c r="F1492" s="11" t="s">
        <v>151</v>
      </c>
      <c r="G1492" s="11" t="s">
        <v>505</v>
      </c>
      <c r="H1492" s="11" t="s">
        <v>49</v>
      </c>
      <c r="I1492" s="12">
        <v>0.5</v>
      </c>
      <c r="J1492" s="12">
        <v>90</v>
      </c>
      <c r="K1492" s="12">
        <v>145.58000000000001</v>
      </c>
      <c r="L1492" s="12">
        <v>13102.199999999999</v>
      </c>
      <c r="M1492" s="12">
        <v>0</v>
      </c>
      <c r="N1492" s="12">
        <v>0</v>
      </c>
      <c r="O1492" s="12">
        <v>1703.2865570000001</v>
      </c>
      <c r="P1492" s="12">
        <v>14805.486557</v>
      </c>
    </row>
    <row r="1493" spans="1:16" ht="14.5" x14ac:dyDescent="0.25">
      <c r="A1493" s="10">
        <v>45982</v>
      </c>
      <c r="B1493" s="2" t="str">
        <f t="shared" si="46"/>
        <v>Nov-2025</v>
      </c>
      <c r="C1493" s="2" t="str">
        <f t="shared" si="47"/>
        <v>Q3</v>
      </c>
      <c r="D1493" s="2" t="s">
        <v>28</v>
      </c>
      <c r="E1493" s="11" t="s">
        <v>324</v>
      </c>
      <c r="F1493" s="11" t="s">
        <v>151</v>
      </c>
      <c r="G1493" s="11" t="s">
        <v>506</v>
      </c>
      <c r="H1493" s="11" t="s">
        <v>181</v>
      </c>
      <c r="I1493" s="12">
        <v>0.5</v>
      </c>
      <c r="J1493" s="12">
        <v>50</v>
      </c>
      <c r="K1493" s="12">
        <v>89.82</v>
      </c>
      <c r="L1493" s="12">
        <v>4491</v>
      </c>
      <c r="M1493" s="12">
        <v>0</v>
      </c>
      <c r="N1493" s="12">
        <v>0</v>
      </c>
      <c r="O1493" s="12">
        <v>583.83019100000001</v>
      </c>
      <c r="P1493" s="12">
        <v>5074.830191</v>
      </c>
    </row>
    <row r="1494" spans="1:16" ht="14.5" x14ac:dyDescent="0.25">
      <c r="A1494" s="10">
        <v>45982</v>
      </c>
      <c r="B1494" s="2" t="str">
        <f t="shared" si="46"/>
        <v>Nov-2025</v>
      </c>
      <c r="C1494" s="2" t="str">
        <f t="shared" si="47"/>
        <v>Q3</v>
      </c>
      <c r="D1494" s="2" t="s">
        <v>28</v>
      </c>
      <c r="E1494" s="11" t="s">
        <v>324</v>
      </c>
      <c r="F1494" s="11" t="s">
        <v>151</v>
      </c>
      <c r="G1494" s="11" t="s">
        <v>507</v>
      </c>
      <c r="H1494" s="11" t="s">
        <v>60</v>
      </c>
      <c r="I1494" s="12">
        <v>2</v>
      </c>
      <c r="J1494" s="12">
        <v>120</v>
      </c>
      <c r="K1494" s="12">
        <v>89.82</v>
      </c>
      <c r="L1494" s="12">
        <v>10778.4</v>
      </c>
      <c r="M1494" s="12">
        <v>0</v>
      </c>
      <c r="N1494" s="12">
        <v>0</v>
      </c>
      <c r="O1494" s="12">
        <v>1401.192458</v>
      </c>
      <c r="P1494" s="12">
        <v>12179.592457999999</v>
      </c>
    </row>
    <row r="1495" spans="1:16" ht="14.5" x14ac:dyDescent="0.25">
      <c r="A1495" s="10">
        <v>45982</v>
      </c>
      <c r="B1495" s="2" t="str">
        <f t="shared" si="46"/>
        <v>Nov-2025</v>
      </c>
      <c r="C1495" s="2" t="str">
        <f t="shared" si="47"/>
        <v>Q3</v>
      </c>
      <c r="D1495" s="2" t="s">
        <v>28</v>
      </c>
      <c r="E1495" s="11" t="s">
        <v>324</v>
      </c>
      <c r="F1495" s="11" t="s">
        <v>151</v>
      </c>
      <c r="G1495" s="11" t="s">
        <v>506</v>
      </c>
      <c r="H1495" s="11" t="s">
        <v>58</v>
      </c>
      <c r="I1495" s="12">
        <v>1</v>
      </c>
      <c r="J1495" s="12">
        <v>72</v>
      </c>
      <c r="K1495" s="12">
        <v>136.28</v>
      </c>
      <c r="L1495" s="12">
        <v>9812.16</v>
      </c>
      <c r="M1495" s="12">
        <v>0</v>
      </c>
      <c r="N1495" s="12">
        <v>0</v>
      </c>
      <c r="O1495" s="12">
        <v>1275.5812170000002</v>
      </c>
      <c r="P1495" s="12">
        <v>11087.741217000001</v>
      </c>
    </row>
    <row r="1496" spans="1:16" ht="14.5" x14ac:dyDescent="0.25">
      <c r="A1496" s="10">
        <v>45982</v>
      </c>
      <c r="B1496" s="2" t="str">
        <f t="shared" si="46"/>
        <v>Nov-2025</v>
      </c>
      <c r="C1496" s="2" t="str">
        <f t="shared" si="47"/>
        <v>Q3</v>
      </c>
      <c r="D1496" s="2" t="s">
        <v>28</v>
      </c>
      <c r="E1496" s="11" t="s">
        <v>325</v>
      </c>
      <c r="F1496" s="11" t="s">
        <v>151</v>
      </c>
      <c r="G1496" s="11" t="s">
        <v>506</v>
      </c>
      <c r="H1496" s="11" t="s">
        <v>54</v>
      </c>
      <c r="I1496" s="12">
        <v>1</v>
      </c>
      <c r="J1496" s="12">
        <v>48</v>
      </c>
      <c r="K1496" s="12">
        <v>272.57</v>
      </c>
      <c r="L1496" s="12">
        <v>13083.36</v>
      </c>
      <c r="M1496" s="12">
        <v>0</v>
      </c>
      <c r="N1496" s="12">
        <v>0</v>
      </c>
      <c r="O1496" s="12">
        <v>1700.838121</v>
      </c>
      <c r="P1496" s="12">
        <v>14784.198120999999</v>
      </c>
    </row>
    <row r="1497" spans="1:16" ht="14.5" x14ac:dyDescent="0.25">
      <c r="A1497" s="10">
        <v>45982</v>
      </c>
      <c r="B1497" s="2" t="str">
        <f t="shared" si="46"/>
        <v>Nov-2025</v>
      </c>
      <c r="C1497" s="2" t="str">
        <f t="shared" si="47"/>
        <v>Q3</v>
      </c>
      <c r="D1497" s="2" t="s">
        <v>28</v>
      </c>
      <c r="E1497" s="11" t="s">
        <v>325</v>
      </c>
      <c r="F1497" s="11" t="s">
        <v>151</v>
      </c>
      <c r="G1497" s="11" t="s">
        <v>506</v>
      </c>
      <c r="H1497" s="11" t="s">
        <v>39</v>
      </c>
      <c r="I1497" s="12">
        <v>0.5</v>
      </c>
      <c r="J1497" s="12">
        <v>36</v>
      </c>
      <c r="K1497" s="12">
        <v>120.8</v>
      </c>
      <c r="L1497" s="12">
        <v>4348.8</v>
      </c>
      <c r="M1497" s="12">
        <v>0</v>
      </c>
      <c r="N1497" s="12">
        <v>0</v>
      </c>
      <c r="O1497" s="12">
        <v>565.34443899999997</v>
      </c>
      <c r="P1497" s="12">
        <v>4914.1444389999997</v>
      </c>
    </row>
    <row r="1498" spans="1:16" ht="14.5" x14ac:dyDescent="0.25">
      <c r="A1498" s="10">
        <v>45982</v>
      </c>
      <c r="B1498" s="2" t="str">
        <f t="shared" si="46"/>
        <v>Nov-2025</v>
      </c>
      <c r="C1498" s="2" t="str">
        <f t="shared" si="47"/>
        <v>Q3</v>
      </c>
      <c r="D1498" s="2" t="s">
        <v>28</v>
      </c>
      <c r="E1498" s="11" t="s">
        <v>325</v>
      </c>
      <c r="F1498" s="11" t="s">
        <v>151</v>
      </c>
      <c r="G1498" s="11" t="s">
        <v>506</v>
      </c>
      <c r="H1498" s="11" t="s">
        <v>58</v>
      </c>
      <c r="I1498" s="12">
        <v>0.5</v>
      </c>
      <c r="J1498" s="12">
        <v>36</v>
      </c>
      <c r="K1498" s="12">
        <v>136.28</v>
      </c>
      <c r="L1498" s="12">
        <v>4906.08</v>
      </c>
      <c r="M1498" s="12">
        <v>0</v>
      </c>
      <c r="N1498" s="12">
        <v>0</v>
      </c>
      <c r="O1498" s="12">
        <v>637.79089499999998</v>
      </c>
      <c r="P1498" s="12">
        <v>5543.870895</v>
      </c>
    </row>
    <row r="1499" spans="1:16" ht="14.5" x14ac:dyDescent="0.25">
      <c r="A1499" s="10">
        <v>45982</v>
      </c>
      <c r="B1499" s="2" t="str">
        <f t="shared" si="46"/>
        <v>Nov-2025</v>
      </c>
      <c r="C1499" s="2" t="str">
        <f t="shared" si="47"/>
        <v>Q3</v>
      </c>
      <c r="D1499" s="2" t="s">
        <v>28</v>
      </c>
      <c r="E1499" s="11" t="s">
        <v>325</v>
      </c>
      <c r="F1499" s="11" t="s">
        <v>151</v>
      </c>
      <c r="G1499" s="11" t="s">
        <v>507</v>
      </c>
      <c r="H1499" s="11" t="s">
        <v>60</v>
      </c>
      <c r="I1499" s="12">
        <v>1</v>
      </c>
      <c r="J1499" s="12">
        <v>60</v>
      </c>
      <c r="K1499" s="12">
        <v>89.82</v>
      </c>
      <c r="L1499" s="12">
        <v>5389.2</v>
      </c>
      <c r="M1499" s="12">
        <v>0</v>
      </c>
      <c r="N1499" s="12">
        <v>0</v>
      </c>
      <c r="O1499" s="12">
        <v>700.59654399999999</v>
      </c>
      <c r="P1499" s="12">
        <v>6089.7965439999998</v>
      </c>
    </row>
    <row r="1500" spans="1:16" ht="14.5" x14ac:dyDescent="0.25">
      <c r="A1500" s="10">
        <v>45982</v>
      </c>
      <c r="B1500" s="2" t="str">
        <f t="shared" si="46"/>
        <v>Nov-2025</v>
      </c>
      <c r="C1500" s="2" t="str">
        <f t="shared" si="47"/>
        <v>Q3</v>
      </c>
      <c r="D1500" s="2" t="s">
        <v>28</v>
      </c>
      <c r="E1500" s="11" t="s">
        <v>326</v>
      </c>
      <c r="F1500" s="11" t="s">
        <v>151</v>
      </c>
      <c r="G1500" s="11" t="s">
        <v>504</v>
      </c>
      <c r="H1500" s="11" t="s">
        <v>61</v>
      </c>
      <c r="I1500" s="12">
        <v>2</v>
      </c>
      <c r="J1500" s="12">
        <v>80</v>
      </c>
      <c r="K1500" s="12">
        <v>308</v>
      </c>
      <c r="L1500" s="12">
        <v>24640</v>
      </c>
      <c r="M1500" s="12" t="s">
        <v>113</v>
      </c>
      <c r="N1500" s="12" t="s">
        <v>113</v>
      </c>
      <c r="O1500" s="12" t="s">
        <v>113</v>
      </c>
      <c r="P1500" s="12">
        <v>24640</v>
      </c>
    </row>
    <row r="1501" spans="1:16" ht="14.5" x14ac:dyDescent="0.25">
      <c r="A1501" s="10">
        <v>45982</v>
      </c>
      <c r="B1501" s="2" t="str">
        <f t="shared" si="46"/>
        <v>Nov-2025</v>
      </c>
      <c r="C1501" s="2" t="str">
        <f t="shared" si="47"/>
        <v>Q3</v>
      </c>
      <c r="D1501" s="2" t="s">
        <v>28</v>
      </c>
      <c r="E1501" s="11" t="s">
        <v>326</v>
      </c>
      <c r="F1501" s="11" t="s">
        <v>151</v>
      </c>
      <c r="G1501" s="11" t="s">
        <v>504</v>
      </c>
      <c r="H1501" s="11" t="s">
        <v>53</v>
      </c>
      <c r="I1501" s="12">
        <v>1</v>
      </c>
      <c r="J1501" s="12">
        <v>100</v>
      </c>
      <c r="K1501" s="12">
        <v>126</v>
      </c>
      <c r="L1501" s="12">
        <v>12600</v>
      </c>
      <c r="M1501" s="12" t="s">
        <v>113</v>
      </c>
      <c r="N1501" s="12" t="s">
        <v>113</v>
      </c>
      <c r="O1501" s="12" t="s">
        <v>113</v>
      </c>
      <c r="P1501" s="12">
        <v>12600</v>
      </c>
    </row>
    <row r="1502" spans="1:16" ht="14.5" x14ac:dyDescent="0.25">
      <c r="A1502" s="10">
        <v>45982</v>
      </c>
      <c r="B1502" s="2" t="str">
        <f t="shared" si="46"/>
        <v>Nov-2025</v>
      </c>
      <c r="C1502" s="2" t="str">
        <f t="shared" si="47"/>
        <v>Q3</v>
      </c>
      <c r="D1502" s="2" t="s">
        <v>28</v>
      </c>
      <c r="E1502" s="11" t="s">
        <v>327</v>
      </c>
      <c r="F1502" s="11" t="s">
        <v>151</v>
      </c>
      <c r="G1502" s="11" t="s">
        <v>504</v>
      </c>
      <c r="H1502" s="11" t="s">
        <v>61</v>
      </c>
      <c r="I1502" s="12">
        <v>1</v>
      </c>
      <c r="J1502" s="12">
        <v>40</v>
      </c>
      <c r="K1502" s="12">
        <v>308</v>
      </c>
      <c r="L1502" s="12">
        <v>12320</v>
      </c>
      <c r="M1502" s="12" t="s">
        <v>113</v>
      </c>
      <c r="N1502" s="12" t="s">
        <v>113</v>
      </c>
      <c r="O1502" s="12" t="s">
        <v>113</v>
      </c>
      <c r="P1502" s="12">
        <v>12320</v>
      </c>
    </row>
    <row r="1503" spans="1:16" ht="14.5" x14ac:dyDescent="0.25">
      <c r="A1503" s="10">
        <v>45982</v>
      </c>
      <c r="B1503" s="2" t="str">
        <f t="shared" si="46"/>
        <v>Nov-2025</v>
      </c>
      <c r="C1503" s="2" t="str">
        <f t="shared" si="47"/>
        <v>Q3</v>
      </c>
      <c r="D1503" s="2" t="s">
        <v>28</v>
      </c>
      <c r="E1503" s="11" t="s">
        <v>328</v>
      </c>
      <c r="F1503" s="11" t="s">
        <v>151</v>
      </c>
      <c r="G1503" s="11" t="s">
        <v>504</v>
      </c>
      <c r="H1503" s="11" t="s">
        <v>53</v>
      </c>
      <c r="I1503" s="12">
        <v>0.5</v>
      </c>
      <c r="J1503" s="12">
        <v>50</v>
      </c>
      <c r="K1503" s="12">
        <v>126</v>
      </c>
      <c r="L1503" s="12">
        <v>6300</v>
      </c>
      <c r="M1503" s="12" t="s">
        <v>113</v>
      </c>
      <c r="N1503" s="12" t="s">
        <v>113</v>
      </c>
      <c r="O1503" s="12" t="s">
        <v>113</v>
      </c>
      <c r="P1503" s="12">
        <v>6300</v>
      </c>
    </row>
    <row r="1504" spans="1:16" ht="14.5" x14ac:dyDescent="0.25">
      <c r="A1504" s="10">
        <v>45982</v>
      </c>
      <c r="B1504" s="2" t="str">
        <f t="shared" si="46"/>
        <v>Nov-2025</v>
      </c>
      <c r="C1504" s="2" t="str">
        <f t="shared" si="47"/>
        <v>Q3</v>
      </c>
      <c r="D1504" s="2" t="s">
        <v>28</v>
      </c>
      <c r="E1504" s="11" t="s">
        <v>328</v>
      </c>
      <c r="F1504" s="11" t="s">
        <v>151</v>
      </c>
      <c r="G1504" s="11" t="s">
        <v>504</v>
      </c>
      <c r="H1504" s="11" t="s">
        <v>61</v>
      </c>
      <c r="I1504" s="12">
        <v>0.5</v>
      </c>
      <c r="J1504" s="12">
        <v>20</v>
      </c>
      <c r="K1504" s="12">
        <v>308</v>
      </c>
      <c r="L1504" s="12">
        <v>6160</v>
      </c>
      <c r="M1504" s="12" t="s">
        <v>113</v>
      </c>
      <c r="N1504" s="12" t="s">
        <v>113</v>
      </c>
      <c r="O1504" s="12" t="s">
        <v>113</v>
      </c>
      <c r="P1504" s="12">
        <v>6160</v>
      </c>
    </row>
    <row r="1505" spans="1:16" ht="14.5" x14ac:dyDescent="0.25">
      <c r="A1505" s="10">
        <v>45982</v>
      </c>
      <c r="B1505" s="2" t="str">
        <f t="shared" si="46"/>
        <v>Nov-2025</v>
      </c>
      <c r="C1505" s="2" t="str">
        <f t="shared" si="47"/>
        <v>Q3</v>
      </c>
      <c r="D1505" s="2" t="s">
        <v>28</v>
      </c>
      <c r="E1505" s="11" t="s">
        <v>329</v>
      </c>
      <c r="F1505" s="11" t="s">
        <v>151</v>
      </c>
      <c r="G1505" s="11" t="s">
        <v>504</v>
      </c>
      <c r="H1505" s="11" t="s">
        <v>61</v>
      </c>
      <c r="I1505" s="12">
        <v>1</v>
      </c>
      <c r="J1505" s="12">
        <v>40</v>
      </c>
      <c r="K1505" s="12">
        <v>308</v>
      </c>
      <c r="L1505" s="12">
        <v>12320</v>
      </c>
      <c r="M1505" s="12" t="s">
        <v>113</v>
      </c>
      <c r="N1505" s="12" t="s">
        <v>113</v>
      </c>
      <c r="O1505" s="12" t="s">
        <v>113</v>
      </c>
      <c r="P1505" s="12">
        <v>12320</v>
      </c>
    </row>
    <row r="1506" spans="1:16" ht="14.5" x14ac:dyDescent="0.25">
      <c r="A1506" s="10">
        <v>45982</v>
      </c>
      <c r="B1506" s="2" t="str">
        <f t="shared" si="46"/>
        <v>Nov-2025</v>
      </c>
      <c r="C1506" s="2" t="str">
        <f t="shared" si="47"/>
        <v>Q3</v>
      </c>
      <c r="D1506" s="2" t="s">
        <v>28</v>
      </c>
      <c r="E1506" s="11" t="s">
        <v>329</v>
      </c>
      <c r="F1506" s="11" t="s">
        <v>151</v>
      </c>
      <c r="G1506" s="11" t="s">
        <v>504</v>
      </c>
      <c r="H1506" s="11" t="s">
        <v>53</v>
      </c>
      <c r="I1506" s="12">
        <v>1</v>
      </c>
      <c r="J1506" s="12">
        <v>100</v>
      </c>
      <c r="K1506" s="12">
        <v>126</v>
      </c>
      <c r="L1506" s="12">
        <v>12600</v>
      </c>
      <c r="M1506" s="12" t="s">
        <v>113</v>
      </c>
      <c r="N1506" s="12" t="s">
        <v>113</v>
      </c>
      <c r="O1506" s="12" t="s">
        <v>113</v>
      </c>
      <c r="P1506" s="12">
        <v>12600</v>
      </c>
    </row>
    <row r="1507" spans="1:16" ht="14.5" x14ac:dyDescent="0.25">
      <c r="A1507" s="10">
        <v>45984</v>
      </c>
      <c r="B1507" s="2" t="str">
        <f t="shared" ref="B1507:B1570" si="48">+TEXT(A1507,"MMM-yyy")</f>
        <v>Nov-2025</v>
      </c>
      <c r="C1507" s="2" t="str">
        <f t="shared" ref="C1507:C1570" si="49">"Q" &amp; CHOOSE(MONTH(A1507),4,4,4,1,1,1,2,2,2,3,3,3)</f>
        <v>Q3</v>
      </c>
      <c r="D1507" s="2" t="s">
        <v>28</v>
      </c>
      <c r="E1507" s="11" t="s">
        <v>330</v>
      </c>
      <c r="F1507" s="11" t="s">
        <v>14</v>
      </c>
      <c r="G1507" s="11" t="s">
        <v>503</v>
      </c>
      <c r="H1507" s="11" t="s">
        <v>89</v>
      </c>
      <c r="I1507" s="12">
        <v>1</v>
      </c>
      <c r="J1507" s="12">
        <v>120</v>
      </c>
      <c r="K1507" s="12">
        <v>114.93</v>
      </c>
      <c r="L1507" s="12">
        <v>13791.6</v>
      </c>
      <c r="M1507" s="12">
        <v>-1253.6600000000001</v>
      </c>
      <c r="N1507" s="12">
        <v>0</v>
      </c>
      <c r="O1507" s="12">
        <v>1629.9324139999999</v>
      </c>
      <c r="P1507" s="12">
        <v>14167.872413999999</v>
      </c>
    </row>
    <row r="1508" spans="1:16" ht="14.5" x14ac:dyDescent="0.25">
      <c r="A1508" s="10">
        <v>45984</v>
      </c>
      <c r="B1508" s="2" t="str">
        <f t="shared" si="48"/>
        <v>Nov-2025</v>
      </c>
      <c r="C1508" s="2" t="str">
        <f t="shared" si="49"/>
        <v>Q3</v>
      </c>
      <c r="D1508" s="2" t="s">
        <v>28</v>
      </c>
      <c r="E1508" s="11" t="s">
        <v>330</v>
      </c>
      <c r="F1508" s="11" t="s">
        <v>14</v>
      </c>
      <c r="G1508" s="11" t="s">
        <v>506</v>
      </c>
      <c r="H1508" s="11" t="s">
        <v>58</v>
      </c>
      <c r="I1508" s="12">
        <v>2</v>
      </c>
      <c r="J1508" s="12">
        <v>144</v>
      </c>
      <c r="K1508" s="12">
        <v>148.72999999999999</v>
      </c>
      <c r="L1508" s="12">
        <v>21417.119999999999</v>
      </c>
      <c r="M1508" s="12">
        <v>-1946.82</v>
      </c>
      <c r="N1508" s="12">
        <v>0</v>
      </c>
      <c r="O1508" s="12">
        <v>2531.1393330000001</v>
      </c>
      <c r="P1508" s="12">
        <v>22001.439332999998</v>
      </c>
    </row>
    <row r="1509" spans="1:16" ht="14.5" x14ac:dyDescent="0.25">
      <c r="A1509" s="10">
        <v>45984</v>
      </c>
      <c r="B1509" s="2" t="str">
        <f t="shared" si="48"/>
        <v>Nov-2025</v>
      </c>
      <c r="C1509" s="2" t="str">
        <f t="shared" si="49"/>
        <v>Q3</v>
      </c>
      <c r="D1509" s="2" t="s">
        <v>28</v>
      </c>
      <c r="E1509" s="11" t="s">
        <v>330</v>
      </c>
      <c r="F1509" s="11" t="s">
        <v>14</v>
      </c>
      <c r="G1509" s="11" t="s">
        <v>503</v>
      </c>
      <c r="H1509" s="11" t="s">
        <v>59</v>
      </c>
      <c r="I1509" s="12">
        <v>1</v>
      </c>
      <c r="J1509" s="12">
        <v>180</v>
      </c>
      <c r="K1509" s="12">
        <v>64.23</v>
      </c>
      <c r="L1509" s="12">
        <v>11561.4</v>
      </c>
      <c r="M1509" s="12">
        <v>-1050.9299999999998</v>
      </c>
      <c r="N1509" s="12">
        <v>0</v>
      </c>
      <c r="O1509" s="12">
        <v>1366.3612800000001</v>
      </c>
      <c r="P1509" s="12">
        <v>11876.83128</v>
      </c>
    </row>
    <row r="1510" spans="1:16" ht="14.5" x14ac:dyDescent="0.25">
      <c r="A1510" s="10">
        <v>45984</v>
      </c>
      <c r="B1510" s="2" t="str">
        <f t="shared" si="48"/>
        <v>Nov-2025</v>
      </c>
      <c r="C1510" s="2" t="str">
        <f t="shared" si="49"/>
        <v>Q3</v>
      </c>
      <c r="D1510" s="2" t="s">
        <v>28</v>
      </c>
      <c r="E1510" s="11" t="s">
        <v>330</v>
      </c>
      <c r="F1510" s="11" t="s">
        <v>14</v>
      </c>
      <c r="G1510" s="11" t="s">
        <v>503</v>
      </c>
      <c r="H1510" s="11" t="s">
        <v>42</v>
      </c>
      <c r="I1510" s="12">
        <v>1</v>
      </c>
      <c r="J1510" s="12">
        <v>120</v>
      </c>
      <c r="K1510" s="12">
        <v>148.72999999999999</v>
      </c>
      <c r="L1510" s="12">
        <v>17847.600000000002</v>
      </c>
      <c r="M1510" s="12">
        <v>-1622.3500000000001</v>
      </c>
      <c r="N1510" s="12">
        <v>0</v>
      </c>
      <c r="O1510" s="12">
        <v>2109.2827769999999</v>
      </c>
      <c r="P1510" s="12">
        <v>18334.532777</v>
      </c>
    </row>
    <row r="1511" spans="1:16" ht="14.5" x14ac:dyDescent="0.25">
      <c r="A1511" s="10">
        <v>45984</v>
      </c>
      <c r="B1511" s="2" t="str">
        <f t="shared" si="48"/>
        <v>Nov-2025</v>
      </c>
      <c r="C1511" s="2" t="str">
        <f t="shared" si="49"/>
        <v>Q3</v>
      </c>
      <c r="D1511" s="2" t="s">
        <v>28</v>
      </c>
      <c r="E1511" s="11" t="s">
        <v>330</v>
      </c>
      <c r="F1511" s="11" t="s">
        <v>14</v>
      </c>
      <c r="G1511" s="11" t="s">
        <v>506</v>
      </c>
      <c r="H1511" s="11" t="s">
        <v>54</v>
      </c>
      <c r="I1511" s="12">
        <v>1</v>
      </c>
      <c r="J1511" s="12">
        <v>48</v>
      </c>
      <c r="K1511" s="12">
        <v>297.45999999999998</v>
      </c>
      <c r="L1511" s="12">
        <v>14278.08</v>
      </c>
      <c r="M1511" s="12">
        <v>-1297.8800000000001</v>
      </c>
      <c r="N1511" s="12">
        <v>0</v>
      </c>
      <c r="O1511" s="12">
        <v>1687.4262220000001</v>
      </c>
      <c r="P1511" s="12">
        <v>14667.626222000001</v>
      </c>
    </row>
    <row r="1512" spans="1:16" ht="14.5" x14ac:dyDescent="0.25">
      <c r="A1512" s="10">
        <v>45984</v>
      </c>
      <c r="B1512" s="2" t="str">
        <f t="shared" si="48"/>
        <v>Nov-2025</v>
      </c>
      <c r="C1512" s="2" t="str">
        <f t="shared" si="49"/>
        <v>Q3</v>
      </c>
      <c r="D1512" s="2" t="s">
        <v>28</v>
      </c>
      <c r="E1512" s="11" t="s">
        <v>330</v>
      </c>
      <c r="F1512" s="11" t="s">
        <v>14</v>
      </c>
      <c r="G1512" s="11" t="s">
        <v>505</v>
      </c>
      <c r="H1512" s="11" t="s">
        <v>56</v>
      </c>
      <c r="I1512" s="12">
        <v>1</v>
      </c>
      <c r="J1512" s="12">
        <v>120</v>
      </c>
      <c r="K1512" s="12">
        <v>50.7</v>
      </c>
      <c r="L1512" s="12">
        <v>6084</v>
      </c>
      <c r="M1512" s="12">
        <v>-553.04</v>
      </c>
      <c r="N1512" s="12">
        <v>0</v>
      </c>
      <c r="O1512" s="12">
        <v>719.0248949999999</v>
      </c>
      <c r="P1512" s="12">
        <v>6249.9848949999996</v>
      </c>
    </row>
    <row r="1513" spans="1:16" ht="14.5" x14ac:dyDescent="0.25">
      <c r="A1513" s="10">
        <v>45984</v>
      </c>
      <c r="B1513" s="2" t="str">
        <f t="shared" si="48"/>
        <v>Nov-2025</v>
      </c>
      <c r="C1513" s="2" t="str">
        <f t="shared" si="49"/>
        <v>Q3</v>
      </c>
      <c r="D1513" s="2" t="s">
        <v>28</v>
      </c>
      <c r="E1513" s="11" t="s">
        <v>330</v>
      </c>
      <c r="F1513" s="11" t="s">
        <v>14</v>
      </c>
      <c r="G1513" s="11" t="s">
        <v>503</v>
      </c>
      <c r="H1513" s="11" t="s">
        <v>45</v>
      </c>
      <c r="I1513" s="12">
        <v>1</v>
      </c>
      <c r="J1513" s="12">
        <v>180</v>
      </c>
      <c r="K1513" s="12">
        <v>64.23</v>
      </c>
      <c r="L1513" s="12">
        <v>11561.4</v>
      </c>
      <c r="M1513" s="12">
        <v>-1050.9299999999998</v>
      </c>
      <c r="N1513" s="12">
        <v>0</v>
      </c>
      <c r="O1513" s="12">
        <v>1366.3612800000001</v>
      </c>
      <c r="P1513" s="12">
        <v>11876.83128</v>
      </c>
    </row>
    <row r="1514" spans="1:16" ht="14.5" x14ac:dyDescent="0.25">
      <c r="A1514" s="10">
        <v>45984</v>
      </c>
      <c r="B1514" s="2" t="str">
        <f t="shared" si="48"/>
        <v>Nov-2025</v>
      </c>
      <c r="C1514" s="2" t="str">
        <f t="shared" si="49"/>
        <v>Q3</v>
      </c>
      <c r="D1514" s="2" t="s">
        <v>28</v>
      </c>
      <c r="E1514" s="11" t="s">
        <v>330</v>
      </c>
      <c r="F1514" s="11" t="s">
        <v>14</v>
      </c>
      <c r="G1514" s="11" t="s">
        <v>509</v>
      </c>
      <c r="H1514" s="11" t="s">
        <v>284</v>
      </c>
      <c r="I1514" s="12">
        <v>1</v>
      </c>
      <c r="J1514" s="12">
        <v>200</v>
      </c>
      <c r="K1514" s="12">
        <v>128.44999999999999</v>
      </c>
      <c r="L1514" s="12">
        <v>25690</v>
      </c>
      <c r="M1514" s="12">
        <v>-2335.2199999999998</v>
      </c>
      <c r="N1514" s="12">
        <v>0</v>
      </c>
      <c r="O1514" s="12">
        <v>3036.121799</v>
      </c>
      <c r="P1514" s="12">
        <v>26390.901798999999</v>
      </c>
    </row>
    <row r="1515" spans="1:16" ht="14.5" x14ac:dyDescent="0.25">
      <c r="A1515" s="10">
        <v>45984</v>
      </c>
      <c r="B1515" s="2" t="str">
        <f t="shared" si="48"/>
        <v>Nov-2025</v>
      </c>
      <c r="C1515" s="2" t="str">
        <f t="shared" si="49"/>
        <v>Q3</v>
      </c>
      <c r="D1515" s="2" t="s">
        <v>28</v>
      </c>
      <c r="E1515" s="11" t="s">
        <v>331</v>
      </c>
      <c r="F1515" s="11" t="s">
        <v>19</v>
      </c>
      <c r="G1515" s="11" t="s">
        <v>506</v>
      </c>
      <c r="H1515" s="11" t="s">
        <v>58</v>
      </c>
      <c r="I1515" s="12">
        <v>1</v>
      </c>
      <c r="J1515" s="12">
        <v>72</v>
      </c>
      <c r="K1515" s="12">
        <v>148.72999999999999</v>
      </c>
      <c r="L1515" s="12">
        <v>10708.56</v>
      </c>
      <c r="M1515" s="12">
        <v>-973.41</v>
      </c>
      <c r="N1515" s="12">
        <v>0</v>
      </c>
      <c r="O1515" s="12">
        <v>1265.5702489999999</v>
      </c>
      <c r="P1515" s="12">
        <v>11000.720249</v>
      </c>
    </row>
    <row r="1516" spans="1:16" ht="14.5" x14ac:dyDescent="0.25">
      <c r="A1516" s="10">
        <v>45984</v>
      </c>
      <c r="B1516" s="2" t="str">
        <f t="shared" si="48"/>
        <v>Nov-2025</v>
      </c>
      <c r="C1516" s="2" t="str">
        <f t="shared" si="49"/>
        <v>Q3</v>
      </c>
      <c r="D1516" s="2" t="s">
        <v>28</v>
      </c>
      <c r="E1516" s="11" t="s">
        <v>331</v>
      </c>
      <c r="F1516" s="11" t="s">
        <v>19</v>
      </c>
      <c r="G1516" s="11" t="s">
        <v>505</v>
      </c>
      <c r="H1516" s="11" t="s">
        <v>55</v>
      </c>
      <c r="I1516" s="12">
        <v>1</v>
      </c>
      <c r="J1516" s="12">
        <v>120</v>
      </c>
      <c r="K1516" s="12">
        <v>152.11000000000001</v>
      </c>
      <c r="L1516" s="12">
        <v>18253.2</v>
      </c>
      <c r="M1516" s="12">
        <v>-1659.2199999999998</v>
      </c>
      <c r="N1516" s="12">
        <v>0</v>
      </c>
      <c r="O1516" s="12">
        <v>2157.2186769999998</v>
      </c>
      <c r="P1516" s="12">
        <v>18751.198677</v>
      </c>
    </row>
    <row r="1517" spans="1:16" ht="14.5" x14ac:dyDescent="0.25">
      <c r="A1517" s="10">
        <v>45984</v>
      </c>
      <c r="B1517" s="2" t="str">
        <f t="shared" si="48"/>
        <v>Nov-2025</v>
      </c>
      <c r="C1517" s="2" t="str">
        <f t="shared" si="49"/>
        <v>Q3</v>
      </c>
      <c r="D1517" s="2" t="s">
        <v>28</v>
      </c>
      <c r="E1517" s="11" t="s">
        <v>331</v>
      </c>
      <c r="F1517" s="11" t="s">
        <v>19</v>
      </c>
      <c r="G1517" s="11" t="s">
        <v>507</v>
      </c>
      <c r="H1517" s="11" t="s">
        <v>60</v>
      </c>
      <c r="I1517" s="12">
        <v>1</v>
      </c>
      <c r="J1517" s="12">
        <v>60</v>
      </c>
      <c r="K1517" s="12">
        <v>98.03</v>
      </c>
      <c r="L1517" s="12">
        <v>5881.8</v>
      </c>
      <c r="M1517" s="12">
        <v>-534.66</v>
      </c>
      <c r="N1517" s="12">
        <v>0</v>
      </c>
      <c r="O1517" s="12">
        <v>695.12861100000009</v>
      </c>
      <c r="P1517" s="12">
        <v>6042.2686110000004</v>
      </c>
    </row>
    <row r="1518" spans="1:16" ht="14.5" x14ac:dyDescent="0.25">
      <c r="A1518" s="10">
        <v>45984</v>
      </c>
      <c r="B1518" s="2" t="str">
        <f t="shared" si="48"/>
        <v>Nov-2025</v>
      </c>
      <c r="C1518" s="2" t="str">
        <f t="shared" si="49"/>
        <v>Q3</v>
      </c>
      <c r="D1518" s="2" t="s">
        <v>28</v>
      </c>
      <c r="E1518" s="11" t="s">
        <v>331</v>
      </c>
      <c r="F1518" s="11" t="s">
        <v>19</v>
      </c>
      <c r="G1518" s="11" t="s">
        <v>506</v>
      </c>
      <c r="H1518" s="11" t="s">
        <v>39</v>
      </c>
      <c r="I1518" s="12">
        <v>1</v>
      </c>
      <c r="J1518" s="12">
        <v>72</v>
      </c>
      <c r="K1518" s="12">
        <v>131.83000000000001</v>
      </c>
      <c r="L1518" s="12">
        <v>9491.76</v>
      </c>
      <c r="M1518" s="12">
        <v>-862.8</v>
      </c>
      <c r="N1518" s="12">
        <v>0</v>
      </c>
      <c r="O1518" s="12">
        <v>1121.7654640000001</v>
      </c>
      <c r="P1518" s="12">
        <v>9750.7254639999992</v>
      </c>
    </row>
    <row r="1519" spans="1:16" ht="14.5" x14ac:dyDescent="0.25">
      <c r="A1519" s="10">
        <v>45984</v>
      </c>
      <c r="B1519" s="2" t="str">
        <f t="shared" si="48"/>
        <v>Nov-2025</v>
      </c>
      <c r="C1519" s="2" t="str">
        <f t="shared" si="49"/>
        <v>Q3</v>
      </c>
      <c r="D1519" s="2" t="s">
        <v>28</v>
      </c>
      <c r="E1519" s="11" t="s">
        <v>331</v>
      </c>
      <c r="F1519" s="11" t="s">
        <v>19</v>
      </c>
      <c r="G1519" s="11" t="s">
        <v>506</v>
      </c>
      <c r="H1519" s="11" t="s">
        <v>54</v>
      </c>
      <c r="I1519" s="12">
        <v>1</v>
      </c>
      <c r="J1519" s="12">
        <v>48</v>
      </c>
      <c r="K1519" s="12">
        <v>297.45999999999998</v>
      </c>
      <c r="L1519" s="12">
        <v>14278.08</v>
      </c>
      <c r="M1519" s="12">
        <v>-1297.8800000000001</v>
      </c>
      <c r="N1519" s="12">
        <v>0</v>
      </c>
      <c r="O1519" s="12">
        <v>1687.426999</v>
      </c>
      <c r="P1519" s="12">
        <v>14667.626999</v>
      </c>
    </row>
    <row r="1520" spans="1:16" ht="14.5" x14ac:dyDescent="0.25">
      <c r="A1520" s="10">
        <v>45984</v>
      </c>
      <c r="B1520" s="2" t="str">
        <f t="shared" si="48"/>
        <v>Nov-2025</v>
      </c>
      <c r="C1520" s="2" t="str">
        <f t="shared" si="49"/>
        <v>Q3</v>
      </c>
      <c r="D1520" s="2" t="s">
        <v>28</v>
      </c>
      <c r="E1520" s="11" t="s">
        <v>332</v>
      </c>
      <c r="F1520" s="11" t="s">
        <v>22</v>
      </c>
      <c r="G1520" s="11" t="s">
        <v>504</v>
      </c>
      <c r="H1520" s="11" t="s">
        <v>53</v>
      </c>
      <c r="I1520" s="12">
        <v>0.5</v>
      </c>
      <c r="J1520" s="12">
        <v>50</v>
      </c>
      <c r="K1520" s="12">
        <v>138.46</v>
      </c>
      <c r="L1520" s="12">
        <v>6923</v>
      </c>
      <c r="M1520" s="12" t="s">
        <v>113</v>
      </c>
      <c r="N1520" s="12" t="s">
        <v>113</v>
      </c>
      <c r="O1520" s="12" t="s">
        <v>113</v>
      </c>
      <c r="P1520" s="12">
        <v>6923</v>
      </c>
    </row>
    <row r="1521" spans="1:16" ht="14.5" x14ac:dyDescent="0.25">
      <c r="A1521" s="10">
        <v>45984</v>
      </c>
      <c r="B1521" s="2" t="str">
        <f t="shared" si="48"/>
        <v>Nov-2025</v>
      </c>
      <c r="C1521" s="2" t="str">
        <f t="shared" si="49"/>
        <v>Q3</v>
      </c>
      <c r="D1521" s="2" t="s">
        <v>28</v>
      </c>
      <c r="E1521" s="11" t="s">
        <v>332</v>
      </c>
      <c r="F1521" s="11" t="s">
        <v>22</v>
      </c>
      <c r="G1521" s="11" t="s">
        <v>504</v>
      </c>
      <c r="H1521" s="11" t="s">
        <v>61</v>
      </c>
      <c r="I1521" s="12">
        <v>1</v>
      </c>
      <c r="J1521" s="12">
        <v>40</v>
      </c>
      <c r="K1521" s="12">
        <v>338.46</v>
      </c>
      <c r="L1521" s="12">
        <v>13538.400000000001</v>
      </c>
      <c r="M1521" s="12" t="s">
        <v>113</v>
      </c>
      <c r="N1521" s="12" t="s">
        <v>113</v>
      </c>
      <c r="O1521" s="12" t="s">
        <v>113</v>
      </c>
      <c r="P1521" s="12">
        <v>13538.4</v>
      </c>
    </row>
    <row r="1522" spans="1:16" ht="14.5" x14ac:dyDescent="0.25">
      <c r="A1522" s="10">
        <v>45984</v>
      </c>
      <c r="B1522" s="2" t="str">
        <f t="shared" si="48"/>
        <v>Nov-2025</v>
      </c>
      <c r="C1522" s="2" t="str">
        <f t="shared" si="49"/>
        <v>Q3</v>
      </c>
      <c r="D1522" s="2" t="s">
        <v>28</v>
      </c>
      <c r="E1522" s="11" t="s">
        <v>333</v>
      </c>
      <c r="F1522" s="11" t="s">
        <v>12</v>
      </c>
      <c r="G1522" s="11" t="s">
        <v>506</v>
      </c>
      <c r="H1522" s="11" t="s">
        <v>58</v>
      </c>
      <c r="I1522" s="12">
        <v>1</v>
      </c>
      <c r="J1522" s="12">
        <v>72</v>
      </c>
      <c r="K1522" s="12">
        <v>148.72999999999999</v>
      </c>
      <c r="L1522" s="12">
        <v>10708.56</v>
      </c>
      <c r="M1522" s="12">
        <v>-973.41</v>
      </c>
      <c r="N1522" s="12">
        <v>0</v>
      </c>
      <c r="O1522" s="12">
        <v>1265.57</v>
      </c>
      <c r="P1522" s="12">
        <v>11000.72</v>
      </c>
    </row>
    <row r="1523" spans="1:16" ht="14.5" x14ac:dyDescent="0.25">
      <c r="A1523" s="10">
        <v>45984</v>
      </c>
      <c r="B1523" s="2" t="str">
        <f t="shared" si="48"/>
        <v>Nov-2025</v>
      </c>
      <c r="C1523" s="2" t="str">
        <f t="shared" si="49"/>
        <v>Q3</v>
      </c>
      <c r="D1523" s="2" t="s">
        <v>28</v>
      </c>
      <c r="E1523" s="11" t="s">
        <v>334</v>
      </c>
      <c r="F1523" s="11" t="s">
        <v>21</v>
      </c>
      <c r="G1523" s="11" t="s">
        <v>506</v>
      </c>
      <c r="H1523" s="11" t="s">
        <v>58</v>
      </c>
      <c r="I1523" s="12">
        <v>7</v>
      </c>
      <c r="J1523" s="12">
        <v>504</v>
      </c>
      <c r="K1523" s="12">
        <v>140.18</v>
      </c>
      <c r="L1523" s="12">
        <v>70650.720000000001</v>
      </c>
      <c r="M1523" s="12">
        <v>0</v>
      </c>
      <c r="N1523" s="12">
        <v>0</v>
      </c>
      <c r="O1523" s="12">
        <v>9184.5918679999995</v>
      </c>
      <c r="P1523" s="12">
        <v>79835.311868000004</v>
      </c>
    </row>
    <row r="1524" spans="1:16" ht="14.5" x14ac:dyDescent="0.25">
      <c r="A1524" s="10">
        <v>45984</v>
      </c>
      <c r="B1524" s="2" t="str">
        <f t="shared" si="48"/>
        <v>Nov-2025</v>
      </c>
      <c r="C1524" s="2" t="str">
        <f t="shared" si="49"/>
        <v>Q3</v>
      </c>
      <c r="D1524" s="2" t="s">
        <v>28</v>
      </c>
      <c r="E1524" s="11" t="s">
        <v>334</v>
      </c>
      <c r="F1524" s="11" t="s">
        <v>21</v>
      </c>
      <c r="G1524" s="11" t="s">
        <v>506</v>
      </c>
      <c r="H1524" s="11" t="s">
        <v>39</v>
      </c>
      <c r="I1524" s="12">
        <v>1</v>
      </c>
      <c r="J1524" s="12">
        <v>72</v>
      </c>
      <c r="K1524" s="12">
        <v>124.25</v>
      </c>
      <c r="L1524" s="12">
        <v>8946</v>
      </c>
      <c r="M1524" s="12">
        <v>0</v>
      </c>
      <c r="N1524" s="12">
        <v>0</v>
      </c>
      <c r="O1524" s="12">
        <v>1162.979781</v>
      </c>
      <c r="P1524" s="12">
        <v>10108.979781</v>
      </c>
    </row>
    <row r="1525" spans="1:16" ht="14.5" x14ac:dyDescent="0.25">
      <c r="A1525" s="10">
        <v>45984</v>
      </c>
      <c r="B1525" s="2" t="str">
        <f t="shared" si="48"/>
        <v>Nov-2025</v>
      </c>
      <c r="C1525" s="2" t="str">
        <f t="shared" si="49"/>
        <v>Q3</v>
      </c>
      <c r="D1525" s="2" t="s">
        <v>28</v>
      </c>
      <c r="E1525" s="11" t="s">
        <v>334</v>
      </c>
      <c r="F1525" s="11" t="s">
        <v>21</v>
      </c>
      <c r="G1525" s="11" t="s">
        <v>506</v>
      </c>
      <c r="H1525" s="11" t="s">
        <v>54</v>
      </c>
      <c r="I1525" s="12">
        <v>5</v>
      </c>
      <c r="J1525" s="12">
        <v>240</v>
      </c>
      <c r="K1525" s="12">
        <v>280.35000000000002</v>
      </c>
      <c r="L1525" s="12">
        <v>67284</v>
      </c>
      <c r="M1525" s="12">
        <v>0</v>
      </c>
      <c r="N1525" s="12">
        <v>0</v>
      </c>
      <c r="O1525" s="12">
        <v>8746.9183510000003</v>
      </c>
      <c r="P1525" s="12">
        <v>76030.918351</v>
      </c>
    </row>
    <row r="1526" spans="1:16" ht="14.5" x14ac:dyDescent="0.25">
      <c r="A1526" s="10">
        <v>45988</v>
      </c>
      <c r="B1526" s="2" t="str">
        <f t="shared" si="48"/>
        <v>Nov-2025</v>
      </c>
      <c r="C1526" s="2" t="str">
        <f t="shared" si="49"/>
        <v>Q3</v>
      </c>
      <c r="D1526" s="2" t="s">
        <v>28</v>
      </c>
      <c r="E1526" s="11" t="s">
        <v>335</v>
      </c>
      <c r="F1526" s="11" t="s">
        <v>38</v>
      </c>
      <c r="G1526" s="11" t="s">
        <v>504</v>
      </c>
      <c r="H1526" s="11" t="s">
        <v>61</v>
      </c>
      <c r="I1526" s="12">
        <v>0.05</v>
      </c>
      <c r="J1526" s="12">
        <v>2</v>
      </c>
      <c r="K1526" s="12">
        <v>297.45999999999998</v>
      </c>
      <c r="L1526" s="12">
        <v>594.91999999999996</v>
      </c>
      <c r="M1526" s="12">
        <v>-54.08</v>
      </c>
      <c r="N1526" s="12">
        <v>0</v>
      </c>
      <c r="O1526" s="12">
        <v>0</v>
      </c>
      <c r="P1526" s="12">
        <v>540.84</v>
      </c>
    </row>
    <row r="1527" spans="1:16" ht="14.5" x14ac:dyDescent="0.25">
      <c r="A1527" s="10">
        <v>45988</v>
      </c>
      <c r="B1527" s="2" t="str">
        <f t="shared" si="48"/>
        <v>Nov-2025</v>
      </c>
      <c r="C1527" s="2" t="str">
        <f t="shared" si="49"/>
        <v>Q3</v>
      </c>
      <c r="D1527" s="2" t="s">
        <v>28</v>
      </c>
      <c r="E1527" s="11" t="s">
        <v>336</v>
      </c>
      <c r="F1527" s="11" t="s">
        <v>337</v>
      </c>
      <c r="G1527" s="11" t="s">
        <v>504</v>
      </c>
      <c r="H1527" s="11" t="s">
        <v>53</v>
      </c>
      <c r="I1527" s="12">
        <v>1</v>
      </c>
      <c r="J1527" s="12">
        <v>100</v>
      </c>
      <c r="K1527" s="12">
        <v>121.69</v>
      </c>
      <c r="L1527" s="12">
        <v>12169</v>
      </c>
      <c r="M1527" s="12">
        <v>-1106.1600000000001</v>
      </c>
      <c r="N1527" s="12">
        <v>0</v>
      </c>
      <c r="O1527" s="12">
        <v>0</v>
      </c>
      <c r="P1527" s="12">
        <v>11062.84</v>
      </c>
    </row>
    <row r="1528" spans="1:16" ht="14.5" x14ac:dyDescent="0.25">
      <c r="A1528" s="10">
        <v>45988</v>
      </c>
      <c r="B1528" s="2" t="str">
        <f t="shared" si="48"/>
        <v>Nov-2025</v>
      </c>
      <c r="C1528" s="2" t="str">
        <f t="shared" si="49"/>
        <v>Q3</v>
      </c>
      <c r="D1528" s="2" t="s">
        <v>28</v>
      </c>
      <c r="E1528" s="11" t="s">
        <v>336</v>
      </c>
      <c r="F1528" s="11" t="s">
        <v>337</v>
      </c>
      <c r="G1528" s="11" t="s">
        <v>504</v>
      </c>
      <c r="H1528" s="11" t="s">
        <v>61</v>
      </c>
      <c r="I1528" s="12">
        <v>1</v>
      </c>
      <c r="J1528" s="12">
        <v>40</v>
      </c>
      <c r="K1528" s="12">
        <v>297.45999999999998</v>
      </c>
      <c r="L1528" s="12">
        <v>11898.4</v>
      </c>
      <c r="M1528" s="12">
        <v>-1081.56</v>
      </c>
      <c r="N1528" s="12">
        <v>0</v>
      </c>
      <c r="O1528" s="12">
        <v>0</v>
      </c>
      <c r="P1528" s="12">
        <v>10816.84</v>
      </c>
    </row>
    <row r="1529" spans="1:16" ht="14.5" x14ac:dyDescent="0.25">
      <c r="A1529" s="10">
        <v>45988</v>
      </c>
      <c r="B1529" s="2" t="str">
        <f t="shared" si="48"/>
        <v>Nov-2025</v>
      </c>
      <c r="C1529" s="2" t="str">
        <f t="shared" si="49"/>
        <v>Q3</v>
      </c>
      <c r="D1529" s="2" t="s">
        <v>28</v>
      </c>
      <c r="E1529" s="11" t="s">
        <v>338</v>
      </c>
      <c r="F1529" s="11" t="s">
        <v>337</v>
      </c>
      <c r="G1529" s="11" t="s">
        <v>506</v>
      </c>
      <c r="H1529" s="11" t="s">
        <v>54</v>
      </c>
      <c r="I1529" s="12">
        <v>1</v>
      </c>
      <c r="J1529" s="12">
        <v>48</v>
      </c>
      <c r="K1529" s="12">
        <v>297.45999999999998</v>
      </c>
      <c r="L1529" s="12">
        <v>14278.08</v>
      </c>
      <c r="M1529" s="12">
        <v>-1297.8800000000001</v>
      </c>
      <c r="N1529" s="12">
        <v>0</v>
      </c>
      <c r="O1529" s="12">
        <v>1687.4264029999999</v>
      </c>
      <c r="P1529" s="12">
        <v>14667.626403</v>
      </c>
    </row>
    <row r="1530" spans="1:16" ht="14.5" x14ac:dyDescent="0.25">
      <c r="A1530" s="10">
        <v>45988</v>
      </c>
      <c r="B1530" s="2" t="str">
        <f t="shared" si="48"/>
        <v>Nov-2025</v>
      </c>
      <c r="C1530" s="2" t="str">
        <f t="shared" si="49"/>
        <v>Q3</v>
      </c>
      <c r="D1530" s="2" t="s">
        <v>28</v>
      </c>
      <c r="E1530" s="11" t="s">
        <v>338</v>
      </c>
      <c r="F1530" s="11" t="s">
        <v>337</v>
      </c>
      <c r="G1530" s="11" t="s">
        <v>504</v>
      </c>
      <c r="H1530" s="11" t="s">
        <v>67</v>
      </c>
      <c r="I1530" s="12">
        <v>1</v>
      </c>
      <c r="J1530" s="12">
        <v>40</v>
      </c>
      <c r="K1530" s="12">
        <v>393.46</v>
      </c>
      <c r="L1530" s="12">
        <v>15738.4</v>
      </c>
      <c r="M1530" s="12">
        <v>-1430.6200000000001</v>
      </c>
      <c r="N1530" s="12">
        <v>0</v>
      </c>
      <c r="O1530" s="12">
        <v>1860.0118439999999</v>
      </c>
      <c r="P1530" s="12">
        <v>16167.791843999999</v>
      </c>
    </row>
    <row r="1531" spans="1:16" ht="14.5" x14ac:dyDescent="0.25">
      <c r="A1531" s="10">
        <v>45988</v>
      </c>
      <c r="B1531" s="2" t="str">
        <f t="shared" si="48"/>
        <v>Nov-2025</v>
      </c>
      <c r="C1531" s="2" t="str">
        <f t="shared" si="49"/>
        <v>Q3</v>
      </c>
      <c r="D1531" s="2" t="s">
        <v>28</v>
      </c>
      <c r="E1531" s="11" t="s">
        <v>338</v>
      </c>
      <c r="F1531" s="11" t="s">
        <v>337</v>
      </c>
      <c r="G1531" s="11" t="s">
        <v>505</v>
      </c>
      <c r="H1531" s="11" t="s">
        <v>49</v>
      </c>
      <c r="I1531" s="12">
        <v>2</v>
      </c>
      <c r="J1531" s="12">
        <v>360</v>
      </c>
      <c r="K1531" s="12">
        <v>182.53</v>
      </c>
      <c r="L1531" s="12">
        <v>65710.8</v>
      </c>
      <c r="M1531" s="12">
        <v>-5973.11</v>
      </c>
      <c r="N1531" s="12">
        <v>0</v>
      </c>
      <c r="O1531" s="12">
        <v>7765.901554</v>
      </c>
      <c r="P1531" s="12">
        <v>67503.591553999999</v>
      </c>
    </row>
    <row r="1532" spans="1:16" ht="14.5" x14ac:dyDescent="0.25">
      <c r="A1532" s="10">
        <v>45988</v>
      </c>
      <c r="B1532" s="2" t="str">
        <f t="shared" si="48"/>
        <v>Nov-2025</v>
      </c>
      <c r="C1532" s="2" t="str">
        <f t="shared" si="49"/>
        <v>Q3</v>
      </c>
      <c r="D1532" s="2" t="s">
        <v>28</v>
      </c>
      <c r="E1532" s="11" t="s">
        <v>338</v>
      </c>
      <c r="F1532" s="11" t="s">
        <v>337</v>
      </c>
      <c r="G1532" s="11" t="s">
        <v>505</v>
      </c>
      <c r="H1532" s="11" t="s">
        <v>56</v>
      </c>
      <c r="I1532" s="12">
        <v>1</v>
      </c>
      <c r="J1532" s="12">
        <v>120</v>
      </c>
      <c r="K1532" s="12">
        <v>50.7</v>
      </c>
      <c r="L1532" s="12">
        <v>6084</v>
      </c>
      <c r="M1532" s="12">
        <v>-553.04</v>
      </c>
      <c r="N1532" s="12">
        <v>0</v>
      </c>
      <c r="O1532" s="12">
        <v>719.02497199999993</v>
      </c>
      <c r="P1532" s="12">
        <v>6249.9849720000002</v>
      </c>
    </row>
    <row r="1533" spans="1:16" ht="14.5" x14ac:dyDescent="0.25">
      <c r="A1533" s="10">
        <v>45988</v>
      </c>
      <c r="B1533" s="2" t="str">
        <f t="shared" si="48"/>
        <v>Nov-2025</v>
      </c>
      <c r="C1533" s="2" t="str">
        <f t="shared" si="49"/>
        <v>Q3</v>
      </c>
      <c r="D1533" s="2" t="s">
        <v>28</v>
      </c>
      <c r="E1533" s="11" t="s">
        <v>338</v>
      </c>
      <c r="F1533" s="11" t="s">
        <v>337</v>
      </c>
      <c r="G1533" s="11" t="s">
        <v>506</v>
      </c>
      <c r="H1533" s="11" t="s">
        <v>58</v>
      </c>
      <c r="I1533" s="12">
        <v>1</v>
      </c>
      <c r="J1533" s="12">
        <v>72</v>
      </c>
      <c r="K1533" s="12">
        <v>148.72999999999999</v>
      </c>
      <c r="L1533" s="12">
        <v>10708.56</v>
      </c>
      <c r="M1533" s="12">
        <v>-973.41</v>
      </c>
      <c r="N1533" s="12">
        <v>0</v>
      </c>
      <c r="O1533" s="12">
        <v>1265.569802</v>
      </c>
      <c r="P1533" s="12">
        <v>11000.719802</v>
      </c>
    </row>
    <row r="1534" spans="1:16" ht="14.5" x14ac:dyDescent="0.25">
      <c r="A1534" s="10">
        <v>45988</v>
      </c>
      <c r="B1534" s="2" t="str">
        <f t="shared" si="48"/>
        <v>Nov-2025</v>
      </c>
      <c r="C1534" s="2" t="str">
        <f t="shared" si="49"/>
        <v>Q3</v>
      </c>
      <c r="D1534" s="2" t="s">
        <v>28</v>
      </c>
      <c r="E1534" s="11" t="s">
        <v>338</v>
      </c>
      <c r="F1534" s="11" t="s">
        <v>337</v>
      </c>
      <c r="G1534" s="11" t="s">
        <v>504</v>
      </c>
      <c r="H1534" s="11" t="s">
        <v>69</v>
      </c>
      <c r="I1534" s="12">
        <v>1</v>
      </c>
      <c r="J1534" s="12">
        <v>100</v>
      </c>
      <c r="K1534" s="12">
        <v>162.26</v>
      </c>
      <c r="L1534" s="12">
        <v>16226</v>
      </c>
      <c r="M1534" s="12">
        <v>-1474.94</v>
      </c>
      <c r="N1534" s="12">
        <v>0</v>
      </c>
      <c r="O1534" s="12">
        <v>1917.638258</v>
      </c>
      <c r="P1534" s="12">
        <v>16668.698258</v>
      </c>
    </row>
    <row r="1535" spans="1:16" ht="14.5" x14ac:dyDescent="0.25">
      <c r="A1535" s="10">
        <v>45988</v>
      </c>
      <c r="B1535" s="2" t="str">
        <f t="shared" si="48"/>
        <v>Nov-2025</v>
      </c>
      <c r="C1535" s="2" t="str">
        <f t="shared" si="49"/>
        <v>Q3</v>
      </c>
      <c r="D1535" s="2" t="s">
        <v>28</v>
      </c>
      <c r="E1535" s="11" t="s">
        <v>338</v>
      </c>
      <c r="F1535" s="11" t="s">
        <v>337</v>
      </c>
      <c r="G1535" s="11" t="s">
        <v>506</v>
      </c>
      <c r="H1535" s="11" t="s">
        <v>39</v>
      </c>
      <c r="I1535" s="12">
        <v>1</v>
      </c>
      <c r="J1535" s="12">
        <v>72</v>
      </c>
      <c r="K1535" s="12">
        <v>131.83000000000001</v>
      </c>
      <c r="L1535" s="12">
        <v>9491.76</v>
      </c>
      <c r="M1535" s="12">
        <v>-862.8</v>
      </c>
      <c r="N1535" s="12">
        <v>0</v>
      </c>
      <c r="O1535" s="12">
        <v>1121.7650679999999</v>
      </c>
      <c r="P1535" s="12">
        <v>9750.7250679999997</v>
      </c>
    </row>
    <row r="1536" spans="1:16" ht="14.5" x14ac:dyDescent="0.25">
      <c r="A1536" s="10">
        <v>45988</v>
      </c>
      <c r="B1536" s="2" t="str">
        <f t="shared" si="48"/>
        <v>Nov-2025</v>
      </c>
      <c r="C1536" s="2" t="str">
        <f t="shared" si="49"/>
        <v>Q3</v>
      </c>
      <c r="D1536" s="2" t="s">
        <v>28</v>
      </c>
      <c r="E1536" s="11" t="s">
        <v>338</v>
      </c>
      <c r="F1536" s="11" t="s">
        <v>337</v>
      </c>
      <c r="G1536" s="11" t="s">
        <v>504</v>
      </c>
      <c r="H1536" s="11" t="s">
        <v>66</v>
      </c>
      <c r="I1536" s="12">
        <v>1</v>
      </c>
      <c r="J1536" s="12">
        <v>100</v>
      </c>
      <c r="K1536" s="12">
        <v>108.17</v>
      </c>
      <c r="L1536" s="12">
        <v>10817</v>
      </c>
      <c r="M1536" s="12">
        <v>-983.2700000000001</v>
      </c>
      <c r="N1536" s="12">
        <v>0</v>
      </c>
      <c r="O1536" s="12">
        <v>1278.385205</v>
      </c>
      <c r="P1536" s="12">
        <v>11112.115205</v>
      </c>
    </row>
    <row r="1537" spans="1:16" ht="14.5" x14ac:dyDescent="0.25">
      <c r="A1537" s="10">
        <v>45988</v>
      </c>
      <c r="B1537" s="2" t="str">
        <f t="shared" si="48"/>
        <v>Nov-2025</v>
      </c>
      <c r="C1537" s="2" t="str">
        <f t="shared" si="49"/>
        <v>Q3</v>
      </c>
      <c r="D1537" s="2" t="s">
        <v>28</v>
      </c>
      <c r="E1537" s="11" t="s">
        <v>338</v>
      </c>
      <c r="F1537" s="11" t="s">
        <v>337</v>
      </c>
      <c r="G1537" s="11" t="s">
        <v>504</v>
      </c>
      <c r="H1537" s="11" t="s">
        <v>68</v>
      </c>
      <c r="I1537" s="12">
        <v>1</v>
      </c>
      <c r="J1537" s="12">
        <v>40</v>
      </c>
      <c r="K1537" s="12">
        <v>260.27999999999997</v>
      </c>
      <c r="L1537" s="12">
        <v>10411.200000000001</v>
      </c>
      <c r="M1537" s="12">
        <v>-946.38</v>
      </c>
      <c r="N1537" s="12">
        <v>0</v>
      </c>
      <c r="O1537" s="12">
        <v>1230.4268940000002</v>
      </c>
      <c r="P1537" s="12">
        <v>10695.246894</v>
      </c>
    </row>
    <row r="1538" spans="1:16" ht="14.5" x14ac:dyDescent="0.25">
      <c r="A1538" s="10">
        <v>45989</v>
      </c>
      <c r="B1538" s="2" t="str">
        <f t="shared" si="48"/>
        <v>Nov-2025</v>
      </c>
      <c r="C1538" s="2" t="str">
        <f t="shared" si="49"/>
        <v>Q3</v>
      </c>
      <c r="D1538" s="2" t="s">
        <v>28</v>
      </c>
      <c r="E1538" s="11" t="s">
        <v>339</v>
      </c>
      <c r="F1538" s="11" t="s">
        <v>14</v>
      </c>
      <c r="G1538" s="11" t="s">
        <v>503</v>
      </c>
      <c r="H1538" s="11" t="s">
        <v>57</v>
      </c>
      <c r="I1538" s="12">
        <v>1</v>
      </c>
      <c r="J1538" s="12">
        <v>180</v>
      </c>
      <c r="K1538" s="12">
        <v>118.3</v>
      </c>
      <c r="L1538" s="12">
        <v>21294</v>
      </c>
      <c r="M1538" s="12">
        <v>-1935.62</v>
      </c>
      <c r="N1538" s="12">
        <v>0</v>
      </c>
      <c r="O1538" s="12">
        <v>2516.589273</v>
      </c>
      <c r="P1538" s="12">
        <v>21874.969272999999</v>
      </c>
    </row>
    <row r="1539" spans="1:16" ht="14.5" x14ac:dyDescent="0.25">
      <c r="A1539" s="10">
        <v>45989</v>
      </c>
      <c r="B1539" s="2" t="str">
        <f t="shared" si="48"/>
        <v>Nov-2025</v>
      </c>
      <c r="C1539" s="2" t="str">
        <f t="shared" si="49"/>
        <v>Q3</v>
      </c>
      <c r="D1539" s="2" t="s">
        <v>28</v>
      </c>
      <c r="E1539" s="11" t="s">
        <v>339</v>
      </c>
      <c r="F1539" s="11" t="s">
        <v>14</v>
      </c>
      <c r="G1539" s="11" t="s">
        <v>504</v>
      </c>
      <c r="H1539" s="11" t="s">
        <v>67</v>
      </c>
      <c r="I1539" s="12">
        <v>1</v>
      </c>
      <c r="J1539" s="12">
        <v>40</v>
      </c>
      <c r="K1539" s="12">
        <v>393.46</v>
      </c>
      <c r="L1539" s="12">
        <v>15738.4</v>
      </c>
      <c r="M1539" s="12">
        <v>-1430.6200000000001</v>
      </c>
      <c r="N1539" s="12">
        <v>0</v>
      </c>
      <c r="O1539" s="12">
        <v>1860.0113059999999</v>
      </c>
      <c r="P1539" s="12">
        <v>16167.791305999999</v>
      </c>
    </row>
    <row r="1540" spans="1:16" ht="14.5" x14ac:dyDescent="0.25">
      <c r="A1540" s="10">
        <v>45989</v>
      </c>
      <c r="B1540" s="2" t="str">
        <f t="shared" si="48"/>
        <v>Nov-2025</v>
      </c>
      <c r="C1540" s="2" t="str">
        <f t="shared" si="49"/>
        <v>Q3</v>
      </c>
      <c r="D1540" s="2" t="s">
        <v>28</v>
      </c>
      <c r="E1540" s="11" t="s">
        <v>339</v>
      </c>
      <c r="F1540" s="11" t="s">
        <v>14</v>
      </c>
      <c r="G1540" s="11" t="s">
        <v>505</v>
      </c>
      <c r="H1540" s="11" t="s">
        <v>43</v>
      </c>
      <c r="I1540" s="12">
        <v>1</v>
      </c>
      <c r="J1540" s="12">
        <v>40</v>
      </c>
      <c r="K1540" s="12">
        <v>283.94</v>
      </c>
      <c r="L1540" s="12">
        <v>11357.599999999999</v>
      </c>
      <c r="M1540" s="12">
        <v>-1032.4099999999999</v>
      </c>
      <c r="N1540" s="12">
        <v>0</v>
      </c>
      <c r="O1540" s="12">
        <v>1342.2746319999999</v>
      </c>
      <c r="P1540" s="12">
        <v>11667.464631999999</v>
      </c>
    </row>
    <row r="1541" spans="1:16" ht="14.5" x14ac:dyDescent="0.25">
      <c r="A1541" s="10">
        <v>45989</v>
      </c>
      <c r="B1541" s="2" t="str">
        <f t="shared" si="48"/>
        <v>Nov-2025</v>
      </c>
      <c r="C1541" s="2" t="str">
        <f t="shared" si="49"/>
        <v>Q3</v>
      </c>
      <c r="D1541" s="2" t="s">
        <v>28</v>
      </c>
      <c r="E1541" s="11" t="s">
        <v>339</v>
      </c>
      <c r="F1541" s="11" t="s">
        <v>14</v>
      </c>
      <c r="G1541" s="11" t="s">
        <v>505</v>
      </c>
      <c r="H1541" s="11" t="s">
        <v>62</v>
      </c>
      <c r="I1541" s="12">
        <v>1</v>
      </c>
      <c r="J1541" s="12">
        <v>40</v>
      </c>
      <c r="K1541" s="12">
        <v>439.44</v>
      </c>
      <c r="L1541" s="12">
        <v>17577.599999999999</v>
      </c>
      <c r="M1541" s="12">
        <v>-1597.8</v>
      </c>
      <c r="N1541" s="12">
        <v>0</v>
      </c>
      <c r="O1541" s="12">
        <v>2077.3738950000002</v>
      </c>
      <c r="P1541" s="12">
        <v>18057.173895</v>
      </c>
    </row>
    <row r="1542" spans="1:16" ht="14.5" x14ac:dyDescent="0.25">
      <c r="A1542" s="10">
        <v>45989</v>
      </c>
      <c r="B1542" s="2" t="str">
        <f t="shared" si="48"/>
        <v>Nov-2025</v>
      </c>
      <c r="C1542" s="2" t="str">
        <f t="shared" si="49"/>
        <v>Q3</v>
      </c>
      <c r="D1542" s="2" t="s">
        <v>28</v>
      </c>
      <c r="E1542" s="11" t="s">
        <v>339</v>
      </c>
      <c r="F1542" s="11" t="s">
        <v>14</v>
      </c>
      <c r="G1542" s="11" t="s">
        <v>504</v>
      </c>
      <c r="H1542" s="11" t="s">
        <v>69</v>
      </c>
      <c r="I1542" s="12">
        <v>1</v>
      </c>
      <c r="J1542" s="12">
        <v>100</v>
      </c>
      <c r="K1542" s="12">
        <v>162.26</v>
      </c>
      <c r="L1542" s="12">
        <v>16226</v>
      </c>
      <c r="M1542" s="12">
        <v>-1474.94</v>
      </c>
      <c r="N1542" s="12">
        <v>0</v>
      </c>
      <c r="O1542" s="12">
        <v>1917.6377030000001</v>
      </c>
      <c r="P1542" s="12">
        <v>16668.697703000002</v>
      </c>
    </row>
    <row r="1543" spans="1:16" ht="14.5" x14ac:dyDescent="0.25">
      <c r="A1543" s="10">
        <v>45989</v>
      </c>
      <c r="B1543" s="2" t="str">
        <f t="shared" si="48"/>
        <v>Nov-2025</v>
      </c>
      <c r="C1543" s="2" t="str">
        <f t="shared" si="49"/>
        <v>Q3</v>
      </c>
      <c r="D1543" s="2" t="s">
        <v>28</v>
      </c>
      <c r="E1543" s="11" t="s">
        <v>339</v>
      </c>
      <c r="F1543" s="11" t="s">
        <v>14</v>
      </c>
      <c r="G1543" s="11" t="s">
        <v>505</v>
      </c>
      <c r="H1543" s="11" t="s">
        <v>40</v>
      </c>
      <c r="I1543" s="12">
        <v>1</v>
      </c>
      <c r="J1543" s="12">
        <v>180</v>
      </c>
      <c r="K1543" s="12">
        <v>94.65</v>
      </c>
      <c r="L1543" s="12">
        <v>17037</v>
      </c>
      <c r="M1543" s="12">
        <v>-1548.6599999999999</v>
      </c>
      <c r="N1543" s="12">
        <v>0</v>
      </c>
      <c r="O1543" s="12">
        <v>2013.4840980000001</v>
      </c>
      <c r="P1543" s="12">
        <v>17501.824098000001</v>
      </c>
    </row>
    <row r="1544" spans="1:16" ht="14.5" x14ac:dyDescent="0.25">
      <c r="A1544" s="10">
        <v>45989</v>
      </c>
      <c r="B1544" s="2" t="str">
        <f t="shared" si="48"/>
        <v>Nov-2025</v>
      </c>
      <c r="C1544" s="2" t="str">
        <f t="shared" si="49"/>
        <v>Q3</v>
      </c>
      <c r="D1544" s="2" t="s">
        <v>28</v>
      </c>
      <c r="E1544" s="11" t="s">
        <v>339</v>
      </c>
      <c r="F1544" s="11" t="s">
        <v>14</v>
      </c>
      <c r="G1544" s="11" t="s">
        <v>507</v>
      </c>
      <c r="H1544" s="11" t="s">
        <v>90</v>
      </c>
      <c r="I1544" s="12">
        <v>1</v>
      </c>
      <c r="J1544" s="12">
        <v>120</v>
      </c>
      <c r="K1544" s="12">
        <v>57.46</v>
      </c>
      <c r="L1544" s="12">
        <v>6895.2</v>
      </c>
      <c r="M1544" s="12">
        <v>-626.77</v>
      </c>
      <c r="N1544" s="12">
        <v>0</v>
      </c>
      <c r="O1544" s="12">
        <v>814.89585899999997</v>
      </c>
      <c r="P1544" s="12">
        <v>7083.3258589999996</v>
      </c>
    </row>
    <row r="1545" spans="1:16" ht="14.5" x14ac:dyDescent="0.25">
      <c r="A1545" s="10">
        <v>45989</v>
      </c>
      <c r="B1545" s="2" t="str">
        <f t="shared" si="48"/>
        <v>Nov-2025</v>
      </c>
      <c r="C1545" s="2" t="str">
        <f t="shared" si="49"/>
        <v>Q3</v>
      </c>
      <c r="D1545" s="2" t="s">
        <v>28</v>
      </c>
      <c r="E1545" s="11" t="s">
        <v>339</v>
      </c>
      <c r="F1545" s="11" t="s">
        <v>14</v>
      </c>
      <c r="G1545" s="11" t="s">
        <v>505</v>
      </c>
      <c r="H1545" s="11" t="s">
        <v>55</v>
      </c>
      <c r="I1545" s="12">
        <v>1</v>
      </c>
      <c r="J1545" s="12">
        <v>120</v>
      </c>
      <c r="K1545" s="12">
        <v>152.11000000000001</v>
      </c>
      <c r="L1545" s="12">
        <v>18253.2</v>
      </c>
      <c r="M1545" s="12">
        <v>-1659.2199999999998</v>
      </c>
      <c r="N1545" s="12">
        <v>0</v>
      </c>
      <c r="O1545" s="12">
        <v>2157.2172909999999</v>
      </c>
      <c r="P1545" s="12">
        <v>18751.197291</v>
      </c>
    </row>
    <row r="1546" spans="1:16" ht="14.5" x14ac:dyDescent="0.25">
      <c r="A1546" s="10">
        <v>45989</v>
      </c>
      <c r="B1546" s="2" t="str">
        <f t="shared" si="48"/>
        <v>Nov-2025</v>
      </c>
      <c r="C1546" s="2" t="str">
        <f t="shared" si="49"/>
        <v>Q3</v>
      </c>
      <c r="D1546" s="2" t="s">
        <v>28</v>
      </c>
      <c r="E1546" s="11" t="s">
        <v>339</v>
      </c>
      <c r="F1546" s="11" t="s">
        <v>14</v>
      </c>
      <c r="G1546" s="11" t="s">
        <v>503</v>
      </c>
      <c r="H1546" s="11" t="s">
        <v>47</v>
      </c>
      <c r="I1546" s="12">
        <v>1</v>
      </c>
      <c r="J1546" s="12">
        <v>120</v>
      </c>
      <c r="K1546" s="12">
        <v>118.3</v>
      </c>
      <c r="L1546" s="12">
        <v>14195.999999999998</v>
      </c>
      <c r="M1546" s="12">
        <v>-1290.4199999999998</v>
      </c>
      <c r="N1546" s="12">
        <v>0</v>
      </c>
      <c r="O1546" s="12">
        <v>1677.7253150000001</v>
      </c>
      <c r="P1546" s="12">
        <v>14583.305315</v>
      </c>
    </row>
    <row r="1547" spans="1:16" ht="14.5" x14ac:dyDescent="0.25">
      <c r="A1547" s="10">
        <v>45989</v>
      </c>
      <c r="B1547" s="2" t="str">
        <f t="shared" si="48"/>
        <v>Nov-2025</v>
      </c>
      <c r="C1547" s="2" t="str">
        <f t="shared" si="49"/>
        <v>Q3</v>
      </c>
      <c r="D1547" s="2" t="s">
        <v>28</v>
      </c>
      <c r="E1547" s="11" t="s">
        <v>339</v>
      </c>
      <c r="F1547" s="11" t="s">
        <v>14</v>
      </c>
      <c r="G1547" s="11" t="s">
        <v>504</v>
      </c>
      <c r="H1547" s="11" t="s">
        <v>66</v>
      </c>
      <c r="I1547" s="12">
        <v>1</v>
      </c>
      <c r="J1547" s="12">
        <v>100</v>
      </c>
      <c r="K1547" s="12">
        <v>108.17</v>
      </c>
      <c r="L1547" s="12">
        <v>10817</v>
      </c>
      <c r="M1547" s="12">
        <v>-983.2700000000001</v>
      </c>
      <c r="N1547" s="12">
        <v>0</v>
      </c>
      <c r="O1547" s="12">
        <v>1278.3848350000001</v>
      </c>
      <c r="P1547" s="12">
        <v>11112.114835</v>
      </c>
    </row>
    <row r="1548" spans="1:16" ht="14.5" x14ac:dyDescent="0.25">
      <c r="A1548" s="10">
        <v>45989</v>
      </c>
      <c r="B1548" s="2" t="str">
        <f t="shared" si="48"/>
        <v>Nov-2025</v>
      </c>
      <c r="C1548" s="2" t="str">
        <f t="shared" si="49"/>
        <v>Q3</v>
      </c>
      <c r="D1548" s="2" t="s">
        <v>28</v>
      </c>
      <c r="E1548" s="11" t="s">
        <v>339</v>
      </c>
      <c r="F1548" s="11" t="s">
        <v>14</v>
      </c>
      <c r="G1548" s="11" t="s">
        <v>507</v>
      </c>
      <c r="H1548" s="11" t="s">
        <v>60</v>
      </c>
      <c r="I1548" s="12">
        <v>3</v>
      </c>
      <c r="J1548" s="12">
        <v>180</v>
      </c>
      <c r="K1548" s="12">
        <v>98.03</v>
      </c>
      <c r="L1548" s="12">
        <v>17645.400000000001</v>
      </c>
      <c r="M1548" s="12">
        <v>-1603.97</v>
      </c>
      <c r="N1548" s="12">
        <v>0</v>
      </c>
      <c r="O1548" s="12">
        <v>2085.3857940000003</v>
      </c>
      <c r="P1548" s="12">
        <v>18126.815793999998</v>
      </c>
    </row>
    <row r="1549" spans="1:16" ht="14.5" x14ac:dyDescent="0.25">
      <c r="A1549" s="10">
        <v>45989</v>
      </c>
      <c r="B1549" s="2" t="str">
        <f t="shared" si="48"/>
        <v>Nov-2025</v>
      </c>
      <c r="C1549" s="2" t="str">
        <f t="shared" si="49"/>
        <v>Q3</v>
      </c>
      <c r="D1549" s="2" t="s">
        <v>28</v>
      </c>
      <c r="E1549" s="11" t="s">
        <v>340</v>
      </c>
      <c r="F1549" s="11" t="s">
        <v>14</v>
      </c>
      <c r="G1549" s="11" t="s">
        <v>507</v>
      </c>
      <c r="H1549" s="11" t="s">
        <v>90</v>
      </c>
      <c r="I1549" s="12">
        <v>2</v>
      </c>
      <c r="J1549" s="12">
        <v>240</v>
      </c>
      <c r="K1549" s="12">
        <v>57.46</v>
      </c>
      <c r="L1549" s="12">
        <v>13790.4</v>
      </c>
      <c r="M1549" s="12">
        <v>-1253.55</v>
      </c>
      <c r="N1549" s="12">
        <v>0</v>
      </c>
      <c r="O1549" s="12">
        <v>1629.79</v>
      </c>
      <c r="P1549" s="12">
        <v>14166.64</v>
      </c>
    </row>
    <row r="1550" spans="1:16" ht="14.5" x14ac:dyDescent="0.25">
      <c r="A1550" s="10">
        <v>45989</v>
      </c>
      <c r="B1550" s="2" t="str">
        <f t="shared" si="48"/>
        <v>Nov-2025</v>
      </c>
      <c r="C1550" s="2" t="str">
        <f t="shared" si="49"/>
        <v>Q3</v>
      </c>
      <c r="D1550" s="2" t="s">
        <v>28</v>
      </c>
      <c r="E1550" s="11" t="s">
        <v>341</v>
      </c>
      <c r="F1550" s="11" t="s">
        <v>22</v>
      </c>
      <c r="G1550" s="11" t="s">
        <v>506</v>
      </c>
      <c r="H1550" s="11" t="s">
        <v>58</v>
      </c>
      <c r="I1550" s="12">
        <v>1</v>
      </c>
      <c r="J1550" s="12">
        <v>72</v>
      </c>
      <c r="K1550" s="12">
        <v>149.76</v>
      </c>
      <c r="L1550" s="12">
        <v>10782.72</v>
      </c>
      <c r="M1550" s="12">
        <v>0</v>
      </c>
      <c r="N1550" s="12">
        <v>0</v>
      </c>
      <c r="O1550" s="12">
        <v>1401.7536</v>
      </c>
      <c r="P1550" s="12">
        <v>12184.473599999999</v>
      </c>
    </row>
    <row r="1551" spans="1:16" ht="14.5" x14ac:dyDescent="0.25">
      <c r="A1551" s="10">
        <v>45989</v>
      </c>
      <c r="B1551" s="2" t="str">
        <f t="shared" si="48"/>
        <v>Nov-2025</v>
      </c>
      <c r="C1551" s="2" t="str">
        <f t="shared" si="49"/>
        <v>Q3</v>
      </c>
      <c r="D1551" s="2" t="s">
        <v>28</v>
      </c>
      <c r="E1551" s="11" t="s">
        <v>341</v>
      </c>
      <c r="F1551" s="11" t="s">
        <v>22</v>
      </c>
      <c r="G1551" s="11" t="s">
        <v>506</v>
      </c>
      <c r="H1551" s="11" t="s">
        <v>39</v>
      </c>
      <c r="I1551" s="12">
        <v>1</v>
      </c>
      <c r="J1551" s="12">
        <v>72</v>
      </c>
      <c r="K1551" s="12">
        <v>132.74</v>
      </c>
      <c r="L1551" s="12">
        <v>9557.2799999999988</v>
      </c>
      <c r="M1551" s="12">
        <v>0</v>
      </c>
      <c r="N1551" s="12">
        <v>0</v>
      </c>
      <c r="O1551" s="12">
        <v>1242.4464</v>
      </c>
      <c r="P1551" s="12">
        <v>10799.7264</v>
      </c>
    </row>
    <row r="1552" spans="1:16" ht="14.5" x14ac:dyDescent="0.25">
      <c r="A1552" s="10">
        <v>45989</v>
      </c>
      <c r="B1552" s="2" t="str">
        <f t="shared" si="48"/>
        <v>Nov-2025</v>
      </c>
      <c r="C1552" s="2" t="str">
        <f t="shared" si="49"/>
        <v>Q3</v>
      </c>
      <c r="D1552" s="2" t="s">
        <v>28</v>
      </c>
      <c r="E1552" s="11" t="s">
        <v>342</v>
      </c>
      <c r="F1552" s="11" t="s">
        <v>15</v>
      </c>
      <c r="G1552" s="11" t="s">
        <v>503</v>
      </c>
      <c r="H1552" s="11" t="s">
        <v>45</v>
      </c>
      <c r="I1552" s="12">
        <v>1</v>
      </c>
      <c r="J1552" s="12">
        <v>180</v>
      </c>
      <c r="K1552" s="12">
        <v>64.23</v>
      </c>
      <c r="L1552" s="12">
        <v>11561.4</v>
      </c>
      <c r="M1552" s="12">
        <v>-1050.9299999999998</v>
      </c>
      <c r="N1552" s="12">
        <v>0</v>
      </c>
      <c r="O1552" s="12">
        <v>1366.361046</v>
      </c>
      <c r="P1552" s="12">
        <v>11876.831045999999</v>
      </c>
    </row>
    <row r="1553" spans="1:16" ht="14.5" x14ac:dyDescent="0.25">
      <c r="A1553" s="10">
        <v>45989</v>
      </c>
      <c r="B1553" s="2" t="str">
        <f t="shared" si="48"/>
        <v>Nov-2025</v>
      </c>
      <c r="C1553" s="2" t="str">
        <f t="shared" si="49"/>
        <v>Q3</v>
      </c>
      <c r="D1553" s="2" t="s">
        <v>28</v>
      </c>
      <c r="E1553" s="11" t="s">
        <v>342</v>
      </c>
      <c r="F1553" s="11" t="s">
        <v>15</v>
      </c>
      <c r="G1553" s="11" t="s">
        <v>506</v>
      </c>
      <c r="H1553" s="11" t="s">
        <v>58</v>
      </c>
      <c r="I1553" s="12">
        <v>1</v>
      </c>
      <c r="J1553" s="12">
        <v>72</v>
      </c>
      <c r="K1553" s="12">
        <v>148.72999999999999</v>
      </c>
      <c r="L1553" s="12">
        <v>10708.56</v>
      </c>
      <c r="M1553" s="12">
        <v>-973.41</v>
      </c>
      <c r="N1553" s="12">
        <v>0</v>
      </c>
      <c r="O1553" s="12">
        <v>1265.56945</v>
      </c>
      <c r="P1553" s="12">
        <v>11000.719450000001</v>
      </c>
    </row>
    <row r="1554" spans="1:16" ht="14.5" x14ac:dyDescent="0.25">
      <c r="A1554" s="10">
        <v>45989</v>
      </c>
      <c r="B1554" s="2" t="str">
        <f t="shared" si="48"/>
        <v>Nov-2025</v>
      </c>
      <c r="C1554" s="2" t="str">
        <f t="shared" si="49"/>
        <v>Q3</v>
      </c>
      <c r="D1554" s="2" t="s">
        <v>28</v>
      </c>
      <c r="E1554" s="11" t="s">
        <v>342</v>
      </c>
      <c r="F1554" s="11" t="s">
        <v>15</v>
      </c>
      <c r="G1554" s="11" t="s">
        <v>503</v>
      </c>
      <c r="H1554" s="11" t="s">
        <v>59</v>
      </c>
      <c r="I1554" s="12">
        <v>1</v>
      </c>
      <c r="J1554" s="12">
        <v>180</v>
      </c>
      <c r="K1554" s="12">
        <v>64.23</v>
      </c>
      <c r="L1554" s="12">
        <v>11561.4</v>
      </c>
      <c r="M1554" s="12">
        <v>-1050.9299999999998</v>
      </c>
      <c r="N1554" s="12">
        <v>0</v>
      </c>
      <c r="O1554" s="12">
        <v>1366.361046</v>
      </c>
      <c r="P1554" s="12">
        <v>11876.831045999999</v>
      </c>
    </row>
    <row r="1555" spans="1:16" ht="14.5" x14ac:dyDescent="0.25">
      <c r="A1555" s="10">
        <v>45989</v>
      </c>
      <c r="B1555" s="2" t="str">
        <f t="shared" si="48"/>
        <v>Nov-2025</v>
      </c>
      <c r="C1555" s="2" t="str">
        <f t="shared" si="49"/>
        <v>Q3</v>
      </c>
      <c r="D1555" s="2" t="s">
        <v>28</v>
      </c>
      <c r="E1555" s="11" t="s">
        <v>342</v>
      </c>
      <c r="F1555" s="11" t="s">
        <v>15</v>
      </c>
      <c r="G1555" s="11" t="s">
        <v>505</v>
      </c>
      <c r="H1555" s="11" t="s">
        <v>56</v>
      </c>
      <c r="I1555" s="12">
        <v>1</v>
      </c>
      <c r="J1555" s="12">
        <v>120</v>
      </c>
      <c r="K1555" s="12">
        <v>50.7</v>
      </c>
      <c r="L1555" s="12">
        <v>6084</v>
      </c>
      <c r="M1555" s="12">
        <v>-553.04</v>
      </c>
      <c r="N1555" s="12">
        <v>0</v>
      </c>
      <c r="O1555" s="12">
        <v>719.02477199999998</v>
      </c>
      <c r="P1555" s="12">
        <v>6249.9847719999998</v>
      </c>
    </row>
    <row r="1556" spans="1:16" ht="14.5" x14ac:dyDescent="0.25">
      <c r="A1556" s="10">
        <v>45989</v>
      </c>
      <c r="B1556" s="2" t="str">
        <f t="shared" si="48"/>
        <v>Nov-2025</v>
      </c>
      <c r="C1556" s="2" t="str">
        <f t="shared" si="49"/>
        <v>Q3</v>
      </c>
      <c r="D1556" s="2" t="s">
        <v>28</v>
      </c>
      <c r="E1556" s="11" t="s">
        <v>342</v>
      </c>
      <c r="F1556" s="11" t="s">
        <v>15</v>
      </c>
      <c r="G1556" s="11" t="s">
        <v>505</v>
      </c>
      <c r="H1556" s="11" t="s">
        <v>168</v>
      </c>
      <c r="I1556" s="12">
        <v>1</v>
      </c>
      <c r="J1556" s="12">
        <v>80</v>
      </c>
      <c r="K1556" s="12">
        <v>229.86</v>
      </c>
      <c r="L1556" s="12">
        <v>18388.8</v>
      </c>
      <c r="M1556" s="12">
        <v>-1671.54</v>
      </c>
      <c r="N1556" s="12">
        <v>0</v>
      </c>
      <c r="O1556" s="12">
        <v>2173.2437150000001</v>
      </c>
      <c r="P1556" s="12">
        <v>18890.503714999999</v>
      </c>
    </row>
    <row r="1557" spans="1:16" ht="14.5" x14ac:dyDescent="0.25">
      <c r="A1557" s="10">
        <v>45989</v>
      </c>
      <c r="B1557" s="2" t="str">
        <f t="shared" si="48"/>
        <v>Nov-2025</v>
      </c>
      <c r="C1557" s="2" t="str">
        <f t="shared" si="49"/>
        <v>Q3</v>
      </c>
      <c r="D1557" s="2" t="s">
        <v>28</v>
      </c>
      <c r="E1557" s="11" t="s">
        <v>342</v>
      </c>
      <c r="F1557" s="11" t="s">
        <v>15</v>
      </c>
      <c r="G1557" s="11" t="s">
        <v>503</v>
      </c>
      <c r="H1557" s="11" t="s">
        <v>166</v>
      </c>
      <c r="I1557" s="12">
        <v>1</v>
      </c>
      <c r="J1557" s="12">
        <v>120</v>
      </c>
      <c r="K1557" s="12">
        <v>64.23</v>
      </c>
      <c r="L1557" s="12">
        <v>7707.5999999999995</v>
      </c>
      <c r="M1557" s="12">
        <v>-700.62</v>
      </c>
      <c r="N1557" s="12">
        <v>0</v>
      </c>
      <c r="O1557" s="12">
        <v>910.90736400000003</v>
      </c>
      <c r="P1557" s="12">
        <v>7917.8873640000002</v>
      </c>
    </row>
    <row r="1558" spans="1:16" ht="14.5" x14ac:dyDescent="0.25">
      <c r="A1558" s="10">
        <v>45989</v>
      </c>
      <c r="B1558" s="2" t="str">
        <f t="shared" si="48"/>
        <v>Nov-2025</v>
      </c>
      <c r="C1558" s="2" t="str">
        <f t="shared" si="49"/>
        <v>Q3</v>
      </c>
      <c r="D1558" s="2" t="s">
        <v>28</v>
      </c>
      <c r="E1558" s="11" t="s">
        <v>342</v>
      </c>
      <c r="F1558" s="11" t="s">
        <v>15</v>
      </c>
      <c r="G1558" s="11" t="s">
        <v>505</v>
      </c>
      <c r="H1558" s="11" t="s">
        <v>55</v>
      </c>
      <c r="I1558" s="12">
        <v>1</v>
      </c>
      <c r="J1558" s="12">
        <v>120</v>
      </c>
      <c r="K1558" s="12">
        <v>152.11000000000001</v>
      </c>
      <c r="L1558" s="12">
        <v>18253.2</v>
      </c>
      <c r="M1558" s="12">
        <v>-1659.2199999999998</v>
      </c>
      <c r="N1558" s="12">
        <v>0</v>
      </c>
      <c r="O1558" s="12">
        <v>2157.2173149999999</v>
      </c>
      <c r="P1558" s="12">
        <v>18751.197315000001</v>
      </c>
    </row>
    <row r="1559" spans="1:16" ht="14.5" x14ac:dyDescent="0.25">
      <c r="A1559" s="10">
        <v>45989</v>
      </c>
      <c r="B1559" s="2" t="str">
        <f t="shared" si="48"/>
        <v>Nov-2025</v>
      </c>
      <c r="C1559" s="2" t="str">
        <f t="shared" si="49"/>
        <v>Q3</v>
      </c>
      <c r="D1559" s="2" t="s">
        <v>28</v>
      </c>
      <c r="E1559" s="11" t="s">
        <v>342</v>
      </c>
      <c r="F1559" s="11" t="s">
        <v>15</v>
      </c>
      <c r="G1559" s="11" t="s">
        <v>507</v>
      </c>
      <c r="H1559" s="11" t="s">
        <v>60</v>
      </c>
      <c r="I1559" s="12">
        <v>4</v>
      </c>
      <c r="J1559" s="12">
        <v>240</v>
      </c>
      <c r="K1559" s="12">
        <v>98.03</v>
      </c>
      <c r="L1559" s="12">
        <v>23527.200000000001</v>
      </c>
      <c r="M1559" s="12">
        <v>-2138.6200000000003</v>
      </c>
      <c r="N1559" s="12">
        <v>0</v>
      </c>
      <c r="O1559" s="12">
        <v>2780.5152910000002</v>
      </c>
      <c r="P1559" s="12">
        <v>24169.095291000001</v>
      </c>
    </row>
    <row r="1560" spans="1:16" ht="14.5" x14ac:dyDescent="0.25">
      <c r="A1560" s="10">
        <v>45989</v>
      </c>
      <c r="B1560" s="2" t="str">
        <f t="shared" si="48"/>
        <v>Nov-2025</v>
      </c>
      <c r="C1560" s="2" t="str">
        <f t="shared" si="49"/>
        <v>Q3</v>
      </c>
      <c r="D1560" s="2" t="s">
        <v>28</v>
      </c>
      <c r="E1560" s="11" t="s">
        <v>343</v>
      </c>
      <c r="F1560" s="11" t="s">
        <v>22</v>
      </c>
      <c r="G1560" s="11" t="s">
        <v>503</v>
      </c>
      <c r="H1560" s="11" t="s">
        <v>45</v>
      </c>
      <c r="I1560" s="12">
        <v>0.5</v>
      </c>
      <c r="J1560" s="12">
        <v>90</v>
      </c>
      <c r="K1560" s="12">
        <v>64.67</v>
      </c>
      <c r="L1560" s="12">
        <v>5820.3</v>
      </c>
      <c r="M1560" s="12">
        <v>0</v>
      </c>
      <c r="N1560" s="12">
        <v>0</v>
      </c>
      <c r="O1560" s="12">
        <v>756.63881900000001</v>
      </c>
      <c r="P1560" s="12">
        <v>6576.938819</v>
      </c>
    </row>
    <row r="1561" spans="1:16" ht="14.5" x14ac:dyDescent="0.25">
      <c r="A1561" s="10">
        <v>45989</v>
      </c>
      <c r="B1561" s="2" t="str">
        <f t="shared" si="48"/>
        <v>Nov-2025</v>
      </c>
      <c r="C1561" s="2" t="str">
        <f t="shared" si="49"/>
        <v>Q3</v>
      </c>
      <c r="D1561" s="2" t="s">
        <v>28</v>
      </c>
      <c r="E1561" s="11" t="s">
        <v>343</v>
      </c>
      <c r="F1561" s="11" t="s">
        <v>22</v>
      </c>
      <c r="G1561" s="11" t="s">
        <v>503</v>
      </c>
      <c r="H1561" s="11" t="s">
        <v>59</v>
      </c>
      <c r="I1561" s="12">
        <v>0.5</v>
      </c>
      <c r="J1561" s="12">
        <v>90</v>
      </c>
      <c r="K1561" s="12">
        <v>64.67</v>
      </c>
      <c r="L1561" s="12">
        <v>5820.3</v>
      </c>
      <c r="M1561" s="12">
        <v>0</v>
      </c>
      <c r="N1561" s="12">
        <v>0</v>
      </c>
      <c r="O1561" s="12">
        <v>756.63881900000001</v>
      </c>
      <c r="P1561" s="12">
        <v>6576.938819</v>
      </c>
    </row>
    <row r="1562" spans="1:16" ht="14.5" x14ac:dyDescent="0.25">
      <c r="A1562" s="10">
        <v>45989</v>
      </c>
      <c r="B1562" s="2" t="str">
        <f t="shared" si="48"/>
        <v>Nov-2025</v>
      </c>
      <c r="C1562" s="2" t="str">
        <f t="shared" si="49"/>
        <v>Q3</v>
      </c>
      <c r="D1562" s="2" t="s">
        <v>28</v>
      </c>
      <c r="E1562" s="11" t="s">
        <v>343</v>
      </c>
      <c r="F1562" s="11" t="s">
        <v>22</v>
      </c>
      <c r="G1562" s="11" t="s">
        <v>504</v>
      </c>
      <c r="H1562" s="11" t="s">
        <v>68</v>
      </c>
      <c r="I1562" s="12">
        <v>0.5</v>
      </c>
      <c r="J1562" s="12">
        <v>20</v>
      </c>
      <c r="K1562" s="12">
        <v>262.08</v>
      </c>
      <c r="L1562" s="12">
        <v>5241.6000000000004</v>
      </c>
      <c r="M1562" s="12">
        <v>0</v>
      </c>
      <c r="N1562" s="12">
        <v>0</v>
      </c>
      <c r="O1562" s="12">
        <v>681.40783699999997</v>
      </c>
      <c r="P1562" s="12">
        <v>5923.0078370000001</v>
      </c>
    </row>
    <row r="1563" spans="1:16" ht="14.5" x14ac:dyDescent="0.25">
      <c r="A1563" s="10">
        <v>45989</v>
      </c>
      <c r="B1563" s="2" t="str">
        <f t="shared" si="48"/>
        <v>Nov-2025</v>
      </c>
      <c r="C1563" s="2" t="str">
        <f t="shared" si="49"/>
        <v>Q3</v>
      </c>
      <c r="D1563" s="2" t="s">
        <v>28</v>
      </c>
      <c r="E1563" s="11" t="s">
        <v>343</v>
      </c>
      <c r="F1563" s="11" t="s">
        <v>22</v>
      </c>
      <c r="G1563" s="11" t="s">
        <v>505</v>
      </c>
      <c r="H1563" s="11" t="s">
        <v>49</v>
      </c>
      <c r="I1563" s="12">
        <v>0.28000000000000003</v>
      </c>
      <c r="J1563" s="12">
        <v>50</v>
      </c>
      <c r="K1563" s="12">
        <v>183.8</v>
      </c>
      <c r="L1563" s="12">
        <v>9190</v>
      </c>
      <c r="M1563" s="12">
        <v>0</v>
      </c>
      <c r="N1563" s="12">
        <v>0</v>
      </c>
      <c r="O1563" s="12">
        <v>1194.699715</v>
      </c>
      <c r="P1563" s="12">
        <v>10384.699715000001</v>
      </c>
    </row>
    <row r="1564" spans="1:16" ht="14.5" x14ac:dyDescent="0.25">
      <c r="A1564" s="10">
        <v>45989</v>
      </c>
      <c r="B1564" s="2" t="str">
        <f t="shared" si="48"/>
        <v>Nov-2025</v>
      </c>
      <c r="C1564" s="2" t="str">
        <f t="shared" si="49"/>
        <v>Q3</v>
      </c>
      <c r="D1564" s="2" t="s">
        <v>28</v>
      </c>
      <c r="E1564" s="11" t="s">
        <v>343</v>
      </c>
      <c r="F1564" s="11" t="s">
        <v>22</v>
      </c>
      <c r="G1564" s="11" t="s">
        <v>503</v>
      </c>
      <c r="H1564" s="11" t="s">
        <v>57</v>
      </c>
      <c r="I1564" s="12">
        <v>0.28000000000000003</v>
      </c>
      <c r="J1564" s="12">
        <v>50</v>
      </c>
      <c r="K1564" s="12">
        <v>122.53</v>
      </c>
      <c r="L1564" s="12">
        <v>6126.5</v>
      </c>
      <c r="M1564" s="12">
        <v>0</v>
      </c>
      <c r="N1564" s="12">
        <v>0</v>
      </c>
      <c r="O1564" s="12">
        <v>796.44480999999996</v>
      </c>
      <c r="P1564" s="12">
        <v>6922.94481</v>
      </c>
    </row>
    <row r="1565" spans="1:16" ht="14.5" x14ac:dyDescent="0.25">
      <c r="A1565" s="10">
        <v>45989</v>
      </c>
      <c r="B1565" s="2" t="str">
        <f t="shared" si="48"/>
        <v>Nov-2025</v>
      </c>
      <c r="C1565" s="2" t="str">
        <f t="shared" si="49"/>
        <v>Q3</v>
      </c>
      <c r="D1565" s="2" t="s">
        <v>28</v>
      </c>
      <c r="E1565" s="11" t="s">
        <v>344</v>
      </c>
      <c r="F1565" s="11" t="s">
        <v>16</v>
      </c>
      <c r="G1565" s="11" t="s">
        <v>504</v>
      </c>
      <c r="H1565" s="11" t="s">
        <v>66</v>
      </c>
      <c r="I1565" s="12">
        <v>1</v>
      </c>
      <c r="J1565" s="12">
        <v>100</v>
      </c>
      <c r="K1565" s="12">
        <v>108.17</v>
      </c>
      <c r="L1565" s="12">
        <v>10817</v>
      </c>
      <c r="M1565" s="12">
        <v>-983.2700000000001</v>
      </c>
      <c r="N1565" s="12">
        <v>0</v>
      </c>
      <c r="O1565" s="12">
        <v>1278.384237</v>
      </c>
      <c r="P1565" s="12">
        <v>11112.114237</v>
      </c>
    </row>
    <row r="1566" spans="1:16" ht="14.5" x14ac:dyDescent="0.25">
      <c r="A1566" s="10">
        <v>45989</v>
      </c>
      <c r="B1566" s="2" t="str">
        <f t="shared" si="48"/>
        <v>Nov-2025</v>
      </c>
      <c r="C1566" s="2" t="str">
        <f t="shared" si="49"/>
        <v>Q3</v>
      </c>
      <c r="D1566" s="2" t="s">
        <v>28</v>
      </c>
      <c r="E1566" s="11" t="s">
        <v>344</v>
      </c>
      <c r="F1566" s="11" t="s">
        <v>16</v>
      </c>
      <c r="G1566" s="11" t="s">
        <v>505</v>
      </c>
      <c r="H1566" s="11" t="s">
        <v>40</v>
      </c>
      <c r="I1566" s="12">
        <v>1</v>
      </c>
      <c r="J1566" s="12">
        <v>180</v>
      </c>
      <c r="K1566" s="12">
        <v>94.65</v>
      </c>
      <c r="L1566" s="12">
        <v>17037</v>
      </c>
      <c r="M1566" s="12">
        <v>-1548.6599999999999</v>
      </c>
      <c r="N1566" s="12">
        <v>0</v>
      </c>
      <c r="O1566" s="12">
        <v>2013.483156</v>
      </c>
      <c r="P1566" s="12">
        <v>17501.823155999999</v>
      </c>
    </row>
    <row r="1567" spans="1:16" ht="14.5" x14ac:dyDescent="0.25">
      <c r="A1567" s="10">
        <v>45989</v>
      </c>
      <c r="B1567" s="2" t="str">
        <f t="shared" si="48"/>
        <v>Nov-2025</v>
      </c>
      <c r="C1567" s="2" t="str">
        <f t="shared" si="49"/>
        <v>Q3</v>
      </c>
      <c r="D1567" s="2" t="s">
        <v>28</v>
      </c>
      <c r="E1567" s="11" t="s">
        <v>344</v>
      </c>
      <c r="F1567" s="11" t="s">
        <v>16</v>
      </c>
      <c r="G1567" s="11" t="s">
        <v>503</v>
      </c>
      <c r="H1567" s="11" t="s">
        <v>45</v>
      </c>
      <c r="I1567" s="12">
        <v>1</v>
      </c>
      <c r="J1567" s="12">
        <v>180</v>
      </c>
      <c r="K1567" s="12">
        <v>64.23</v>
      </c>
      <c r="L1567" s="12">
        <v>11561.4</v>
      </c>
      <c r="M1567" s="12">
        <v>-1050.9299999999998</v>
      </c>
      <c r="N1567" s="12">
        <v>0</v>
      </c>
      <c r="O1567" s="12">
        <v>1366.360392</v>
      </c>
      <c r="P1567" s="12">
        <v>11876.830392</v>
      </c>
    </row>
    <row r="1568" spans="1:16" ht="14.5" x14ac:dyDescent="0.25">
      <c r="A1568" s="10">
        <v>45989</v>
      </c>
      <c r="B1568" s="2" t="str">
        <f t="shared" si="48"/>
        <v>Nov-2025</v>
      </c>
      <c r="C1568" s="2" t="str">
        <f t="shared" si="49"/>
        <v>Q3</v>
      </c>
      <c r="D1568" s="2" t="s">
        <v>28</v>
      </c>
      <c r="E1568" s="11" t="s">
        <v>344</v>
      </c>
      <c r="F1568" s="11" t="s">
        <v>16</v>
      </c>
      <c r="G1568" s="11" t="s">
        <v>503</v>
      </c>
      <c r="H1568" s="11" t="s">
        <v>52</v>
      </c>
      <c r="I1568" s="12">
        <v>1</v>
      </c>
      <c r="J1568" s="12">
        <v>180</v>
      </c>
      <c r="K1568" s="12">
        <v>70.989999999999995</v>
      </c>
      <c r="L1568" s="12">
        <v>12778.2</v>
      </c>
      <c r="M1568" s="12">
        <v>-1161.54</v>
      </c>
      <c r="N1568" s="12">
        <v>0</v>
      </c>
      <c r="O1568" s="12">
        <v>1510.165017</v>
      </c>
      <c r="P1568" s="12">
        <v>13126.825016999999</v>
      </c>
    </row>
    <row r="1569" spans="1:16" ht="14.5" x14ac:dyDescent="0.25">
      <c r="A1569" s="10">
        <v>45989</v>
      </c>
      <c r="B1569" s="2" t="str">
        <f t="shared" si="48"/>
        <v>Nov-2025</v>
      </c>
      <c r="C1569" s="2" t="str">
        <f t="shared" si="49"/>
        <v>Q3</v>
      </c>
      <c r="D1569" s="2" t="s">
        <v>28</v>
      </c>
      <c r="E1569" s="11" t="s">
        <v>344</v>
      </c>
      <c r="F1569" s="11" t="s">
        <v>16</v>
      </c>
      <c r="G1569" s="11" t="s">
        <v>504</v>
      </c>
      <c r="H1569" s="11" t="s">
        <v>69</v>
      </c>
      <c r="I1569" s="12">
        <v>1</v>
      </c>
      <c r="J1569" s="12">
        <v>100</v>
      </c>
      <c r="K1569" s="12">
        <v>162.26</v>
      </c>
      <c r="L1569" s="12">
        <v>16226</v>
      </c>
      <c r="M1569" s="12">
        <v>-1474.94</v>
      </c>
      <c r="N1569" s="12">
        <v>0</v>
      </c>
      <c r="O1569" s="12">
        <v>1917.6368060000002</v>
      </c>
      <c r="P1569" s="12">
        <v>16668.696806</v>
      </c>
    </row>
    <row r="1570" spans="1:16" ht="14.5" x14ac:dyDescent="0.25">
      <c r="A1570" s="10">
        <v>45989</v>
      </c>
      <c r="B1570" s="2" t="str">
        <f t="shared" si="48"/>
        <v>Nov-2025</v>
      </c>
      <c r="C1570" s="2" t="str">
        <f t="shared" si="49"/>
        <v>Q3</v>
      </c>
      <c r="D1570" s="2" t="s">
        <v>28</v>
      </c>
      <c r="E1570" s="11" t="s">
        <v>344</v>
      </c>
      <c r="F1570" s="11" t="s">
        <v>16</v>
      </c>
      <c r="G1570" s="11" t="s">
        <v>503</v>
      </c>
      <c r="H1570" s="11" t="s">
        <v>59</v>
      </c>
      <c r="I1570" s="12">
        <v>1</v>
      </c>
      <c r="J1570" s="12">
        <v>180</v>
      </c>
      <c r="K1570" s="12">
        <v>64.23</v>
      </c>
      <c r="L1570" s="12">
        <v>11561.4</v>
      </c>
      <c r="M1570" s="12">
        <v>-1050.9299999999998</v>
      </c>
      <c r="N1570" s="12">
        <v>0</v>
      </c>
      <c r="O1570" s="12">
        <v>1366.360392</v>
      </c>
      <c r="P1570" s="12">
        <v>11876.830392</v>
      </c>
    </row>
    <row r="1571" spans="1:16" ht="14.5" x14ac:dyDescent="0.25">
      <c r="A1571" s="10">
        <v>45991</v>
      </c>
      <c r="B1571" s="2" t="str">
        <f t="shared" ref="B1571:B1634" si="50">+TEXT(A1571,"MMM-yyy")</f>
        <v>Nov-2025</v>
      </c>
      <c r="C1571" s="2" t="str">
        <f t="shared" ref="C1571:C1634" si="51">"Q" &amp; CHOOSE(MONTH(A1571),4,4,4,1,1,1,2,2,2,3,3,3)</f>
        <v>Q3</v>
      </c>
      <c r="D1571" s="2" t="s">
        <v>28</v>
      </c>
      <c r="E1571" s="11" t="s">
        <v>345</v>
      </c>
      <c r="F1571" s="11" t="s">
        <v>104</v>
      </c>
      <c r="G1571" s="11" t="s">
        <v>503</v>
      </c>
      <c r="H1571" s="11" t="s">
        <v>41</v>
      </c>
      <c r="I1571" s="12">
        <v>0.06</v>
      </c>
      <c r="J1571" s="12">
        <v>10</v>
      </c>
      <c r="K1571" s="12">
        <v>63.72</v>
      </c>
      <c r="L1571" s="12">
        <v>637.20000000000005</v>
      </c>
      <c r="M1571" s="12">
        <v>0</v>
      </c>
      <c r="N1571" s="12">
        <v>0</v>
      </c>
      <c r="O1571" s="12">
        <v>82.836347000000004</v>
      </c>
      <c r="P1571" s="12">
        <v>720.03634699999998</v>
      </c>
    </row>
    <row r="1572" spans="1:16" ht="14.5" x14ac:dyDescent="0.25">
      <c r="A1572" s="10">
        <v>45991</v>
      </c>
      <c r="B1572" s="2" t="str">
        <f t="shared" si="50"/>
        <v>Nov-2025</v>
      </c>
      <c r="C1572" s="2" t="str">
        <f t="shared" si="51"/>
        <v>Q3</v>
      </c>
      <c r="D1572" s="2" t="s">
        <v>28</v>
      </c>
      <c r="E1572" s="11" t="s">
        <v>345</v>
      </c>
      <c r="F1572" s="11" t="s">
        <v>104</v>
      </c>
      <c r="G1572" s="11" t="s">
        <v>503</v>
      </c>
      <c r="H1572" s="11" t="s">
        <v>89</v>
      </c>
      <c r="I1572" s="12">
        <v>0.08</v>
      </c>
      <c r="J1572" s="12">
        <v>10</v>
      </c>
      <c r="K1572" s="12">
        <v>120.35</v>
      </c>
      <c r="L1572" s="12">
        <v>1203.5000000000002</v>
      </c>
      <c r="M1572" s="12">
        <v>0</v>
      </c>
      <c r="N1572" s="12">
        <v>0</v>
      </c>
      <c r="O1572" s="12">
        <v>156.45565500000001</v>
      </c>
      <c r="P1572" s="12">
        <v>1359.955655</v>
      </c>
    </row>
    <row r="1573" spans="1:16" ht="14.5" x14ac:dyDescent="0.25">
      <c r="A1573" s="10">
        <v>45991</v>
      </c>
      <c r="B1573" s="2" t="str">
        <f t="shared" si="50"/>
        <v>Nov-2025</v>
      </c>
      <c r="C1573" s="2" t="str">
        <f t="shared" si="51"/>
        <v>Q3</v>
      </c>
      <c r="D1573" s="2" t="s">
        <v>28</v>
      </c>
      <c r="E1573" s="11" t="s">
        <v>345</v>
      </c>
      <c r="F1573" s="11" t="s">
        <v>104</v>
      </c>
      <c r="G1573" s="11" t="s">
        <v>507</v>
      </c>
      <c r="H1573" s="11" t="s">
        <v>90</v>
      </c>
      <c r="I1573" s="12">
        <v>0.5</v>
      </c>
      <c r="J1573" s="12">
        <v>60</v>
      </c>
      <c r="K1573" s="12">
        <v>60.18</v>
      </c>
      <c r="L1573" s="12">
        <v>3610.8</v>
      </c>
      <c r="M1573" s="12">
        <v>0</v>
      </c>
      <c r="N1573" s="12">
        <v>0</v>
      </c>
      <c r="O1573" s="12">
        <v>469.40596500000004</v>
      </c>
      <c r="P1573" s="12">
        <v>4080.2059650000001</v>
      </c>
    </row>
    <row r="1574" spans="1:16" ht="14.5" x14ac:dyDescent="0.25">
      <c r="A1574" s="10">
        <v>45991</v>
      </c>
      <c r="B1574" s="2" t="str">
        <f t="shared" si="50"/>
        <v>Nov-2025</v>
      </c>
      <c r="C1574" s="2" t="str">
        <f t="shared" si="51"/>
        <v>Q3</v>
      </c>
      <c r="D1574" s="2" t="s">
        <v>28</v>
      </c>
      <c r="E1574" s="11" t="s">
        <v>345</v>
      </c>
      <c r="F1574" s="11" t="s">
        <v>104</v>
      </c>
      <c r="G1574" s="11" t="s">
        <v>506</v>
      </c>
      <c r="H1574" s="11" t="s">
        <v>58</v>
      </c>
      <c r="I1574" s="12">
        <v>0.33</v>
      </c>
      <c r="J1574" s="12">
        <v>24</v>
      </c>
      <c r="K1574" s="12">
        <v>155.75</v>
      </c>
      <c r="L1574" s="12">
        <v>3738</v>
      </c>
      <c r="M1574" s="12">
        <v>0</v>
      </c>
      <c r="N1574" s="12">
        <v>0</v>
      </c>
      <c r="O1574" s="12">
        <v>485.94203399999998</v>
      </c>
      <c r="P1574" s="12">
        <v>4223.9420339999997</v>
      </c>
    </row>
    <row r="1575" spans="1:16" ht="14.5" x14ac:dyDescent="0.25">
      <c r="A1575" s="10">
        <v>45991</v>
      </c>
      <c r="B1575" s="2" t="str">
        <f t="shared" si="50"/>
        <v>Nov-2025</v>
      </c>
      <c r="C1575" s="2" t="str">
        <f t="shared" si="51"/>
        <v>Q3</v>
      </c>
      <c r="D1575" s="2" t="s">
        <v>28</v>
      </c>
      <c r="E1575" s="11" t="s">
        <v>346</v>
      </c>
      <c r="F1575" s="11" t="s">
        <v>151</v>
      </c>
      <c r="G1575" s="11" t="s">
        <v>507</v>
      </c>
      <c r="H1575" s="11" t="s">
        <v>60</v>
      </c>
      <c r="I1575" s="12">
        <v>1</v>
      </c>
      <c r="J1575" s="12">
        <v>60</v>
      </c>
      <c r="K1575" s="12">
        <v>89.82</v>
      </c>
      <c r="L1575" s="12">
        <v>5389.2</v>
      </c>
      <c r="M1575" s="12">
        <v>0</v>
      </c>
      <c r="N1575" s="12">
        <v>0</v>
      </c>
      <c r="O1575" s="12">
        <v>700.59604400000001</v>
      </c>
      <c r="P1575" s="12">
        <v>6089.7960439999997</v>
      </c>
    </row>
    <row r="1576" spans="1:16" ht="14.5" x14ac:dyDescent="0.25">
      <c r="A1576" s="10">
        <v>45991</v>
      </c>
      <c r="B1576" s="2" t="str">
        <f t="shared" si="50"/>
        <v>Nov-2025</v>
      </c>
      <c r="C1576" s="2" t="str">
        <f t="shared" si="51"/>
        <v>Q3</v>
      </c>
      <c r="D1576" s="2" t="s">
        <v>28</v>
      </c>
      <c r="E1576" s="11" t="s">
        <v>346</v>
      </c>
      <c r="F1576" s="11" t="s">
        <v>151</v>
      </c>
      <c r="G1576" s="11" t="s">
        <v>504</v>
      </c>
      <c r="H1576" s="11" t="s">
        <v>67</v>
      </c>
      <c r="I1576" s="12">
        <v>1</v>
      </c>
      <c r="J1576" s="12">
        <v>40</v>
      </c>
      <c r="K1576" s="12">
        <v>360.53</v>
      </c>
      <c r="L1576" s="12">
        <v>14421.199999999999</v>
      </c>
      <c r="M1576" s="12">
        <v>0</v>
      </c>
      <c r="N1576" s="12">
        <v>0</v>
      </c>
      <c r="O1576" s="12">
        <v>1874.756118</v>
      </c>
      <c r="P1576" s="12">
        <v>16295.956118</v>
      </c>
    </row>
    <row r="1577" spans="1:16" ht="14.5" x14ac:dyDescent="0.25">
      <c r="A1577" s="10">
        <v>45991</v>
      </c>
      <c r="B1577" s="2" t="str">
        <f t="shared" si="50"/>
        <v>Nov-2025</v>
      </c>
      <c r="C1577" s="2" t="str">
        <f t="shared" si="51"/>
        <v>Q3</v>
      </c>
      <c r="D1577" s="2" t="s">
        <v>28</v>
      </c>
      <c r="E1577" s="11" t="s">
        <v>346</v>
      </c>
      <c r="F1577" s="11" t="s">
        <v>151</v>
      </c>
      <c r="G1577" s="11" t="s">
        <v>506</v>
      </c>
      <c r="H1577" s="11" t="s">
        <v>54</v>
      </c>
      <c r="I1577" s="12">
        <v>1</v>
      </c>
      <c r="J1577" s="12">
        <v>48</v>
      </c>
      <c r="K1577" s="12">
        <v>272.57</v>
      </c>
      <c r="L1577" s="12">
        <v>13083.36</v>
      </c>
      <c r="M1577" s="12">
        <v>0</v>
      </c>
      <c r="N1577" s="12">
        <v>0</v>
      </c>
      <c r="O1577" s="12">
        <v>1700.8369069999999</v>
      </c>
      <c r="P1577" s="12">
        <v>14784.196907</v>
      </c>
    </row>
    <row r="1578" spans="1:16" ht="14.5" x14ac:dyDescent="0.25">
      <c r="A1578" s="10">
        <v>45991</v>
      </c>
      <c r="B1578" s="2" t="str">
        <f t="shared" si="50"/>
        <v>Nov-2025</v>
      </c>
      <c r="C1578" s="2" t="str">
        <f t="shared" si="51"/>
        <v>Q3</v>
      </c>
      <c r="D1578" s="2" t="s">
        <v>28</v>
      </c>
      <c r="E1578" s="11" t="s">
        <v>346</v>
      </c>
      <c r="F1578" s="11" t="s">
        <v>151</v>
      </c>
      <c r="G1578" s="11" t="s">
        <v>507</v>
      </c>
      <c r="H1578" s="11" t="s">
        <v>90</v>
      </c>
      <c r="I1578" s="12">
        <v>1</v>
      </c>
      <c r="J1578" s="12">
        <v>120</v>
      </c>
      <c r="K1578" s="12">
        <v>52.65</v>
      </c>
      <c r="L1578" s="12">
        <v>6318.0000000000009</v>
      </c>
      <c r="M1578" s="12">
        <v>0</v>
      </c>
      <c r="N1578" s="12">
        <v>0</v>
      </c>
      <c r="O1578" s="12">
        <v>821.34005200000001</v>
      </c>
      <c r="P1578" s="12">
        <v>7139.3400519999996</v>
      </c>
    </row>
    <row r="1579" spans="1:16" ht="14.5" x14ac:dyDescent="0.25">
      <c r="A1579" s="10">
        <v>45991</v>
      </c>
      <c r="B1579" s="2" t="str">
        <f t="shared" si="50"/>
        <v>Nov-2025</v>
      </c>
      <c r="C1579" s="2" t="str">
        <f t="shared" si="51"/>
        <v>Q3</v>
      </c>
      <c r="D1579" s="2" t="s">
        <v>28</v>
      </c>
      <c r="E1579" s="11" t="s">
        <v>346</v>
      </c>
      <c r="F1579" s="11" t="s">
        <v>151</v>
      </c>
      <c r="G1579" s="11" t="s">
        <v>506</v>
      </c>
      <c r="H1579" s="11" t="s">
        <v>58</v>
      </c>
      <c r="I1579" s="12">
        <v>1</v>
      </c>
      <c r="J1579" s="12">
        <v>72</v>
      </c>
      <c r="K1579" s="12">
        <v>136.28</v>
      </c>
      <c r="L1579" s="12">
        <v>9812.16</v>
      </c>
      <c r="M1579" s="12">
        <v>0</v>
      </c>
      <c r="N1579" s="12">
        <v>0</v>
      </c>
      <c r="O1579" s="12">
        <v>1275.58088</v>
      </c>
      <c r="P1579" s="12">
        <v>11087.740879999999</v>
      </c>
    </row>
    <row r="1580" spans="1:16" ht="14.5" x14ac:dyDescent="0.25">
      <c r="A1580" s="10">
        <v>45991</v>
      </c>
      <c r="B1580" s="2" t="str">
        <f t="shared" si="50"/>
        <v>Nov-2025</v>
      </c>
      <c r="C1580" s="2" t="str">
        <f t="shared" si="51"/>
        <v>Q3</v>
      </c>
      <c r="D1580" s="2" t="s">
        <v>28</v>
      </c>
      <c r="E1580" s="11" t="s">
        <v>347</v>
      </c>
      <c r="F1580" s="11" t="s">
        <v>151</v>
      </c>
      <c r="G1580" s="11" t="s">
        <v>506</v>
      </c>
      <c r="H1580" s="11" t="s">
        <v>58</v>
      </c>
      <c r="I1580" s="12">
        <v>1</v>
      </c>
      <c r="J1580" s="12">
        <v>72</v>
      </c>
      <c r="K1580" s="12">
        <v>136.28</v>
      </c>
      <c r="L1580" s="12">
        <v>9812.16</v>
      </c>
      <c r="M1580" s="12">
        <v>0</v>
      </c>
      <c r="N1580" s="12">
        <v>0</v>
      </c>
      <c r="O1580" s="12">
        <v>1275.5806970000001</v>
      </c>
      <c r="P1580" s="12">
        <v>11087.740696999999</v>
      </c>
    </row>
    <row r="1581" spans="1:16" ht="14.5" x14ac:dyDescent="0.25">
      <c r="A1581" s="10">
        <v>45991</v>
      </c>
      <c r="B1581" s="2" t="str">
        <f t="shared" si="50"/>
        <v>Nov-2025</v>
      </c>
      <c r="C1581" s="2" t="str">
        <f t="shared" si="51"/>
        <v>Q3</v>
      </c>
      <c r="D1581" s="2" t="s">
        <v>28</v>
      </c>
      <c r="E1581" s="11" t="s">
        <v>347</v>
      </c>
      <c r="F1581" s="11" t="s">
        <v>151</v>
      </c>
      <c r="G1581" s="11" t="s">
        <v>504</v>
      </c>
      <c r="H1581" s="11" t="s">
        <v>69</v>
      </c>
      <c r="I1581" s="12">
        <v>1</v>
      </c>
      <c r="J1581" s="12">
        <v>100</v>
      </c>
      <c r="K1581" s="12">
        <v>148.66999999999999</v>
      </c>
      <c r="L1581" s="12">
        <v>14867</v>
      </c>
      <c r="M1581" s="12">
        <v>0</v>
      </c>
      <c r="N1581" s="12">
        <v>0</v>
      </c>
      <c r="O1581" s="12">
        <v>1932.7098450000001</v>
      </c>
      <c r="P1581" s="12">
        <v>16799.709845000001</v>
      </c>
    </row>
    <row r="1582" spans="1:16" ht="14.5" x14ac:dyDescent="0.25">
      <c r="A1582" s="10">
        <v>45991</v>
      </c>
      <c r="B1582" s="2" t="str">
        <f t="shared" si="50"/>
        <v>Nov-2025</v>
      </c>
      <c r="C1582" s="2" t="str">
        <f t="shared" si="51"/>
        <v>Q3</v>
      </c>
      <c r="D1582" s="2" t="s">
        <v>28</v>
      </c>
      <c r="E1582" s="11" t="s">
        <v>347</v>
      </c>
      <c r="F1582" s="11" t="s">
        <v>151</v>
      </c>
      <c r="G1582" s="11" t="s">
        <v>503</v>
      </c>
      <c r="H1582" s="11" t="s">
        <v>170</v>
      </c>
      <c r="I1582" s="12">
        <v>1</v>
      </c>
      <c r="J1582" s="12">
        <v>80</v>
      </c>
      <c r="K1582" s="12">
        <v>154.87</v>
      </c>
      <c r="L1582" s="12">
        <v>12389.6</v>
      </c>
      <c r="M1582" s="12">
        <v>0</v>
      </c>
      <c r="N1582" s="12">
        <v>0</v>
      </c>
      <c r="O1582" s="12">
        <v>1610.6478699999998</v>
      </c>
      <c r="P1582" s="12">
        <v>14000.247869999999</v>
      </c>
    </row>
    <row r="1583" spans="1:16" ht="14.5" x14ac:dyDescent="0.25">
      <c r="A1583" s="10">
        <v>45991</v>
      </c>
      <c r="B1583" s="2" t="str">
        <f t="shared" si="50"/>
        <v>Nov-2025</v>
      </c>
      <c r="C1583" s="2" t="str">
        <f t="shared" si="51"/>
        <v>Q3</v>
      </c>
      <c r="D1583" s="2" t="s">
        <v>28</v>
      </c>
      <c r="E1583" s="11" t="s">
        <v>347</v>
      </c>
      <c r="F1583" s="11" t="s">
        <v>151</v>
      </c>
      <c r="G1583" s="11" t="s">
        <v>505</v>
      </c>
      <c r="H1583" s="11" t="s">
        <v>56</v>
      </c>
      <c r="I1583" s="12">
        <v>1</v>
      </c>
      <c r="J1583" s="12">
        <v>120</v>
      </c>
      <c r="K1583" s="12">
        <v>46.46</v>
      </c>
      <c r="L1583" s="12">
        <v>5575.2</v>
      </c>
      <c r="M1583" s="12">
        <v>0</v>
      </c>
      <c r="N1583" s="12">
        <v>0</v>
      </c>
      <c r="O1583" s="12">
        <v>724.77594199999999</v>
      </c>
      <c r="P1583" s="12">
        <v>6299.975942</v>
      </c>
    </row>
    <row r="1584" spans="1:16" ht="14.5" x14ac:dyDescent="0.25">
      <c r="A1584" s="10">
        <v>45991</v>
      </c>
      <c r="B1584" s="2" t="str">
        <f t="shared" si="50"/>
        <v>Nov-2025</v>
      </c>
      <c r="C1584" s="2" t="str">
        <f t="shared" si="51"/>
        <v>Q3</v>
      </c>
      <c r="D1584" s="2" t="s">
        <v>28</v>
      </c>
      <c r="E1584" s="11" t="s">
        <v>347</v>
      </c>
      <c r="F1584" s="11" t="s">
        <v>151</v>
      </c>
      <c r="G1584" s="11" t="s">
        <v>504</v>
      </c>
      <c r="H1584" s="11" t="s">
        <v>66</v>
      </c>
      <c r="I1584" s="12">
        <v>1</v>
      </c>
      <c r="J1584" s="12">
        <v>100</v>
      </c>
      <c r="K1584" s="12">
        <v>99.12</v>
      </c>
      <c r="L1584" s="12">
        <v>9912</v>
      </c>
      <c r="M1584" s="12">
        <v>0</v>
      </c>
      <c r="N1584" s="12">
        <v>0</v>
      </c>
      <c r="O1584" s="12">
        <v>1288.559896</v>
      </c>
      <c r="P1584" s="12">
        <v>11200.559896000001</v>
      </c>
    </row>
    <row r="1585" spans="1:16" ht="14.5" x14ac:dyDescent="0.25">
      <c r="A1585" s="10">
        <v>45991</v>
      </c>
      <c r="B1585" s="2" t="str">
        <f t="shared" si="50"/>
        <v>Nov-2025</v>
      </c>
      <c r="C1585" s="2" t="str">
        <f t="shared" si="51"/>
        <v>Q3</v>
      </c>
      <c r="D1585" s="2" t="s">
        <v>28</v>
      </c>
      <c r="E1585" s="11" t="s">
        <v>347</v>
      </c>
      <c r="F1585" s="11" t="s">
        <v>151</v>
      </c>
      <c r="G1585" s="11" t="s">
        <v>504</v>
      </c>
      <c r="H1585" s="11" t="s">
        <v>68</v>
      </c>
      <c r="I1585" s="12">
        <v>1</v>
      </c>
      <c r="J1585" s="12">
        <v>40</v>
      </c>
      <c r="K1585" s="12">
        <v>238.5</v>
      </c>
      <c r="L1585" s="12">
        <v>9539.9999999999982</v>
      </c>
      <c r="M1585" s="12">
        <v>0</v>
      </c>
      <c r="N1585" s="12">
        <v>0</v>
      </c>
      <c r="O1585" s="12">
        <v>1240.1998999999998</v>
      </c>
      <c r="P1585" s="12">
        <v>10780.1999</v>
      </c>
    </row>
    <row r="1586" spans="1:16" ht="14.5" x14ac:dyDescent="0.25">
      <c r="A1586" s="10">
        <v>45991</v>
      </c>
      <c r="B1586" s="2" t="str">
        <f t="shared" si="50"/>
        <v>Nov-2025</v>
      </c>
      <c r="C1586" s="2" t="str">
        <f t="shared" si="51"/>
        <v>Q3</v>
      </c>
      <c r="D1586" s="2" t="s">
        <v>28</v>
      </c>
      <c r="E1586" s="11" t="s">
        <v>347</v>
      </c>
      <c r="F1586" s="11" t="s">
        <v>151</v>
      </c>
      <c r="G1586" s="11" t="s">
        <v>504</v>
      </c>
      <c r="H1586" s="11" t="s">
        <v>67</v>
      </c>
      <c r="I1586" s="12">
        <v>1</v>
      </c>
      <c r="J1586" s="12">
        <v>40</v>
      </c>
      <c r="K1586" s="12">
        <v>360.53</v>
      </c>
      <c r="L1586" s="12">
        <v>14421.199999999999</v>
      </c>
      <c r="M1586" s="12">
        <v>0</v>
      </c>
      <c r="N1586" s="12">
        <v>0</v>
      </c>
      <c r="O1586" s="12">
        <v>1874.7558489999999</v>
      </c>
      <c r="P1586" s="12">
        <v>16295.955849</v>
      </c>
    </row>
    <row r="1587" spans="1:16" ht="14.5" x14ac:dyDescent="0.25">
      <c r="A1587" s="10">
        <v>45991</v>
      </c>
      <c r="B1587" s="2" t="str">
        <f t="shared" si="50"/>
        <v>Nov-2025</v>
      </c>
      <c r="C1587" s="2" t="str">
        <f t="shared" si="51"/>
        <v>Q3</v>
      </c>
      <c r="D1587" s="2" t="s">
        <v>28</v>
      </c>
      <c r="E1587" s="11" t="s">
        <v>348</v>
      </c>
      <c r="F1587" s="11" t="s">
        <v>151</v>
      </c>
      <c r="G1587" s="11" t="s">
        <v>504</v>
      </c>
      <c r="H1587" s="11" t="s">
        <v>53</v>
      </c>
      <c r="I1587" s="12">
        <v>1</v>
      </c>
      <c r="J1587" s="12">
        <v>100</v>
      </c>
      <c r="K1587" s="12">
        <v>126</v>
      </c>
      <c r="L1587" s="12">
        <v>12600</v>
      </c>
      <c r="M1587" s="12" t="s">
        <v>113</v>
      </c>
      <c r="N1587" s="12" t="s">
        <v>113</v>
      </c>
      <c r="O1587" s="12" t="s">
        <v>113</v>
      </c>
      <c r="P1587" s="12">
        <v>12600</v>
      </c>
    </row>
    <row r="1588" spans="1:16" ht="14.5" x14ac:dyDescent="0.25">
      <c r="A1588" s="10">
        <v>45991</v>
      </c>
      <c r="B1588" s="2" t="str">
        <f t="shared" si="50"/>
        <v>Nov-2025</v>
      </c>
      <c r="C1588" s="2" t="str">
        <f t="shared" si="51"/>
        <v>Q3</v>
      </c>
      <c r="D1588" s="2" t="s">
        <v>28</v>
      </c>
      <c r="E1588" s="11" t="s">
        <v>348</v>
      </c>
      <c r="F1588" s="11" t="s">
        <v>151</v>
      </c>
      <c r="G1588" s="11" t="s">
        <v>504</v>
      </c>
      <c r="H1588" s="11" t="s">
        <v>61</v>
      </c>
      <c r="I1588" s="12">
        <v>1</v>
      </c>
      <c r="J1588" s="12">
        <v>40</v>
      </c>
      <c r="K1588" s="12">
        <v>308</v>
      </c>
      <c r="L1588" s="12">
        <v>12320</v>
      </c>
      <c r="M1588" s="12" t="s">
        <v>113</v>
      </c>
      <c r="N1588" s="12" t="s">
        <v>113</v>
      </c>
      <c r="O1588" s="12" t="s">
        <v>113</v>
      </c>
      <c r="P1588" s="12">
        <v>12320</v>
      </c>
    </row>
    <row r="1589" spans="1:16" ht="14.5" x14ac:dyDescent="0.25">
      <c r="A1589" s="10">
        <v>45991</v>
      </c>
      <c r="B1589" s="2" t="str">
        <f t="shared" si="50"/>
        <v>Nov-2025</v>
      </c>
      <c r="C1589" s="2" t="str">
        <f t="shared" si="51"/>
        <v>Q3</v>
      </c>
      <c r="D1589" s="2" t="s">
        <v>28</v>
      </c>
      <c r="E1589" s="11" t="s">
        <v>349</v>
      </c>
      <c r="F1589" s="11" t="s">
        <v>151</v>
      </c>
      <c r="G1589" s="11" t="s">
        <v>504</v>
      </c>
      <c r="H1589" s="11" t="s">
        <v>53</v>
      </c>
      <c r="I1589" s="12">
        <v>1</v>
      </c>
      <c r="J1589" s="12">
        <v>100</v>
      </c>
      <c r="K1589" s="12">
        <v>126</v>
      </c>
      <c r="L1589" s="12">
        <v>12600</v>
      </c>
      <c r="M1589" s="12" t="s">
        <v>113</v>
      </c>
      <c r="N1589" s="12" t="s">
        <v>113</v>
      </c>
      <c r="O1589" s="12" t="s">
        <v>113</v>
      </c>
      <c r="P1589" s="12">
        <v>12600</v>
      </c>
    </row>
    <row r="1590" spans="1:16" ht="14.5" x14ac:dyDescent="0.25">
      <c r="A1590" s="10">
        <v>45991</v>
      </c>
      <c r="B1590" s="2" t="str">
        <f t="shared" si="50"/>
        <v>Nov-2025</v>
      </c>
      <c r="C1590" s="2" t="str">
        <f t="shared" si="51"/>
        <v>Q3</v>
      </c>
      <c r="D1590" s="2" t="s">
        <v>28</v>
      </c>
      <c r="E1590" s="11" t="s">
        <v>349</v>
      </c>
      <c r="F1590" s="11" t="s">
        <v>151</v>
      </c>
      <c r="G1590" s="11" t="s">
        <v>504</v>
      </c>
      <c r="H1590" s="11" t="s">
        <v>61</v>
      </c>
      <c r="I1590" s="12">
        <v>1</v>
      </c>
      <c r="J1590" s="12">
        <v>40</v>
      </c>
      <c r="K1590" s="12">
        <v>308</v>
      </c>
      <c r="L1590" s="12">
        <v>12320</v>
      </c>
      <c r="M1590" s="12" t="s">
        <v>113</v>
      </c>
      <c r="N1590" s="12" t="s">
        <v>113</v>
      </c>
      <c r="O1590" s="12" t="s">
        <v>113</v>
      </c>
      <c r="P1590" s="12">
        <v>12320</v>
      </c>
    </row>
    <row r="1591" spans="1:16" ht="14.5" x14ac:dyDescent="0.25">
      <c r="A1591" s="10">
        <v>45992</v>
      </c>
      <c r="B1591" s="2" t="str">
        <f t="shared" si="50"/>
        <v>Dec-2025</v>
      </c>
      <c r="C1591" s="2" t="str">
        <f t="shared" si="51"/>
        <v>Q3</v>
      </c>
      <c r="D1591" s="2" t="s">
        <v>28</v>
      </c>
      <c r="E1591" s="11" t="s">
        <v>350</v>
      </c>
      <c r="F1591" s="11" t="s">
        <v>151</v>
      </c>
      <c r="G1591" s="11" t="s">
        <v>506</v>
      </c>
      <c r="H1591" s="11" t="s">
        <v>351</v>
      </c>
      <c r="I1591" s="12">
        <v>1</v>
      </c>
      <c r="J1591" s="12">
        <v>72</v>
      </c>
      <c r="K1591" s="12">
        <v>164.16</v>
      </c>
      <c r="L1591" s="12">
        <v>11819.52</v>
      </c>
      <c r="M1591" s="12">
        <v>0</v>
      </c>
      <c r="N1591" s="12">
        <v>0</v>
      </c>
      <c r="O1591" s="12">
        <v>1536.5400000000002</v>
      </c>
      <c r="P1591" s="12">
        <v>13356.06</v>
      </c>
    </row>
    <row r="1592" spans="1:16" ht="14.5" x14ac:dyDescent="0.25">
      <c r="A1592" s="10">
        <v>45992</v>
      </c>
      <c r="B1592" s="2" t="str">
        <f t="shared" si="50"/>
        <v>Dec-2025</v>
      </c>
      <c r="C1592" s="2" t="str">
        <f t="shared" si="51"/>
        <v>Q3</v>
      </c>
      <c r="D1592" s="2" t="s">
        <v>28</v>
      </c>
      <c r="E1592" s="11" t="s">
        <v>352</v>
      </c>
      <c r="F1592" s="11" t="s">
        <v>151</v>
      </c>
      <c r="G1592" s="11" t="s">
        <v>506</v>
      </c>
      <c r="H1592" s="11" t="s">
        <v>351</v>
      </c>
      <c r="I1592" s="12">
        <v>1</v>
      </c>
      <c r="J1592" s="12">
        <v>72</v>
      </c>
      <c r="K1592" s="12">
        <v>164.16</v>
      </c>
      <c r="L1592" s="12">
        <v>11819.52</v>
      </c>
      <c r="M1592" s="12">
        <v>0</v>
      </c>
      <c r="N1592" s="12">
        <v>0</v>
      </c>
      <c r="O1592" s="12">
        <v>1536.5400000000002</v>
      </c>
      <c r="P1592" s="12">
        <v>13356.06</v>
      </c>
    </row>
    <row r="1593" spans="1:16" ht="14.5" x14ac:dyDescent="0.25">
      <c r="A1593" s="10">
        <v>45992</v>
      </c>
      <c r="B1593" s="2" t="str">
        <f t="shared" si="50"/>
        <v>Dec-2025</v>
      </c>
      <c r="C1593" s="2" t="str">
        <f t="shared" si="51"/>
        <v>Q3</v>
      </c>
      <c r="D1593" s="2" t="s">
        <v>28</v>
      </c>
      <c r="E1593" s="11" t="s">
        <v>353</v>
      </c>
      <c r="F1593" s="11" t="s">
        <v>151</v>
      </c>
      <c r="G1593" s="11" t="s">
        <v>506</v>
      </c>
      <c r="H1593" s="11" t="s">
        <v>351</v>
      </c>
      <c r="I1593" s="12">
        <v>1</v>
      </c>
      <c r="J1593" s="12">
        <v>72</v>
      </c>
      <c r="K1593" s="12">
        <v>164.16</v>
      </c>
      <c r="L1593" s="12">
        <v>11819.52</v>
      </c>
      <c r="M1593" s="12">
        <v>0</v>
      </c>
      <c r="N1593" s="12">
        <v>0</v>
      </c>
      <c r="O1593" s="12">
        <v>1536.5400000000002</v>
      </c>
      <c r="P1593" s="12">
        <v>13356.06</v>
      </c>
    </row>
    <row r="1594" spans="1:16" ht="14.5" x14ac:dyDescent="0.25">
      <c r="A1594" s="10">
        <v>45992</v>
      </c>
      <c r="B1594" s="2" t="str">
        <f t="shared" si="50"/>
        <v>Dec-2025</v>
      </c>
      <c r="C1594" s="2" t="str">
        <f t="shared" si="51"/>
        <v>Q3</v>
      </c>
      <c r="D1594" s="2" t="s">
        <v>28</v>
      </c>
      <c r="E1594" s="11" t="s">
        <v>354</v>
      </c>
      <c r="F1594" s="11" t="s">
        <v>151</v>
      </c>
      <c r="G1594" s="11" t="s">
        <v>506</v>
      </c>
      <c r="H1594" s="11" t="s">
        <v>351</v>
      </c>
      <c r="I1594" s="12">
        <v>1</v>
      </c>
      <c r="J1594" s="12">
        <v>72</v>
      </c>
      <c r="K1594" s="12">
        <v>164.16</v>
      </c>
      <c r="L1594" s="12">
        <v>11819.52</v>
      </c>
      <c r="M1594" s="12">
        <v>0</v>
      </c>
      <c r="N1594" s="12">
        <v>0</v>
      </c>
      <c r="O1594" s="12">
        <v>1536.5400000000002</v>
      </c>
      <c r="P1594" s="12">
        <v>13356.06</v>
      </c>
    </row>
    <row r="1595" spans="1:16" ht="14.5" x14ac:dyDescent="0.25">
      <c r="A1595" s="10">
        <v>45992</v>
      </c>
      <c r="B1595" s="2" t="str">
        <f t="shared" si="50"/>
        <v>Dec-2025</v>
      </c>
      <c r="C1595" s="2" t="str">
        <f t="shared" si="51"/>
        <v>Q3</v>
      </c>
      <c r="D1595" s="2" t="s">
        <v>28</v>
      </c>
      <c r="E1595" s="11" t="s">
        <v>355</v>
      </c>
      <c r="F1595" s="11" t="s">
        <v>151</v>
      </c>
      <c r="G1595" s="11" t="s">
        <v>506</v>
      </c>
      <c r="H1595" s="11" t="s">
        <v>351</v>
      </c>
      <c r="I1595" s="12">
        <v>0.57999999999999996</v>
      </c>
      <c r="J1595" s="12">
        <v>42</v>
      </c>
      <c r="K1595" s="12">
        <v>164.16</v>
      </c>
      <c r="L1595" s="12">
        <v>6894.72</v>
      </c>
      <c r="M1595" s="12">
        <v>0</v>
      </c>
      <c r="N1595" s="12">
        <v>0</v>
      </c>
      <c r="O1595" s="12">
        <v>896.31000000000006</v>
      </c>
      <c r="P1595" s="12">
        <v>7791.03</v>
      </c>
    </row>
    <row r="1596" spans="1:16" ht="14.5" x14ac:dyDescent="0.25">
      <c r="A1596" s="10">
        <v>45992</v>
      </c>
      <c r="B1596" s="2" t="str">
        <f t="shared" si="50"/>
        <v>Dec-2025</v>
      </c>
      <c r="C1596" s="2" t="str">
        <f t="shared" si="51"/>
        <v>Q3</v>
      </c>
      <c r="D1596" s="2" t="s">
        <v>28</v>
      </c>
      <c r="E1596" s="11" t="s">
        <v>356</v>
      </c>
      <c r="F1596" s="11" t="s">
        <v>151</v>
      </c>
      <c r="G1596" s="11" t="s">
        <v>506</v>
      </c>
      <c r="H1596" s="11" t="s">
        <v>351</v>
      </c>
      <c r="I1596" s="12">
        <v>0.5</v>
      </c>
      <c r="J1596" s="12">
        <v>36</v>
      </c>
      <c r="K1596" s="12">
        <v>164.16</v>
      </c>
      <c r="L1596" s="12">
        <v>5909.76</v>
      </c>
      <c r="M1596" s="12">
        <v>0</v>
      </c>
      <c r="N1596" s="12">
        <v>0</v>
      </c>
      <c r="O1596" s="12">
        <v>768.2700000000001</v>
      </c>
      <c r="P1596" s="12">
        <v>6678.03</v>
      </c>
    </row>
    <row r="1597" spans="1:16" ht="14.5" x14ac:dyDescent="0.25">
      <c r="A1597" s="10">
        <v>45992</v>
      </c>
      <c r="B1597" s="2" t="str">
        <f t="shared" si="50"/>
        <v>Dec-2025</v>
      </c>
      <c r="C1597" s="2" t="str">
        <f t="shared" si="51"/>
        <v>Q3</v>
      </c>
      <c r="D1597" s="2" t="s">
        <v>28</v>
      </c>
      <c r="E1597" s="11" t="s">
        <v>357</v>
      </c>
      <c r="F1597" s="11" t="s">
        <v>151</v>
      </c>
      <c r="G1597" s="11" t="s">
        <v>506</v>
      </c>
      <c r="H1597" s="11" t="s">
        <v>351</v>
      </c>
      <c r="I1597" s="12">
        <v>0.5</v>
      </c>
      <c r="J1597" s="12">
        <v>36</v>
      </c>
      <c r="K1597" s="12">
        <v>164.16</v>
      </c>
      <c r="L1597" s="12">
        <v>5909.76</v>
      </c>
      <c r="M1597" s="12">
        <v>0</v>
      </c>
      <c r="N1597" s="12">
        <v>0</v>
      </c>
      <c r="O1597" s="12">
        <v>768.2700000000001</v>
      </c>
      <c r="P1597" s="12">
        <v>6678.03</v>
      </c>
    </row>
    <row r="1598" spans="1:16" ht="14.5" x14ac:dyDescent="0.25">
      <c r="A1598" s="10">
        <v>45992</v>
      </c>
      <c r="B1598" s="2" t="str">
        <f t="shared" si="50"/>
        <v>Dec-2025</v>
      </c>
      <c r="C1598" s="2" t="str">
        <f t="shared" si="51"/>
        <v>Q3</v>
      </c>
      <c r="D1598" s="2" t="s">
        <v>28</v>
      </c>
      <c r="E1598" s="11" t="s">
        <v>358</v>
      </c>
      <c r="F1598" s="11" t="s">
        <v>151</v>
      </c>
      <c r="G1598" s="11" t="s">
        <v>506</v>
      </c>
      <c r="H1598" s="11" t="s">
        <v>351</v>
      </c>
      <c r="I1598" s="12">
        <v>0.25</v>
      </c>
      <c r="J1598" s="12">
        <v>18</v>
      </c>
      <c r="K1598" s="12">
        <v>164.16</v>
      </c>
      <c r="L1598" s="12">
        <v>2954.88</v>
      </c>
      <c r="M1598" s="12">
        <v>0</v>
      </c>
      <c r="N1598" s="12">
        <v>0</v>
      </c>
      <c r="O1598" s="12">
        <v>384.13</v>
      </c>
      <c r="P1598" s="12">
        <v>3339.01</v>
      </c>
    </row>
    <row r="1599" spans="1:16" ht="14.5" x14ac:dyDescent="0.25">
      <c r="A1599" s="10">
        <v>45992</v>
      </c>
      <c r="B1599" s="2" t="str">
        <f t="shared" si="50"/>
        <v>Dec-2025</v>
      </c>
      <c r="C1599" s="2" t="str">
        <f t="shared" si="51"/>
        <v>Q3</v>
      </c>
      <c r="D1599" s="2" t="s">
        <v>28</v>
      </c>
      <c r="E1599" s="11" t="s">
        <v>359</v>
      </c>
      <c r="F1599" s="11" t="s">
        <v>151</v>
      </c>
      <c r="G1599" s="11" t="s">
        <v>506</v>
      </c>
      <c r="H1599" s="11" t="s">
        <v>351</v>
      </c>
      <c r="I1599" s="12">
        <v>0.25</v>
      </c>
      <c r="J1599" s="12">
        <v>18</v>
      </c>
      <c r="K1599" s="12">
        <v>164.16</v>
      </c>
      <c r="L1599" s="12">
        <v>2954.88</v>
      </c>
      <c r="M1599" s="12">
        <v>0</v>
      </c>
      <c r="N1599" s="12">
        <v>0</v>
      </c>
      <c r="O1599" s="12">
        <v>384.13</v>
      </c>
      <c r="P1599" s="12">
        <v>3339.01</v>
      </c>
    </row>
    <row r="1600" spans="1:16" ht="14.5" x14ac:dyDescent="0.25">
      <c r="A1600" s="10">
        <v>45995</v>
      </c>
      <c r="B1600" s="2" t="str">
        <f t="shared" si="50"/>
        <v>Dec-2025</v>
      </c>
      <c r="C1600" s="2" t="str">
        <f t="shared" si="51"/>
        <v>Q3</v>
      </c>
      <c r="D1600" s="2" t="s">
        <v>28</v>
      </c>
      <c r="E1600" s="11" t="s">
        <v>360</v>
      </c>
      <c r="F1600" s="11" t="s">
        <v>95</v>
      </c>
      <c r="G1600" s="11" t="s">
        <v>505</v>
      </c>
      <c r="H1600" s="11" t="s">
        <v>56</v>
      </c>
      <c r="I1600" s="12">
        <v>1.0900000000000001</v>
      </c>
      <c r="J1600" s="12">
        <v>130</v>
      </c>
      <c r="K1600" s="12">
        <v>50.7</v>
      </c>
      <c r="L1600" s="12">
        <v>6591</v>
      </c>
      <c r="M1600" s="12">
        <v>-599.12</v>
      </c>
      <c r="N1600" s="12">
        <v>0</v>
      </c>
      <c r="O1600" s="12">
        <v>778.94427800000005</v>
      </c>
      <c r="P1600" s="12">
        <v>6770.824278</v>
      </c>
    </row>
    <row r="1601" spans="1:16" ht="14.5" x14ac:dyDescent="0.25">
      <c r="A1601" s="10">
        <v>45995</v>
      </c>
      <c r="B1601" s="2" t="str">
        <f t="shared" si="50"/>
        <v>Dec-2025</v>
      </c>
      <c r="C1601" s="2" t="str">
        <f t="shared" si="51"/>
        <v>Q3</v>
      </c>
      <c r="D1601" s="2" t="s">
        <v>28</v>
      </c>
      <c r="E1601" s="11" t="s">
        <v>360</v>
      </c>
      <c r="F1601" s="11" t="s">
        <v>95</v>
      </c>
      <c r="G1601" s="11" t="s">
        <v>505</v>
      </c>
      <c r="H1601" s="11" t="s">
        <v>49</v>
      </c>
      <c r="I1601" s="12">
        <v>1</v>
      </c>
      <c r="J1601" s="12">
        <v>180</v>
      </c>
      <c r="K1601" s="12">
        <v>182.53</v>
      </c>
      <c r="L1601" s="12">
        <v>32855.4</v>
      </c>
      <c r="M1601" s="12">
        <v>-2986.56</v>
      </c>
      <c r="N1601" s="12">
        <v>0</v>
      </c>
      <c r="O1601" s="12">
        <v>3882.9485900000004</v>
      </c>
      <c r="P1601" s="12">
        <v>33751.788589999996</v>
      </c>
    </row>
    <row r="1602" spans="1:16" ht="14.5" x14ac:dyDescent="0.25">
      <c r="A1602" s="10">
        <v>45995</v>
      </c>
      <c r="B1602" s="2" t="str">
        <f t="shared" si="50"/>
        <v>Dec-2025</v>
      </c>
      <c r="C1602" s="2" t="str">
        <f t="shared" si="51"/>
        <v>Q3</v>
      </c>
      <c r="D1602" s="2" t="s">
        <v>28</v>
      </c>
      <c r="E1602" s="11" t="s">
        <v>360</v>
      </c>
      <c r="F1602" s="11" t="s">
        <v>95</v>
      </c>
      <c r="G1602" s="11" t="s">
        <v>503</v>
      </c>
      <c r="H1602" s="11" t="s">
        <v>87</v>
      </c>
      <c r="I1602" s="12">
        <v>2</v>
      </c>
      <c r="J1602" s="12">
        <v>360</v>
      </c>
      <c r="K1602" s="12">
        <v>114.93</v>
      </c>
      <c r="L1602" s="12">
        <v>41374.800000000003</v>
      </c>
      <c r="M1602" s="12">
        <v>-3760.97</v>
      </c>
      <c r="N1602" s="12">
        <v>0</v>
      </c>
      <c r="O1602" s="12">
        <v>4889.7971320000006</v>
      </c>
      <c r="P1602" s="12">
        <v>42503.627132000001</v>
      </c>
    </row>
    <row r="1603" spans="1:16" ht="14.5" x14ac:dyDescent="0.25">
      <c r="A1603" s="10">
        <v>45996</v>
      </c>
      <c r="B1603" s="2" t="str">
        <f t="shared" si="50"/>
        <v>Dec-2025</v>
      </c>
      <c r="C1603" s="2" t="str">
        <f t="shared" si="51"/>
        <v>Q3</v>
      </c>
      <c r="D1603" s="2" t="s">
        <v>28</v>
      </c>
      <c r="E1603" s="11" t="s">
        <v>361</v>
      </c>
      <c r="F1603" s="11" t="s">
        <v>337</v>
      </c>
      <c r="G1603" s="11" t="s">
        <v>509</v>
      </c>
      <c r="H1603" s="11" t="s">
        <v>283</v>
      </c>
      <c r="I1603" s="12">
        <v>1</v>
      </c>
      <c r="J1603" s="12">
        <v>120</v>
      </c>
      <c r="K1603" s="12">
        <v>250.14</v>
      </c>
      <c r="L1603" s="12">
        <v>30016.799999999999</v>
      </c>
      <c r="M1603" s="12">
        <v>-2728.53</v>
      </c>
      <c r="N1603" s="12">
        <v>0</v>
      </c>
      <c r="O1603" s="12">
        <v>3547.4800000000005</v>
      </c>
      <c r="P1603" s="12">
        <v>30835.75</v>
      </c>
    </row>
    <row r="1604" spans="1:16" ht="14.5" x14ac:dyDescent="0.25">
      <c r="A1604" s="10">
        <v>45996</v>
      </c>
      <c r="B1604" s="2" t="str">
        <f t="shared" si="50"/>
        <v>Dec-2025</v>
      </c>
      <c r="C1604" s="2" t="str">
        <f t="shared" si="51"/>
        <v>Q3</v>
      </c>
      <c r="D1604" s="2" t="s">
        <v>28</v>
      </c>
      <c r="E1604" s="11" t="s">
        <v>362</v>
      </c>
      <c r="F1604" s="11" t="s">
        <v>260</v>
      </c>
      <c r="G1604" s="11" t="s">
        <v>505</v>
      </c>
      <c r="H1604" s="11" t="s">
        <v>40</v>
      </c>
      <c r="I1604" s="12">
        <v>-1</v>
      </c>
      <c r="J1604" s="12">
        <v>-180</v>
      </c>
      <c r="K1604" s="12">
        <v>94.65</v>
      </c>
      <c r="L1604" s="12">
        <v>-17037</v>
      </c>
      <c r="M1604" s="12">
        <v>1548.6599999999999</v>
      </c>
      <c r="N1604" s="12">
        <v>0</v>
      </c>
      <c r="O1604" s="12">
        <v>-2013.4845</v>
      </c>
      <c r="P1604" s="12">
        <v>-17501.824499999999</v>
      </c>
    </row>
    <row r="1605" spans="1:16" ht="14.5" x14ac:dyDescent="0.25">
      <c r="A1605" s="10">
        <v>45996</v>
      </c>
      <c r="B1605" s="2" t="str">
        <f t="shared" si="50"/>
        <v>Dec-2025</v>
      </c>
      <c r="C1605" s="2" t="str">
        <f t="shared" si="51"/>
        <v>Q3</v>
      </c>
      <c r="D1605" s="2" t="s">
        <v>28</v>
      </c>
      <c r="E1605" s="11" t="s">
        <v>362</v>
      </c>
      <c r="F1605" s="11" t="s">
        <v>260</v>
      </c>
      <c r="G1605" s="11" t="s">
        <v>505</v>
      </c>
      <c r="H1605" s="11" t="s">
        <v>56</v>
      </c>
      <c r="I1605" s="12">
        <v>-1</v>
      </c>
      <c r="J1605" s="12">
        <v>-120</v>
      </c>
      <c r="K1605" s="12">
        <v>50.7</v>
      </c>
      <c r="L1605" s="12">
        <v>-6084</v>
      </c>
      <c r="M1605" s="12">
        <v>553.04</v>
      </c>
      <c r="N1605" s="12">
        <v>0</v>
      </c>
      <c r="O1605" s="12">
        <v>-719.02490699999998</v>
      </c>
      <c r="P1605" s="12">
        <v>-6249.984907</v>
      </c>
    </row>
    <row r="1606" spans="1:16" ht="14.5" x14ac:dyDescent="0.25">
      <c r="A1606" s="10">
        <v>45996</v>
      </c>
      <c r="B1606" s="2" t="str">
        <f t="shared" si="50"/>
        <v>Dec-2025</v>
      </c>
      <c r="C1606" s="2" t="str">
        <f t="shared" si="51"/>
        <v>Q3</v>
      </c>
      <c r="D1606" s="2" t="s">
        <v>28</v>
      </c>
      <c r="E1606" s="11" t="s">
        <v>362</v>
      </c>
      <c r="F1606" s="11" t="s">
        <v>260</v>
      </c>
      <c r="G1606" s="11" t="s">
        <v>503</v>
      </c>
      <c r="H1606" s="11" t="s">
        <v>46</v>
      </c>
      <c r="I1606" s="12">
        <v>-0.6</v>
      </c>
      <c r="J1606" s="12">
        <v>-72</v>
      </c>
      <c r="K1606" s="12">
        <v>131.83000000000001</v>
      </c>
      <c r="L1606" s="12">
        <v>-9491.76</v>
      </c>
      <c r="M1606" s="12">
        <v>862.8</v>
      </c>
      <c r="N1606" s="12">
        <v>0</v>
      </c>
      <c r="O1606" s="12">
        <v>-1121.7649670000001</v>
      </c>
      <c r="P1606" s="12">
        <v>-9750.7249670000001</v>
      </c>
    </row>
    <row r="1607" spans="1:16" ht="14.5" x14ac:dyDescent="0.25">
      <c r="A1607" s="10">
        <v>45996</v>
      </c>
      <c r="B1607" s="2" t="str">
        <f t="shared" si="50"/>
        <v>Dec-2025</v>
      </c>
      <c r="C1607" s="2" t="str">
        <f t="shared" si="51"/>
        <v>Q3</v>
      </c>
      <c r="D1607" s="2" t="s">
        <v>28</v>
      </c>
      <c r="E1607" s="11" t="s">
        <v>362</v>
      </c>
      <c r="F1607" s="11" t="s">
        <v>260</v>
      </c>
      <c r="G1607" s="11" t="s">
        <v>503</v>
      </c>
      <c r="H1607" s="11" t="s">
        <v>59</v>
      </c>
      <c r="I1607" s="12">
        <v>-1</v>
      </c>
      <c r="J1607" s="12">
        <v>-180</v>
      </c>
      <c r="K1607" s="12">
        <v>64.23</v>
      </c>
      <c r="L1607" s="12">
        <v>-11561.4</v>
      </c>
      <c r="M1607" s="12">
        <v>1050.9299999999998</v>
      </c>
      <c r="N1607" s="12">
        <v>0</v>
      </c>
      <c r="O1607" s="12">
        <v>-1366.3613029999999</v>
      </c>
      <c r="P1607" s="12">
        <v>-11876.831303000001</v>
      </c>
    </row>
    <row r="1608" spans="1:16" ht="14.5" x14ac:dyDescent="0.25">
      <c r="A1608" s="10">
        <v>45996</v>
      </c>
      <c r="B1608" s="2" t="str">
        <f t="shared" si="50"/>
        <v>Dec-2025</v>
      </c>
      <c r="C1608" s="2" t="str">
        <f t="shared" si="51"/>
        <v>Q3</v>
      </c>
      <c r="D1608" s="2" t="s">
        <v>28</v>
      </c>
      <c r="E1608" s="11" t="s">
        <v>362</v>
      </c>
      <c r="F1608" s="11" t="s">
        <v>260</v>
      </c>
      <c r="G1608" s="11" t="s">
        <v>503</v>
      </c>
      <c r="H1608" s="11" t="s">
        <v>45</v>
      </c>
      <c r="I1608" s="12">
        <v>-1</v>
      </c>
      <c r="J1608" s="12">
        <v>-180</v>
      </c>
      <c r="K1608" s="12">
        <v>64.23</v>
      </c>
      <c r="L1608" s="12">
        <v>-11561.4</v>
      </c>
      <c r="M1608" s="12">
        <v>1050.9299999999998</v>
      </c>
      <c r="N1608" s="12">
        <v>0</v>
      </c>
      <c r="O1608" s="12">
        <v>-1366.3613029999999</v>
      </c>
      <c r="P1608" s="12">
        <v>-11876.831303000001</v>
      </c>
    </row>
    <row r="1609" spans="1:16" ht="14.5" x14ac:dyDescent="0.25">
      <c r="A1609" s="10">
        <v>45996</v>
      </c>
      <c r="B1609" s="2" t="str">
        <f t="shared" si="50"/>
        <v>Dec-2025</v>
      </c>
      <c r="C1609" s="2" t="str">
        <f t="shared" si="51"/>
        <v>Q3</v>
      </c>
      <c r="D1609" s="2" t="s">
        <v>28</v>
      </c>
      <c r="E1609" s="11" t="s">
        <v>362</v>
      </c>
      <c r="F1609" s="11" t="s">
        <v>260</v>
      </c>
      <c r="G1609" s="11" t="s">
        <v>503</v>
      </c>
      <c r="H1609" s="11" t="s">
        <v>172</v>
      </c>
      <c r="I1609" s="12">
        <v>-1</v>
      </c>
      <c r="J1609" s="12">
        <v>-180</v>
      </c>
      <c r="K1609" s="12">
        <v>98.03</v>
      </c>
      <c r="L1609" s="12">
        <v>-17645.400000000001</v>
      </c>
      <c r="M1609" s="12">
        <v>1603.97</v>
      </c>
      <c r="N1609" s="12">
        <v>0</v>
      </c>
      <c r="O1609" s="12">
        <v>-2085.3862100000001</v>
      </c>
      <c r="P1609" s="12">
        <v>-18126.816210000001</v>
      </c>
    </row>
    <row r="1610" spans="1:16" ht="14.5" x14ac:dyDescent="0.25">
      <c r="A1610" s="10">
        <v>45996</v>
      </c>
      <c r="B1610" s="2" t="str">
        <f t="shared" si="50"/>
        <v>Dec-2025</v>
      </c>
      <c r="C1610" s="2" t="str">
        <f t="shared" si="51"/>
        <v>Q3</v>
      </c>
      <c r="D1610" s="2" t="s">
        <v>28</v>
      </c>
      <c r="E1610" s="11" t="s">
        <v>362</v>
      </c>
      <c r="F1610" s="11" t="s">
        <v>260</v>
      </c>
      <c r="G1610" s="11" t="s">
        <v>503</v>
      </c>
      <c r="H1610" s="11" t="s">
        <v>42</v>
      </c>
      <c r="I1610" s="12">
        <v>-0.47</v>
      </c>
      <c r="J1610" s="12">
        <v>-56</v>
      </c>
      <c r="K1610" s="12">
        <v>141.97</v>
      </c>
      <c r="L1610" s="12">
        <v>-7950.3200000000006</v>
      </c>
      <c r="M1610" s="12">
        <v>722.68</v>
      </c>
      <c r="N1610" s="12">
        <v>0</v>
      </c>
      <c r="O1610" s="12">
        <v>-939.59334000000001</v>
      </c>
      <c r="P1610" s="12">
        <v>-8167.2333399999998</v>
      </c>
    </row>
    <row r="1611" spans="1:16" ht="14.5" x14ac:dyDescent="0.25">
      <c r="A1611" s="10">
        <v>45996</v>
      </c>
      <c r="B1611" s="2" t="str">
        <f t="shared" si="50"/>
        <v>Dec-2025</v>
      </c>
      <c r="C1611" s="2" t="str">
        <f t="shared" si="51"/>
        <v>Q3</v>
      </c>
      <c r="D1611" s="2" t="s">
        <v>28</v>
      </c>
      <c r="E1611" s="11" t="s">
        <v>362</v>
      </c>
      <c r="F1611" s="11" t="s">
        <v>260</v>
      </c>
      <c r="G1611" s="11" t="s">
        <v>506</v>
      </c>
      <c r="H1611" s="11" t="s">
        <v>58</v>
      </c>
      <c r="I1611" s="12">
        <v>-0.75</v>
      </c>
      <c r="J1611" s="12">
        <v>-54</v>
      </c>
      <c r="K1611" s="12">
        <v>148.72999999999999</v>
      </c>
      <c r="L1611" s="12">
        <v>-8031.4199999999992</v>
      </c>
      <c r="M1611" s="12">
        <v>730.06</v>
      </c>
      <c r="N1611" s="12">
        <v>0</v>
      </c>
      <c r="O1611" s="12">
        <v>-949.17694100000006</v>
      </c>
      <c r="P1611" s="12">
        <v>-8250.5369410000003</v>
      </c>
    </row>
    <row r="1612" spans="1:16" ht="14.5" x14ac:dyDescent="0.25">
      <c r="A1612" s="10">
        <v>45996</v>
      </c>
      <c r="B1612" s="2" t="str">
        <f t="shared" si="50"/>
        <v>Dec-2025</v>
      </c>
      <c r="C1612" s="2" t="str">
        <f t="shared" si="51"/>
        <v>Q3</v>
      </c>
      <c r="D1612" s="2" t="s">
        <v>28</v>
      </c>
      <c r="E1612" s="11" t="s">
        <v>362</v>
      </c>
      <c r="F1612" s="11" t="s">
        <v>260</v>
      </c>
      <c r="G1612" s="11" t="s">
        <v>503</v>
      </c>
      <c r="H1612" s="11" t="s">
        <v>41</v>
      </c>
      <c r="I1612" s="12">
        <v>-1</v>
      </c>
      <c r="J1612" s="12">
        <v>-180</v>
      </c>
      <c r="K1612" s="12">
        <v>60.84</v>
      </c>
      <c r="L1612" s="12">
        <v>-10951.199999999999</v>
      </c>
      <c r="M1612" s="12">
        <v>995.46</v>
      </c>
      <c r="N1612" s="12">
        <v>0</v>
      </c>
      <c r="O1612" s="12">
        <v>-1294.2463929999999</v>
      </c>
      <c r="P1612" s="12">
        <v>-11249.986392999999</v>
      </c>
    </row>
    <row r="1613" spans="1:16" ht="14.5" x14ac:dyDescent="0.25">
      <c r="A1613" s="10">
        <v>45996</v>
      </c>
      <c r="B1613" s="2" t="str">
        <f t="shared" si="50"/>
        <v>Dec-2025</v>
      </c>
      <c r="C1613" s="2" t="str">
        <f t="shared" si="51"/>
        <v>Q3</v>
      </c>
      <c r="D1613" s="2" t="s">
        <v>28</v>
      </c>
      <c r="E1613" s="11" t="s">
        <v>362</v>
      </c>
      <c r="F1613" s="11" t="s">
        <v>260</v>
      </c>
      <c r="G1613" s="11" t="s">
        <v>503</v>
      </c>
      <c r="H1613" s="11" t="s">
        <v>51</v>
      </c>
      <c r="I1613" s="12">
        <v>-1</v>
      </c>
      <c r="J1613" s="12">
        <v>-180</v>
      </c>
      <c r="K1613" s="12">
        <v>64.23</v>
      </c>
      <c r="L1613" s="12">
        <v>-11561.4</v>
      </c>
      <c r="M1613" s="12">
        <v>1050.9299999999998</v>
      </c>
      <c r="N1613" s="12">
        <v>0</v>
      </c>
      <c r="O1613" s="12">
        <v>-1366.3613029999999</v>
      </c>
      <c r="P1613" s="12">
        <v>-11876.831303000001</v>
      </c>
    </row>
    <row r="1614" spans="1:16" ht="14.5" x14ac:dyDescent="0.25">
      <c r="A1614" s="10">
        <v>45996</v>
      </c>
      <c r="B1614" s="2" t="str">
        <f t="shared" si="50"/>
        <v>Dec-2025</v>
      </c>
      <c r="C1614" s="2" t="str">
        <f t="shared" si="51"/>
        <v>Q3</v>
      </c>
      <c r="D1614" s="2" t="s">
        <v>28</v>
      </c>
      <c r="E1614" s="11" t="s">
        <v>362</v>
      </c>
      <c r="F1614" s="11" t="s">
        <v>260</v>
      </c>
      <c r="G1614" s="11" t="s">
        <v>503</v>
      </c>
      <c r="H1614" s="11" t="s">
        <v>190</v>
      </c>
      <c r="I1614" s="12">
        <v>-1</v>
      </c>
      <c r="J1614" s="12">
        <v>-180</v>
      </c>
      <c r="K1614" s="12">
        <v>81.14</v>
      </c>
      <c r="L1614" s="12">
        <v>-14605.199999999999</v>
      </c>
      <c r="M1614" s="12">
        <v>1327.61</v>
      </c>
      <c r="N1614" s="12">
        <v>0</v>
      </c>
      <c r="O1614" s="12">
        <v>-1726.086957</v>
      </c>
      <c r="P1614" s="12">
        <v>-15003.676957</v>
      </c>
    </row>
    <row r="1615" spans="1:16" ht="14.5" x14ac:dyDescent="0.25">
      <c r="A1615" s="10">
        <v>45996</v>
      </c>
      <c r="B1615" s="2" t="str">
        <f t="shared" si="50"/>
        <v>Dec-2025</v>
      </c>
      <c r="C1615" s="2" t="str">
        <f t="shared" si="51"/>
        <v>Q3</v>
      </c>
      <c r="D1615" s="2" t="s">
        <v>28</v>
      </c>
      <c r="E1615" s="11" t="s">
        <v>362</v>
      </c>
      <c r="F1615" s="11" t="s">
        <v>260</v>
      </c>
      <c r="G1615" s="11" t="s">
        <v>503</v>
      </c>
      <c r="H1615" s="11" t="s">
        <v>52</v>
      </c>
      <c r="I1615" s="12">
        <v>-1</v>
      </c>
      <c r="J1615" s="12">
        <v>-180</v>
      </c>
      <c r="K1615" s="12">
        <v>70.989999999999995</v>
      </c>
      <c r="L1615" s="12">
        <v>-12778.2</v>
      </c>
      <c r="M1615" s="12">
        <v>1161.54</v>
      </c>
      <c r="N1615" s="12">
        <v>0</v>
      </c>
      <c r="O1615" s="12">
        <v>-1510.166025</v>
      </c>
      <c r="P1615" s="12">
        <v>-13126.826025</v>
      </c>
    </row>
    <row r="1616" spans="1:16" ht="14.5" x14ac:dyDescent="0.25">
      <c r="A1616" s="10">
        <v>45996</v>
      </c>
      <c r="B1616" s="2" t="str">
        <f t="shared" si="50"/>
        <v>Dec-2025</v>
      </c>
      <c r="C1616" s="2" t="str">
        <f t="shared" si="51"/>
        <v>Q3</v>
      </c>
      <c r="D1616" s="2" t="s">
        <v>28</v>
      </c>
      <c r="E1616" s="11" t="s">
        <v>362</v>
      </c>
      <c r="F1616" s="11" t="s">
        <v>260</v>
      </c>
      <c r="G1616" s="11" t="s">
        <v>507</v>
      </c>
      <c r="H1616" s="11" t="s">
        <v>60</v>
      </c>
      <c r="I1616" s="12">
        <v>-1</v>
      </c>
      <c r="J1616" s="12">
        <v>-60</v>
      </c>
      <c r="K1616" s="12">
        <v>98.03</v>
      </c>
      <c r="L1616" s="12">
        <v>-5881.8</v>
      </c>
      <c r="M1616" s="12">
        <v>534.66</v>
      </c>
      <c r="N1616" s="12">
        <v>0</v>
      </c>
      <c r="O1616" s="12">
        <v>-695.12830299999996</v>
      </c>
      <c r="P1616" s="12">
        <v>-6042.2683029999998</v>
      </c>
    </row>
    <row r="1617" spans="1:16" ht="14.5" x14ac:dyDescent="0.25">
      <c r="A1617" s="10">
        <v>45996</v>
      </c>
      <c r="B1617" s="2" t="str">
        <f t="shared" si="50"/>
        <v>Dec-2025</v>
      </c>
      <c r="C1617" s="2" t="str">
        <f t="shared" si="51"/>
        <v>Q3</v>
      </c>
      <c r="D1617" s="2" t="s">
        <v>28</v>
      </c>
      <c r="E1617" s="11" t="s">
        <v>362</v>
      </c>
      <c r="F1617" s="11" t="s">
        <v>260</v>
      </c>
      <c r="G1617" s="11" t="s">
        <v>503</v>
      </c>
      <c r="H1617" s="11" t="s">
        <v>42</v>
      </c>
      <c r="I1617" s="12">
        <v>-0.53</v>
      </c>
      <c r="J1617" s="12">
        <v>-64</v>
      </c>
      <c r="K1617" s="12">
        <v>141.97</v>
      </c>
      <c r="L1617" s="12">
        <v>-9086.08</v>
      </c>
      <c r="M1617" s="12">
        <v>825.92</v>
      </c>
      <c r="N1617" s="12">
        <v>0</v>
      </c>
      <c r="O1617" s="12">
        <v>-1073.82096</v>
      </c>
      <c r="P1617" s="12">
        <v>-9333.9809600000008</v>
      </c>
    </row>
    <row r="1618" spans="1:16" ht="14.5" x14ac:dyDescent="0.25">
      <c r="A1618" s="10">
        <v>45996</v>
      </c>
      <c r="B1618" s="2" t="str">
        <f t="shared" si="50"/>
        <v>Dec-2025</v>
      </c>
      <c r="C1618" s="2" t="str">
        <f t="shared" si="51"/>
        <v>Q3</v>
      </c>
      <c r="D1618" s="2" t="s">
        <v>28</v>
      </c>
      <c r="E1618" s="11" t="s">
        <v>362</v>
      </c>
      <c r="F1618" s="11" t="s">
        <v>260</v>
      </c>
      <c r="G1618" s="11" t="s">
        <v>506</v>
      </c>
      <c r="H1618" s="11" t="s">
        <v>54</v>
      </c>
      <c r="I1618" s="12">
        <v>-1</v>
      </c>
      <c r="J1618" s="12">
        <v>-48</v>
      </c>
      <c r="K1618" s="12">
        <v>310.99</v>
      </c>
      <c r="L1618" s="12">
        <v>-14927.519999999999</v>
      </c>
      <c r="M1618" s="12">
        <v>1356.91</v>
      </c>
      <c r="N1618" s="12">
        <v>0</v>
      </c>
      <c r="O1618" s="12">
        <v>-1764.1795629999999</v>
      </c>
      <c r="P1618" s="12">
        <v>-15334.789563</v>
      </c>
    </row>
    <row r="1619" spans="1:16" ht="14.5" x14ac:dyDescent="0.25">
      <c r="A1619" s="10">
        <v>45996</v>
      </c>
      <c r="B1619" s="2" t="str">
        <f t="shared" si="50"/>
        <v>Dec-2025</v>
      </c>
      <c r="C1619" s="2" t="str">
        <f t="shared" si="51"/>
        <v>Q3</v>
      </c>
      <c r="D1619" s="2" t="s">
        <v>28</v>
      </c>
      <c r="E1619" s="11" t="s">
        <v>362</v>
      </c>
      <c r="F1619" s="11" t="s">
        <v>260</v>
      </c>
      <c r="G1619" s="11" t="s">
        <v>506</v>
      </c>
      <c r="H1619" s="11" t="s">
        <v>58</v>
      </c>
      <c r="I1619" s="12">
        <v>-0.25</v>
      </c>
      <c r="J1619" s="12">
        <v>-18</v>
      </c>
      <c r="K1619" s="12">
        <v>148.72999999999999</v>
      </c>
      <c r="L1619" s="12">
        <v>-2677.14</v>
      </c>
      <c r="M1619" s="12">
        <v>243.35</v>
      </c>
      <c r="N1619" s="12">
        <v>0</v>
      </c>
      <c r="O1619" s="12">
        <v>-316.39274700000004</v>
      </c>
      <c r="P1619" s="12">
        <v>-2750.1827469999998</v>
      </c>
    </row>
    <row r="1620" spans="1:16" ht="14.5" x14ac:dyDescent="0.25">
      <c r="A1620" s="10">
        <v>45996</v>
      </c>
      <c r="B1620" s="2" t="str">
        <f t="shared" si="50"/>
        <v>Dec-2025</v>
      </c>
      <c r="C1620" s="2" t="str">
        <f t="shared" si="51"/>
        <v>Q3</v>
      </c>
      <c r="D1620" s="2" t="s">
        <v>28</v>
      </c>
      <c r="E1620" s="11" t="s">
        <v>362</v>
      </c>
      <c r="F1620" s="11" t="s">
        <v>260</v>
      </c>
      <c r="G1620" s="11" t="s">
        <v>507</v>
      </c>
      <c r="H1620" s="11" t="s">
        <v>90</v>
      </c>
      <c r="I1620" s="12">
        <v>-1</v>
      </c>
      <c r="J1620" s="12">
        <v>-120</v>
      </c>
      <c r="K1620" s="12">
        <v>57.46</v>
      </c>
      <c r="L1620" s="12">
        <v>-6895.2</v>
      </c>
      <c r="M1620" s="12">
        <v>626.77</v>
      </c>
      <c r="N1620" s="12">
        <v>0</v>
      </c>
      <c r="O1620" s="12">
        <v>-814.89602100000002</v>
      </c>
      <c r="P1620" s="12">
        <v>-7083.3260209999999</v>
      </c>
    </row>
    <row r="1621" spans="1:16" ht="14.5" x14ac:dyDescent="0.25">
      <c r="A1621" s="10">
        <v>45996</v>
      </c>
      <c r="B1621" s="2" t="str">
        <f t="shared" si="50"/>
        <v>Dec-2025</v>
      </c>
      <c r="C1621" s="2" t="str">
        <f t="shared" si="51"/>
        <v>Q3</v>
      </c>
      <c r="D1621" s="2" t="s">
        <v>28</v>
      </c>
      <c r="E1621" s="11" t="s">
        <v>362</v>
      </c>
      <c r="F1621" s="11" t="s">
        <v>260</v>
      </c>
      <c r="G1621" s="11" t="s">
        <v>505</v>
      </c>
      <c r="H1621" s="11" t="s">
        <v>55</v>
      </c>
      <c r="I1621" s="12">
        <v>-1</v>
      </c>
      <c r="J1621" s="12">
        <v>-120</v>
      </c>
      <c r="K1621" s="12">
        <v>152.11000000000001</v>
      </c>
      <c r="L1621" s="12">
        <v>-18253.2</v>
      </c>
      <c r="M1621" s="12">
        <v>1659.2199999999998</v>
      </c>
      <c r="N1621" s="12">
        <v>0</v>
      </c>
      <c r="O1621" s="12">
        <v>-2157.217721</v>
      </c>
      <c r="P1621" s="12">
        <v>-18751.197721</v>
      </c>
    </row>
    <row r="1622" spans="1:16" ht="14.5" x14ac:dyDescent="0.25">
      <c r="A1622" s="10">
        <v>45996</v>
      </c>
      <c r="B1622" s="2" t="str">
        <f t="shared" si="50"/>
        <v>Dec-2025</v>
      </c>
      <c r="C1622" s="2" t="str">
        <f t="shared" si="51"/>
        <v>Q3</v>
      </c>
      <c r="D1622" s="2" t="s">
        <v>28</v>
      </c>
      <c r="E1622" s="11" t="s">
        <v>362</v>
      </c>
      <c r="F1622" s="11" t="s">
        <v>260</v>
      </c>
      <c r="G1622" s="11" t="s">
        <v>503</v>
      </c>
      <c r="H1622" s="11" t="s">
        <v>177</v>
      </c>
      <c r="I1622" s="12">
        <v>-1</v>
      </c>
      <c r="J1622" s="12">
        <v>-120</v>
      </c>
      <c r="K1622" s="12">
        <v>94.65</v>
      </c>
      <c r="L1622" s="12">
        <v>-11358</v>
      </c>
      <c r="M1622" s="12">
        <v>1032.44</v>
      </c>
      <c r="N1622" s="12">
        <v>0</v>
      </c>
      <c r="O1622" s="12">
        <v>-1342.3230000000001</v>
      </c>
      <c r="P1622" s="12">
        <v>-11667.883</v>
      </c>
    </row>
    <row r="1623" spans="1:16" ht="14.5" x14ac:dyDescent="0.25">
      <c r="A1623" s="10">
        <v>45996</v>
      </c>
      <c r="B1623" s="2" t="str">
        <f t="shared" si="50"/>
        <v>Dec-2025</v>
      </c>
      <c r="C1623" s="2" t="str">
        <f t="shared" si="51"/>
        <v>Q3</v>
      </c>
      <c r="D1623" s="2" t="s">
        <v>28</v>
      </c>
      <c r="E1623" s="11" t="s">
        <v>362</v>
      </c>
      <c r="F1623" s="11" t="s">
        <v>260</v>
      </c>
      <c r="G1623" s="11" t="s">
        <v>503</v>
      </c>
      <c r="H1623" s="11" t="s">
        <v>166</v>
      </c>
      <c r="I1623" s="12">
        <v>-1</v>
      </c>
      <c r="J1623" s="12">
        <v>-120</v>
      </c>
      <c r="K1623" s="12">
        <v>64.23</v>
      </c>
      <c r="L1623" s="12">
        <v>-7707.5999999999995</v>
      </c>
      <c r="M1623" s="12">
        <v>700.62</v>
      </c>
      <c r="N1623" s="12">
        <v>0</v>
      </c>
      <c r="O1623" s="12">
        <v>-910.90753599999994</v>
      </c>
      <c r="P1623" s="12">
        <v>-7917.8875360000002</v>
      </c>
    </row>
    <row r="1624" spans="1:16" ht="14.5" x14ac:dyDescent="0.25">
      <c r="A1624" s="10">
        <v>45999</v>
      </c>
      <c r="B1624" s="2" t="str">
        <f t="shared" si="50"/>
        <v>Dec-2025</v>
      </c>
      <c r="C1624" s="2" t="str">
        <f t="shared" si="51"/>
        <v>Q3</v>
      </c>
      <c r="D1624" s="2" t="s">
        <v>28</v>
      </c>
      <c r="E1624" s="11" t="s">
        <v>363</v>
      </c>
      <c r="F1624" s="11" t="s">
        <v>21</v>
      </c>
      <c r="G1624" s="11" t="s">
        <v>506</v>
      </c>
      <c r="H1624" s="11" t="s">
        <v>58</v>
      </c>
      <c r="I1624" s="12">
        <v>1</v>
      </c>
      <c r="J1624" s="12">
        <v>72</v>
      </c>
      <c r="K1624" s="12">
        <v>140.18</v>
      </c>
      <c r="L1624" s="12">
        <v>10092.959999999999</v>
      </c>
      <c r="M1624" s="12">
        <v>0</v>
      </c>
      <c r="N1624" s="12">
        <v>0</v>
      </c>
      <c r="O1624" s="12">
        <v>1312.08</v>
      </c>
      <c r="P1624" s="12">
        <v>11405.04</v>
      </c>
    </row>
    <row r="1625" spans="1:16" ht="14.5" x14ac:dyDescent="0.25">
      <c r="A1625" s="10">
        <v>45999</v>
      </c>
      <c r="B1625" s="2" t="str">
        <f t="shared" si="50"/>
        <v>Dec-2025</v>
      </c>
      <c r="C1625" s="2" t="str">
        <f t="shared" si="51"/>
        <v>Q3</v>
      </c>
      <c r="D1625" s="2" t="s">
        <v>28</v>
      </c>
      <c r="E1625" s="11" t="s">
        <v>364</v>
      </c>
      <c r="F1625" s="11" t="s">
        <v>14</v>
      </c>
      <c r="G1625" s="11" t="s">
        <v>504</v>
      </c>
      <c r="H1625" s="11" t="s">
        <v>68</v>
      </c>
      <c r="I1625" s="12">
        <v>1</v>
      </c>
      <c r="J1625" s="12">
        <v>40</v>
      </c>
      <c r="K1625" s="12">
        <v>260.27999999999997</v>
      </c>
      <c r="L1625" s="12">
        <v>10411.200000000001</v>
      </c>
      <c r="M1625" s="12">
        <v>-946.38</v>
      </c>
      <c r="N1625" s="12">
        <v>0</v>
      </c>
      <c r="O1625" s="12">
        <v>1230.4271920000001</v>
      </c>
      <c r="P1625" s="12">
        <v>10695.247192000001</v>
      </c>
    </row>
    <row r="1626" spans="1:16" ht="14.5" x14ac:dyDescent="0.25">
      <c r="A1626" s="10">
        <v>45999</v>
      </c>
      <c r="B1626" s="2" t="str">
        <f t="shared" si="50"/>
        <v>Dec-2025</v>
      </c>
      <c r="C1626" s="2" t="str">
        <f t="shared" si="51"/>
        <v>Q3</v>
      </c>
      <c r="D1626" s="2" t="s">
        <v>28</v>
      </c>
      <c r="E1626" s="11" t="s">
        <v>364</v>
      </c>
      <c r="F1626" s="11" t="s">
        <v>14</v>
      </c>
      <c r="G1626" s="11" t="s">
        <v>507</v>
      </c>
      <c r="H1626" s="11" t="s">
        <v>60</v>
      </c>
      <c r="I1626" s="12">
        <v>1</v>
      </c>
      <c r="J1626" s="12">
        <v>60</v>
      </c>
      <c r="K1626" s="12">
        <v>98.03</v>
      </c>
      <c r="L1626" s="12">
        <v>5881.8</v>
      </c>
      <c r="M1626" s="12">
        <v>-534.66</v>
      </c>
      <c r="N1626" s="12">
        <v>0</v>
      </c>
      <c r="O1626" s="12">
        <v>695.12853400000006</v>
      </c>
      <c r="P1626" s="12">
        <v>6042.2685339999998</v>
      </c>
    </row>
    <row r="1627" spans="1:16" ht="14.5" x14ac:dyDescent="0.25">
      <c r="A1627" s="10">
        <v>45999</v>
      </c>
      <c r="B1627" s="2" t="str">
        <f t="shared" si="50"/>
        <v>Dec-2025</v>
      </c>
      <c r="C1627" s="2" t="str">
        <f t="shared" si="51"/>
        <v>Q3</v>
      </c>
      <c r="D1627" s="2" t="s">
        <v>28</v>
      </c>
      <c r="E1627" s="11" t="s">
        <v>364</v>
      </c>
      <c r="F1627" s="11" t="s">
        <v>14</v>
      </c>
      <c r="G1627" s="11" t="s">
        <v>508</v>
      </c>
      <c r="H1627" s="11" t="s">
        <v>178</v>
      </c>
      <c r="I1627" s="12">
        <v>1</v>
      </c>
      <c r="J1627" s="12">
        <v>60</v>
      </c>
      <c r="K1627" s="12">
        <v>148.72999999999999</v>
      </c>
      <c r="L1627" s="12">
        <v>8923.8000000000011</v>
      </c>
      <c r="M1627" s="12">
        <v>-811.17</v>
      </c>
      <c r="N1627" s="12">
        <v>0</v>
      </c>
      <c r="O1627" s="12">
        <v>1054.642407</v>
      </c>
      <c r="P1627" s="12">
        <v>9167.2724070000004</v>
      </c>
    </row>
    <row r="1628" spans="1:16" ht="14.5" x14ac:dyDescent="0.25">
      <c r="A1628" s="10">
        <v>45999</v>
      </c>
      <c r="B1628" s="2" t="str">
        <f t="shared" si="50"/>
        <v>Dec-2025</v>
      </c>
      <c r="C1628" s="2" t="str">
        <f t="shared" si="51"/>
        <v>Q3</v>
      </c>
      <c r="D1628" s="2" t="s">
        <v>28</v>
      </c>
      <c r="E1628" s="11" t="s">
        <v>364</v>
      </c>
      <c r="F1628" s="11" t="s">
        <v>14</v>
      </c>
      <c r="G1628" s="11" t="s">
        <v>506</v>
      </c>
      <c r="H1628" s="11" t="s">
        <v>39</v>
      </c>
      <c r="I1628" s="12">
        <v>1</v>
      </c>
      <c r="J1628" s="12">
        <v>72</v>
      </c>
      <c r="K1628" s="12">
        <v>131.83000000000001</v>
      </c>
      <c r="L1628" s="12">
        <v>9491.76</v>
      </c>
      <c r="M1628" s="12">
        <v>-862.8</v>
      </c>
      <c r="N1628" s="12">
        <v>0</v>
      </c>
      <c r="O1628" s="12">
        <v>1121.7653399999999</v>
      </c>
      <c r="P1628" s="12">
        <v>9750.7253400000009</v>
      </c>
    </row>
    <row r="1629" spans="1:16" ht="14.5" x14ac:dyDescent="0.25">
      <c r="A1629" s="10">
        <v>45999</v>
      </c>
      <c r="B1629" s="2" t="str">
        <f t="shared" si="50"/>
        <v>Dec-2025</v>
      </c>
      <c r="C1629" s="2" t="str">
        <f t="shared" si="51"/>
        <v>Q3</v>
      </c>
      <c r="D1629" s="2" t="s">
        <v>28</v>
      </c>
      <c r="E1629" s="11" t="s">
        <v>364</v>
      </c>
      <c r="F1629" s="11" t="s">
        <v>14</v>
      </c>
      <c r="G1629" s="11" t="s">
        <v>503</v>
      </c>
      <c r="H1629" s="11" t="s">
        <v>52</v>
      </c>
      <c r="I1629" s="12">
        <v>1</v>
      </c>
      <c r="J1629" s="12">
        <v>180</v>
      </c>
      <c r="K1629" s="12">
        <v>70.989999999999995</v>
      </c>
      <c r="L1629" s="12">
        <v>12778.2</v>
      </c>
      <c r="M1629" s="12">
        <v>-1161.54</v>
      </c>
      <c r="N1629" s="12">
        <v>0</v>
      </c>
      <c r="O1629" s="12">
        <v>1510.1665270000001</v>
      </c>
      <c r="P1629" s="12">
        <v>13126.826526999999</v>
      </c>
    </row>
    <row r="1630" spans="1:16" ht="14.5" x14ac:dyDescent="0.25">
      <c r="A1630" s="10">
        <v>45999</v>
      </c>
      <c r="B1630" s="2" t="str">
        <f t="shared" si="50"/>
        <v>Dec-2025</v>
      </c>
      <c r="C1630" s="2" t="str">
        <f t="shared" si="51"/>
        <v>Q3</v>
      </c>
      <c r="D1630" s="2" t="s">
        <v>28</v>
      </c>
      <c r="E1630" s="11" t="s">
        <v>365</v>
      </c>
      <c r="F1630" s="11" t="s">
        <v>337</v>
      </c>
      <c r="G1630" s="11" t="s">
        <v>503</v>
      </c>
      <c r="H1630" s="11" t="s">
        <v>52</v>
      </c>
      <c r="I1630" s="12">
        <v>0.06</v>
      </c>
      <c r="J1630" s="12">
        <v>10</v>
      </c>
      <c r="K1630" s="12">
        <v>70.989999999999995</v>
      </c>
      <c r="L1630" s="12">
        <v>709.9</v>
      </c>
      <c r="M1630" s="12">
        <v>-64.53</v>
      </c>
      <c r="N1630" s="12">
        <v>0</v>
      </c>
      <c r="O1630" s="12">
        <v>83.897925000000001</v>
      </c>
      <c r="P1630" s="12">
        <v>729.26792499999999</v>
      </c>
    </row>
    <row r="1631" spans="1:16" ht="14.5" x14ac:dyDescent="0.25">
      <c r="A1631" s="10">
        <v>45999</v>
      </c>
      <c r="B1631" s="2" t="str">
        <f t="shared" si="50"/>
        <v>Dec-2025</v>
      </c>
      <c r="C1631" s="2" t="str">
        <f t="shared" si="51"/>
        <v>Q3</v>
      </c>
      <c r="D1631" s="2" t="s">
        <v>28</v>
      </c>
      <c r="E1631" s="11" t="s">
        <v>365</v>
      </c>
      <c r="F1631" s="11" t="s">
        <v>337</v>
      </c>
      <c r="G1631" s="11" t="s">
        <v>503</v>
      </c>
      <c r="H1631" s="11" t="s">
        <v>59</v>
      </c>
      <c r="I1631" s="12">
        <v>0.11</v>
      </c>
      <c r="J1631" s="12">
        <v>20</v>
      </c>
      <c r="K1631" s="12">
        <v>64.23</v>
      </c>
      <c r="L1631" s="12">
        <v>1284.5999999999999</v>
      </c>
      <c r="M1631" s="12">
        <v>-116.77</v>
      </c>
      <c r="N1631" s="12">
        <v>0</v>
      </c>
      <c r="O1631" s="12">
        <v>151.81758300000001</v>
      </c>
      <c r="P1631" s="12">
        <v>1319.6475829999999</v>
      </c>
    </row>
    <row r="1632" spans="1:16" ht="14.5" x14ac:dyDescent="0.25">
      <c r="A1632" s="10">
        <v>45999</v>
      </c>
      <c r="B1632" s="2" t="str">
        <f t="shared" si="50"/>
        <v>Dec-2025</v>
      </c>
      <c r="C1632" s="2" t="str">
        <f t="shared" si="51"/>
        <v>Q3</v>
      </c>
      <c r="D1632" s="2" t="s">
        <v>28</v>
      </c>
      <c r="E1632" s="11" t="s">
        <v>365</v>
      </c>
      <c r="F1632" s="11" t="s">
        <v>337</v>
      </c>
      <c r="G1632" s="11" t="s">
        <v>503</v>
      </c>
      <c r="H1632" s="11" t="s">
        <v>166</v>
      </c>
      <c r="I1632" s="12">
        <v>0.08</v>
      </c>
      <c r="J1632" s="12">
        <v>10</v>
      </c>
      <c r="K1632" s="12">
        <v>64.23</v>
      </c>
      <c r="L1632" s="12">
        <v>642.29999999999995</v>
      </c>
      <c r="M1632" s="12">
        <v>-58.39</v>
      </c>
      <c r="N1632" s="12">
        <v>0</v>
      </c>
      <c r="O1632" s="12">
        <v>75.908142000000012</v>
      </c>
      <c r="P1632" s="12">
        <v>659.81814199999997</v>
      </c>
    </row>
    <row r="1633" spans="1:16" ht="14.5" x14ac:dyDescent="0.25">
      <c r="A1633" s="10">
        <v>45999</v>
      </c>
      <c r="B1633" s="2" t="str">
        <f t="shared" si="50"/>
        <v>Dec-2025</v>
      </c>
      <c r="C1633" s="2" t="str">
        <f t="shared" si="51"/>
        <v>Q3</v>
      </c>
      <c r="D1633" s="2" t="s">
        <v>28</v>
      </c>
      <c r="E1633" s="11" t="s">
        <v>365</v>
      </c>
      <c r="F1633" s="11" t="s">
        <v>337</v>
      </c>
      <c r="G1633" s="11" t="s">
        <v>505</v>
      </c>
      <c r="H1633" s="11" t="s">
        <v>167</v>
      </c>
      <c r="I1633" s="12">
        <v>0.06</v>
      </c>
      <c r="J1633" s="12">
        <v>10</v>
      </c>
      <c r="K1633" s="12">
        <v>91.27</v>
      </c>
      <c r="L1633" s="12">
        <v>912.7</v>
      </c>
      <c r="M1633" s="12">
        <v>-82.96</v>
      </c>
      <c r="N1633" s="12">
        <v>0</v>
      </c>
      <c r="O1633" s="12">
        <v>107.86597500000001</v>
      </c>
      <c r="P1633" s="12">
        <v>937.60597499999994</v>
      </c>
    </row>
    <row r="1634" spans="1:16" ht="14.5" x14ac:dyDescent="0.25">
      <c r="A1634" s="10">
        <v>45999</v>
      </c>
      <c r="B1634" s="2" t="str">
        <f t="shared" si="50"/>
        <v>Dec-2025</v>
      </c>
      <c r="C1634" s="2" t="str">
        <f t="shared" si="51"/>
        <v>Q3</v>
      </c>
      <c r="D1634" s="2" t="s">
        <v>28</v>
      </c>
      <c r="E1634" s="11" t="s">
        <v>365</v>
      </c>
      <c r="F1634" s="11" t="s">
        <v>337</v>
      </c>
      <c r="G1634" s="11" t="s">
        <v>503</v>
      </c>
      <c r="H1634" s="11" t="s">
        <v>51</v>
      </c>
      <c r="I1634" s="12">
        <v>0.22</v>
      </c>
      <c r="J1634" s="12">
        <v>40</v>
      </c>
      <c r="K1634" s="12">
        <v>62.21</v>
      </c>
      <c r="L1634" s="12">
        <v>2488.4</v>
      </c>
      <c r="M1634" s="12">
        <v>-226.2</v>
      </c>
      <c r="N1634" s="12">
        <v>0</v>
      </c>
      <c r="O1634" s="12">
        <v>294.08538599999997</v>
      </c>
      <c r="P1634" s="12">
        <v>2556.285386</v>
      </c>
    </row>
    <row r="1635" spans="1:16" ht="14.5" x14ac:dyDescent="0.25">
      <c r="A1635" s="10">
        <v>45999</v>
      </c>
      <c r="B1635" s="2" t="str">
        <f t="shared" ref="B1635:B1698" si="52">+TEXT(A1635,"MMM-yyy")</f>
        <v>Dec-2025</v>
      </c>
      <c r="C1635" s="2" t="str">
        <f t="shared" ref="C1635:C1698" si="53">"Q" &amp; CHOOSE(MONTH(A1635),4,4,4,1,1,1,2,2,2,3,3,3)</f>
        <v>Q3</v>
      </c>
      <c r="D1635" s="2" t="s">
        <v>28</v>
      </c>
      <c r="E1635" s="11" t="s">
        <v>365</v>
      </c>
      <c r="F1635" s="11" t="s">
        <v>337</v>
      </c>
      <c r="G1635" s="11" t="s">
        <v>503</v>
      </c>
      <c r="H1635" s="11" t="s">
        <v>46</v>
      </c>
      <c r="I1635" s="12">
        <v>0.33</v>
      </c>
      <c r="J1635" s="12">
        <v>40</v>
      </c>
      <c r="K1635" s="12">
        <v>121.69</v>
      </c>
      <c r="L1635" s="12">
        <v>4867.5999999999995</v>
      </c>
      <c r="M1635" s="12">
        <v>-442.46</v>
      </c>
      <c r="N1635" s="12">
        <v>0</v>
      </c>
      <c r="O1635" s="12">
        <v>575.26699899999994</v>
      </c>
      <c r="P1635" s="12">
        <v>5000.4069989999998</v>
      </c>
    </row>
    <row r="1636" spans="1:16" ht="14.5" x14ac:dyDescent="0.25">
      <c r="A1636" s="10">
        <v>45999</v>
      </c>
      <c r="B1636" s="2" t="str">
        <f t="shared" si="52"/>
        <v>Dec-2025</v>
      </c>
      <c r="C1636" s="2" t="str">
        <f t="shared" si="53"/>
        <v>Q3</v>
      </c>
      <c r="D1636" s="2" t="s">
        <v>28</v>
      </c>
      <c r="E1636" s="11" t="s">
        <v>365</v>
      </c>
      <c r="F1636" s="11" t="s">
        <v>337</v>
      </c>
      <c r="G1636" s="11" t="s">
        <v>503</v>
      </c>
      <c r="H1636" s="11" t="s">
        <v>180</v>
      </c>
      <c r="I1636" s="12">
        <v>0.13</v>
      </c>
      <c r="J1636" s="12">
        <v>10</v>
      </c>
      <c r="K1636" s="12">
        <v>141.97</v>
      </c>
      <c r="L1636" s="12">
        <v>1419.6999999999998</v>
      </c>
      <c r="M1636" s="12">
        <v>-129.05000000000001</v>
      </c>
      <c r="N1636" s="12">
        <v>0</v>
      </c>
      <c r="O1636" s="12">
        <v>167.78415000000001</v>
      </c>
      <c r="P1636" s="12">
        <v>1458.43415</v>
      </c>
    </row>
    <row r="1637" spans="1:16" ht="14.5" x14ac:dyDescent="0.25">
      <c r="A1637" s="10">
        <v>45999</v>
      </c>
      <c r="B1637" s="2" t="str">
        <f t="shared" si="52"/>
        <v>Dec-2025</v>
      </c>
      <c r="C1637" s="2" t="str">
        <f t="shared" si="53"/>
        <v>Q3</v>
      </c>
      <c r="D1637" s="2" t="s">
        <v>28</v>
      </c>
      <c r="E1637" s="11" t="s">
        <v>365</v>
      </c>
      <c r="F1637" s="11" t="s">
        <v>337</v>
      </c>
      <c r="G1637" s="11" t="s">
        <v>505</v>
      </c>
      <c r="H1637" s="11" t="s">
        <v>168</v>
      </c>
      <c r="I1637" s="12">
        <v>0.13</v>
      </c>
      <c r="J1637" s="12">
        <v>10</v>
      </c>
      <c r="K1637" s="12">
        <v>229.86</v>
      </c>
      <c r="L1637" s="12">
        <v>2298.6</v>
      </c>
      <c r="M1637" s="12">
        <v>-208.94</v>
      </c>
      <c r="N1637" s="12">
        <v>0</v>
      </c>
      <c r="O1637" s="12">
        <v>271.65523300000001</v>
      </c>
      <c r="P1637" s="12">
        <v>2361.3152329999998</v>
      </c>
    </row>
    <row r="1638" spans="1:16" ht="14.5" x14ac:dyDescent="0.25">
      <c r="A1638" s="10">
        <v>45999</v>
      </c>
      <c r="B1638" s="2" t="str">
        <f t="shared" si="52"/>
        <v>Dec-2025</v>
      </c>
      <c r="C1638" s="2" t="str">
        <f t="shared" si="53"/>
        <v>Q3</v>
      </c>
      <c r="D1638" s="2" t="s">
        <v>28</v>
      </c>
      <c r="E1638" s="11" t="s">
        <v>365</v>
      </c>
      <c r="F1638" s="11" t="s">
        <v>337</v>
      </c>
      <c r="G1638" s="11" t="s">
        <v>503</v>
      </c>
      <c r="H1638" s="11" t="s">
        <v>171</v>
      </c>
      <c r="I1638" s="12">
        <v>0.25</v>
      </c>
      <c r="J1638" s="12">
        <v>20</v>
      </c>
      <c r="K1638" s="12">
        <v>155.49</v>
      </c>
      <c r="L1638" s="12">
        <v>3109.7999999999997</v>
      </c>
      <c r="M1638" s="12">
        <v>-282.68</v>
      </c>
      <c r="N1638" s="12">
        <v>0</v>
      </c>
      <c r="O1638" s="12">
        <v>367.524833</v>
      </c>
      <c r="P1638" s="12">
        <v>3194.6448329999998</v>
      </c>
    </row>
    <row r="1639" spans="1:16" ht="14.5" x14ac:dyDescent="0.25">
      <c r="A1639" s="10">
        <v>45999</v>
      </c>
      <c r="B1639" s="2" t="str">
        <f t="shared" si="52"/>
        <v>Dec-2025</v>
      </c>
      <c r="C1639" s="2" t="str">
        <f t="shared" si="53"/>
        <v>Q3</v>
      </c>
      <c r="D1639" s="2" t="s">
        <v>28</v>
      </c>
      <c r="E1639" s="11" t="s">
        <v>365</v>
      </c>
      <c r="F1639" s="11" t="s">
        <v>337</v>
      </c>
      <c r="G1639" s="11" t="s">
        <v>503</v>
      </c>
      <c r="H1639" s="11" t="s">
        <v>45</v>
      </c>
      <c r="I1639" s="12">
        <v>0.11</v>
      </c>
      <c r="J1639" s="12">
        <v>20</v>
      </c>
      <c r="K1639" s="12">
        <v>64.23</v>
      </c>
      <c r="L1639" s="12">
        <v>1284.5999999999999</v>
      </c>
      <c r="M1639" s="12">
        <v>-116.77</v>
      </c>
      <c r="N1639" s="12">
        <v>0</v>
      </c>
      <c r="O1639" s="12">
        <v>151.81758300000001</v>
      </c>
      <c r="P1639" s="12">
        <v>1319.6475829999999</v>
      </c>
    </row>
    <row r="1640" spans="1:16" ht="14.5" x14ac:dyDescent="0.25">
      <c r="A1640" s="10">
        <v>45999</v>
      </c>
      <c r="B1640" s="2" t="str">
        <f t="shared" si="52"/>
        <v>Dec-2025</v>
      </c>
      <c r="C1640" s="2" t="str">
        <f t="shared" si="53"/>
        <v>Q3</v>
      </c>
      <c r="D1640" s="2" t="s">
        <v>28</v>
      </c>
      <c r="E1640" s="11" t="s">
        <v>365</v>
      </c>
      <c r="F1640" s="11" t="s">
        <v>337</v>
      </c>
      <c r="G1640" s="11" t="s">
        <v>503</v>
      </c>
      <c r="H1640" s="11" t="s">
        <v>173</v>
      </c>
      <c r="I1640" s="12">
        <v>0.08</v>
      </c>
      <c r="J1640" s="12">
        <v>10</v>
      </c>
      <c r="K1640" s="12">
        <v>84.51</v>
      </c>
      <c r="L1640" s="12">
        <v>845.1</v>
      </c>
      <c r="M1640" s="12">
        <v>-76.819999999999993</v>
      </c>
      <c r="N1640" s="12">
        <v>0</v>
      </c>
      <c r="O1640" s="12">
        <v>99.876192000000003</v>
      </c>
      <c r="P1640" s="12">
        <v>868.15619200000003</v>
      </c>
    </row>
    <row r="1641" spans="1:16" ht="14.5" x14ac:dyDescent="0.25">
      <c r="A1641" s="10">
        <v>45999</v>
      </c>
      <c r="B1641" s="2" t="str">
        <f t="shared" si="52"/>
        <v>Dec-2025</v>
      </c>
      <c r="C1641" s="2" t="str">
        <f t="shared" si="53"/>
        <v>Q3</v>
      </c>
      <c r="D1641" s="2" t="s">
        <v>28</v>
      </c>
      <c r="E1641" s="11" t="s">
        <v>366</v>
      </c>
      <c r="F1641" s="11" t="s">
        <v>38</v>
      </c>
      <c r="G1641" s="11" t="s">
        <v>503</v>
      </c>
      <c r="H1641" s="11" t="s">
        <v>47</v>
      </c>
      <c r="I1641" s="12">
        <v>0.01</v>
      </c>
      <c r="J1641" s="12">
        <v>1</v>
      </c>
      <c r="K1641" s="12">
        <v>118.3</v>
      </c>
      <c r="L1641" s="12">
        <v>118.3</v>
      </c>
      <c r="M1641" s="12">
        <v>-10.75</v>
      </c>
      <c r="N1641" s="12">
        <v>0</v>
      </c>
      <c r="O1641" s="12">
        <v>13.981555</v>
      </c>
      <c r="P1641" s="12">
        <v>121.531555</v>
      </c>
    </row>
    <row r="1642" spans="1:16" ht="14.5" x14ac:dyDescent="0.25">
      <c r="A1642" s="10">
        <v>45999</v>
      </c>
      <c r="B1642" s="2" t="str">
        <f t="shared" si="52"/>
        <v>Dec-2025</v>
      </c>
      <c r="C1642" s="2" t="str">
        <f t="shared" si="53"/>
        <v>Q3</v>
      </c>
      <c r="D1642" s="2" t="s">
        <v>28</v>
      </c>
      <c r="E1642" s="11" t="s">
        <v>366</v>
      </c>
      <c r="F1642" s="11" t="s">
        <v>38</v>
      </c>
      <c r="G1642" s="11" t="s">
        <v>503</v>
      </c>
      <c r="H1642" s="11" t="s">
        <v>177</v>
      </c>
      <c r="I1642" s="12">
        <v>0.01</v>
      </c>
      <c r="J1642" s="12">
        <v>1</v>
      </c>
      <c r="K1642" s="12">
        <v>94.65</v>
      </c>
      <c r="L1642" s="12">
        <v>94.65</v>
      </c>
      <c r="M1642" s="12">
        <v>-8.6</v>
      </c>
      <c r="N1642" s="12">
        <v>0</v>
      </c>
      <c r="O1642" s="12">
        <v>11.186544</v>
      </c>
      <c r="P1642" s="12">
        <v>97.236543999999995</v>
      </c>
    </row>
    <row r="1643" spans="1:16" ht="14.5" x14ac:dyDescent="0.25">
      <c r="A1643" s="10">
        <v>45999</v>
      </c>
      <c r="B1643" s="2" t="str">
        <f t="shared" si="52"/>
        <v>Dec-2025</v>
      </c>
      <c r="C1643" s="2" t="str">
        <f t="shared" si="53"/>
        <v>Q3</v>
      </c>
      <c r="D1643" s="2" t="s">
        <v>28</v>
      </c>
      <c r="E1643" s="11" t="s">
        <v>366</v>
      </c>
      <c r="F1643" s="11" t="s">
        <v>38</v>
      </c>
      <c r="G1643" s="11" t="s">
        <v>505</v>
      </c>
      <c r="H1643" s="11" t="s">
        <v>49</v>
      </c>
      <c r="I1643" s="12">
        <v>0.01</v>
      </c>
      <c r="J1643" s="12">
        <v>1</v>
      </c>
      <c r="K1643" s="12">
        <v>158.87</v>
      </c>
      <c r="L1643" s="12">
        <v>158.87</v>
      </c>
      <c r="M1643" s="12">
        <v>-14.44</v>
      </c>
      <c r="N1643" s="12">
        <v>0</v>
      </c>
      <c r="O1643" s="12">
        <v>18.775973</v>
      </c>
      <c r="P1643" s="12">
        <v>163.205973</v>
      </c>
    </row>
    <row r="1644" spans="1:16" ht="14.5" x14ac:dyDescent="0.25">
      <c r="A1644" s="10">
        <v>45999</v>
      </c>
      <c r="B1644" s="2" t="str">
        <f t="shared" si="52"/>
        <v>Dec-2025</v>
      </c>
      <c r="C1644" s="2" t="str">
        <f t="shared" si="53"/>
        <v>Q3</v>
      </c>
      <c r="D1644" s="2" t="s">
        <v>28</v>
      </c>
      <c r="E1644" s="11" t="s">
        <v>366</v>
      </c>
      <c r="F1644" s="11" t="s">
        <v>38</v>
      </c>
      <c r="G1644" s="11" t="s">
        <v>503</v>
      </c>
      <c r="H1644" s="11" t="s">
        <v>44</v>
      </c>
      <c r="I1644" s="12">
        <v>0.01</v>
      </c>
      <c r="J1644" s="12">
        <v>1</v>
      </c>
      <c r="K1644" s="12">
        <v>155.49</v>
      </c>
      <c r="L1644" s="12">
        <v>155.49</v>
      </c>
      <c r="M1644" s="12">
        <v>-14.13</v>
      </c>
      <c r="N1644" s="12">
        <v>0</v>
      </c>
      <c r="O1644" s="12">
        <v>18.376871999999999</v>
      </c>
      <c r="P1644" s="12">
        <v>159.73687200000001</v>
      </c>
    </row>
    <row r="1645" spans="1:16" ht="14.5" x14ac:dyDescent="0.25">
      <c r="A1645" s="10">
        <v>45999</v>
      </c>
      <c r="B1645" s="2" t="str">
        <f t="shared" si="52"/>
        <v>Dec-2025</v>
      </c>
      <c r="C1645" s="2" t="str">
        <f t="shared" si="53"/>
        <v>Q3</v>
      </c>
      <c r="D1645" s="2" t="s">
        <v>28</v>
      </c>
      <c r="E1645" s="11" t="s">
        <v>366</v>
      </c>
      <c r="F1645" s="11" t="s">
        <v>38</v>
      </c>
      <c r="G1645" s="11" t="s">
        <v>503</v>
      </c>
      <c r="H1645" s="11" t="s">
        <v>89</v>
      </c>
      <c r="I1645" s="12">
        <v>0.01</v>
      </c>
      <c r="J1645" s="12">
        <v>1</v>
      </c>
      <c r="K1645" s="12">
        <v>114.93</v>
      </c>
      <c r="L1645" s="12">
        <v>114.93</v>
      </c>
      <c r="M1645" s="12">
        <v>-10.45</v>
      </c>
      <c r="N1645" s="12">
        <v>0</v>
      </c>
      <c r="O1645" s="12">
        <v>13.582452999999999</v>
      </c>
      <c r="P1645" s="12">
        <v>118.062453</v>
      </c>
    </row>
    <row r="1646" spans="1:16" ht="14.5" x14ac:dyDescent="0.25">
      <c r="A1646" s="10">
        <v>45999</v>
      </c>
      <c r="B1646" s="2" t="str">
        <f t="shared" si="52"/>
        <v>Dec-2025</v>
      </c>
      <c r="C1646" s="2" t="str">
        <f t="shared" si="53"/>
        <v>Q3</v>
      </c>
      <c r="D1646" s="2" t="s">
        <v>28</v>
      </c>
      <c r="E1646" s="11" t="s">
        <v>366</v>
      </c>
      <c r="F1646" s="11" t="s">
        <v>38</v>
      </c>
      <c r="G1646" s="11" t="s">
        <v>504</v>
      </c>
      <c r="H1646" s="11" t="s">
        <v>66</v>
      </c>
      <c r="I1646" s="12">
        <v>0.01</v>
      </c>
      <c r="J1646" s="12">
        <v>1</v>
      </c>
      <c r="K1646" s="12">
        <v>108.17</v>
      </c>
      <c r="L1646" s="12">
        <v>108.17</v>
      </c>
      <c r="M1646" s="12">
        <v>-9.83</v>
      </c>
      <c r="N1646" s="12">
        <v>0</v>
      </c>
      <c r="O1646" s="12">
        <v>12.78425</v>
      </c>
      <c r="P1646" s="12">
        <v>111.12425</v>
      </c>
    </row>
    <row r="1647" spans="1:16" ht="14.5" x14ac:dyDescent="0.25">
      <c r="A1647" s="10">
        <v>45999</v>
      </c>
      <c r="B1647" s="2" t="str">
        <f t="shared" si="52"/>
        <v>Dec-2025</v>
      </c>
      <c r="C1647" s="2" t="str">
        <f t="shared" si="53"/>
        <v>Q3</v>
      </c>
      <c r="D1647" s="2" t="s">
        <v>28</v>
      </c>
      <c r="E1647" s="11" t="s">
        <v>366</v>
      </c>
      <c r="F1647" s="11" t="s">
        <v>38</v>
      </c>
      <c r="G1647" s="11" t="s">
        <v>505</v>
      </c>
      <c r="H1647" s="11" t="s">
        <v>56</v>
      </c>
      <c r="I1647" s="12">
        <v>0.01</v>
      </c>
      <c r="J1647" s="12">
        <v>1</v>
      </c>
      <c r="K1647" s="12">
        <v>50.7</v>
      </c>
      <c r="L1647" s="12">
        <v>50.7</v>
      </c>
      <c r="M1647" s="12">
        <v>-4.6100000000000003</v>
      </c>
      <c r="N1647" s="12">
        <v>0</v>
      </c>
      <c r="O1647" s="12">
        <v>5.9917230000000004</v>
      </c>
      <c r="P1647" s="12">
        <v>52.081722999999997</v>
      </c>
    </row>
    <row r="1648" spans="1:16" ht="14.5" x14ac:dyDescent="0.25">
      <c r="A1648" s="10">
        <v>45999</v>
      </c>
      <c r="B1648" s="2" t="str">
        <f t="shared" si="52"/>
        <v>Dec-2025</v>
      </c>
      <c r="C1648" s="2" t="str">
        <f t="shared" si="53"/>
        <v>Q3</v>
      </c>
      <c r="D1648" s="2" t="s">
        <v>28</v>
      </c>
      <c r="E1648" s="11" t="s">
        <v>366</v>
      </c>
      <c r="F1648" s="11" t="s">
        <v>38</v>
      </c>
      <c r="G1648" s="11" t="s">
        <v>503</v>
      </c>
      <c r="H1648" s="11" t="s">
        <v>176</v>
      </c>
      <c r="I1648" s="12">
        <v>0.01</v>
      </c>
      <c r="J1648" s="12">
        <v>1</v>
      </c>
      <c r="K1648" s="12">
        <v>158.86000000000001</v>
      </c>
      <c r="L1648" s="12">
        <v>158.86000000000001</v>
      </c>
      <c r="M1648" s="12">
        <v>-14.44</v>
      </c>
      <c r="N1648" s="12">
        <v>0</v>
      </c>
      <c r="O1648" s="12">
        <v>18.774673</v>
      </c>
      <c r="P1648" s="12">
        <v>163.19467299999999</v>
      </c>
    </row>
    <row r="1649" spans="1:16" ht="14.5" x14ac:dyDescent="0.25">
      <c r="A1649" s="10">
        <v>45999</v>
      </c>
      <c r="B1649" s="2" t="str">
        <f t="shared" si="52"/>
        <v>Dec-2025</v>
      </c>
      <c r="C1649" s="2" t="str">
        <f t="shared" si="53"/>
        <v>Q3</v>
      </c>
      <c r="D1649" s="2" t="s">
        <v>28</v>
      </c>
      <c r="E1649" s="11" t="s">
        <v>366</v>
      </c>
      <c r="F1649" s="11" t="s">
        <v>38</v>
      </c>
      <c r="G1649" s="11" t="s">
        <v>503</v>
      </c>
      <c r="H1649" s="11" t="s">
        <v>57</v>
      </c>
      <c r="I1649" s="12">
        <v>0.01</v>
      </c>
      <c r="J1649" s="12">
        <v>1</v>
      </c>
      <c r="K1649" s="12">
        <v>118.3</v>
      </c>
      <c r="L1649" s="12">
        <v>118.3</v>
      </c>
      <c r="M1649" s="12">
        <v>-10.75</v>
      </c>
      <c r="N1649" s="12">
        <v>0</v>
      </c>
      <c r="O1649" s="12">
        <v>13.981555</v>
      </c>
      <c r="P1649" s="12">
        <v>121.531555</v>
      </c>
    </row>
    <row r="1650" spans="1:16" ht="14.5" x14ac:dyDescent="0.25">
      <c r="A1650" s="10">
        <v>45999</v>
      </c>
      <c r="B1650" s="2" t="str">
        <f t="shared" si="52"/>
        <v>Dec-2025</v>
      </c>
      <c r="C1650" s="2" t="str">
        <f t="shared" si="53"/>
        <v>Q3</v>
      </c>
      <c r="D1650" s="2" t="s">
        <v>28</v>
      </c>
      <c r="E1650" s="11" t="s">
        <v>366</v>
      </c>
      <c r="F1650" s="11" t="s">
        <v>38</v>
      </c>
      <c r="G1650" s="11" t="s">
        <v>503</v>
      </c>
      <c r="H1650" s="11" t="s">
        <v>42</v>
      </c>
      <c r="I1650" s="12">
        <v>0.01</v>
      </c>
      <c r="J1650" s="12">
        <v>1</v>
      </c>
      <c r="K1650" s="12">
        <v>148.72999999999999</v>
      </c>
      <c r="L1650" s="12">
        <v>148.72999999999999</v>
      </c>
      <c r="M1650" s="12">
        <v>-13.52</v>
      </c>
      <c r="N1650" s="12">
        <v>0</v>
      </c>
      <c r="O1650" s="12">
        <v>17.577369000000001</v>
      </c>
      <c r="P1650" s="12">
        <v>152.78736900000001</v>
      </c>
    </row>
    <row r="1651" spans="1:16" ht="14.5" x14ac:dyDescent="0.25">
      <c r="A1651" s="10">
        <v>45999</v>
      </c>
      <c r="B1651" s="2" t="str">
        <f t="shared" si="52"/>
        <v>Dec-2025</v>
      </c>
      <c r="C1651" s="2" t="str">
        <f t="shared" si="53"/>
        <v>Q3</v>
      </c>
      <c r="D1651" s="2" t="s">
        <v>28</v>
      </c>
      <c r="E1651" s="11" t="s">
        <v>366</v>
      </c>
      <c r="F1651" s="11" t="s">
        <v>38</v>
      </c>
      <c r="G1651" s="11" t="s">
        <v>503</v>
      </c>
      <c r="H1651" s="11" t="s">
        <v>46</v>
      </c>
      <c r="I1651" s="12">
        <v>0.01</v>
      </c>
      <c r="J1651" s="12">
        <v>1</v>
      </c>
      <c r="K1651" s="12">
        <v>118.3</v>
      </c>
      <c r="L1651" s="12">
        <v>118.3</v>
      </c>
      <c r="M1651" s="12">
        <v>-10.75</v>
      </c>
      <c r="N1651" s="12">
        <v>0</v>
      </c>
      <c r="O1651" s="12">
        <v>13.981555</v>
      </c>
      <c r="P1651" s="12">
        <v>121.531555</v>
      </c>
    </row>
    <row r="1652" spans="1:16" ht="14.5" x14ac:dyDescent="0.25">
      <c r="A1652" s="10">
        <v>45999</v>
      </c>
      <c r="B1652" s="2" t="str">
        <f t="shared" si="52"/>
        <v>Dec-2025</v>
      </c>
      <c r="C1652" s="2" t="str">
        <f t="shared" si="53"/>
        <v>Q3</v>
      </c>
      <c r="D1652" s="2" t="s">
        <v>28</v>
      </c>
      <c r="E1652" s="11" t="s">
        <v>366</v>
      </c>
      <c r="F1652" s="11" t="s">
        <v>38</v>
      </c>
      <c r="G1652" s="11" t="s">
        <v>505</v>
      </c>
      <c r="H1652" s="11" t="s">
        <v>50</v>
      </c>
      <c r="I1652" s="12">
        <v>0.01</v>
      </c>
      <c r="J1652" s="12">
        <v>1</v>
      </c>
      <c r="K1652" s="12">
        <v>169.01</v>
      </c>
      <c r="L1652" s="12">
        <v>169.01</v>
      </c>
      <c r="M1652" s="12">
        <v>-15.36</v>
      </c>
      <c r="N1652" s="12">
        <v>0</v>
      </c>
      <c r="O1652" s="12">
        <v>19.974578000000001</v>
      </c>
      <c r="P1652" s="12">
        <v>173.62457800000001</v>
      </c>
    </row>
    <row r="1653" spans="1:16" ht="14.5" x14ac:dyDescent="0.25">
      <c r="A1653" s="10">
        <v>45999</v>
      </c>
      <c r="B1653" s="2" t="str">
        <f t="shared" si="52"/>
        <v>Dec-2025</v>
      </c>
      <c r="C1653" s="2" t="str">
        <f t="shared" si="53"/>
        <v>Q3</v>
      </c>
      <c r="D1653" s="2" t="s">
        <v>28</v>
      </c>
      <c r="E1653" s="11" t="s">
        <v>366</v>
      </c>
      <c r="F1653" s="11" t="s">
        <v>38</v>
      </c>
      <c r="G1653" s="11" t="s">
        <v>505</v>
      </c>
      <c r="H1653" s="11" t="s">
        <v>43</v>
      </c>
      <c r="I1653" s="12">
        <v>0.03</v>
      </c>
      <c r="J1653" s="12">
        <v>1</v>
      </c>
      <c r="K1653" s="12">
        <v>283.94</v>
      </c>
      <c r="L1653" s="12">
        <v>283.94</v>
      </c>
      <c r="M1653" s="12">
        <v>-25.81</v>
      </c>
      <c r="N1653" s="12">
        <v>0</v>
      </c>
      <c r="O1653" s="12">
        <v>33.557031000000002</v>
      </c>
      <c r="P1653" s="12">
        <v>291.68703099999999</v>
      </c>
    </row>
    <row r="1654" spans="1:16" ht="14.5" x14ac:dyDescent="0.25">
      <c r="A1654" s="10">
        <v>45999</v>
      </c>
      <c r="B1654" s="2" t="str">
        <f t="shared" si="52"/>
        <v>Dec-2025</v>
      </c>
      <c r="C1654" s="2" t="str">
        <f t="shared" si="53"/>
        <v>Q3</v>
      </c>
      <c r="D1654" s="2" t="s">
        <v>28</v>
      </c>
      <c r="E1654" s="11" t="s">
        <v>366</v>
      </c>
      <c r="F1654" s="11" t="s">
        <v>38</v>
      </c>
      <c r="G1654" s="11" t="s">
        <v>503</v>
      </c>
      <c r="H1654" s="11" t="s">
        <v>173</v>
      </c>
      <c r="I1654" s="12">
        <v>0.01</v>
      </c>
      <c r="J1654" s="12">
        <v>1</v>
      </c>
      <c r="K1654" s="12">
        <v>84.51</v>
      </c>
      <c r="L1654" s="12">
        <v>84.51</v>
      </c>
      <c r="M1654" s="12">
        <v>-7.68</v>
      </c>
      <c r="N1654" s="12">
        <v>0</v>
      </c>
      <c r="O1654" s="12">
        <v>9.9879390000000008</v>
      </c>
      <c r="P1654" s="12">
        <v>86.817938999999996</v>
      </c>
    </row>
    <row r="1655" spans="1:16" ht="14.5" x14ac:dyDescent="0.25">
      <c r="A1655" s="10">
        <v>45999</v>
      </c>
      <c r="B1655" s="2" t="str">
        <f t="shared" si="52"/>
        <v>Dec-2025</v>
      </c>
      <c r="C1655" s="2" t="str">
        <f t="shared" si="53"/>
        <v>Q3</v>
      </c>
      <c r="D1655" s="2" t="s">
        <v>28</v>
      </c>
      <c r="E1655" s="11" t="s">
        <v>366</v>
      </c>
      <c r="F1655" s="11" t="s">
        <v>38</v>
      </c>
      <c r="G1655" s="11" t="s">
        <v>503</v>
      </c>
      <c r="H1655" s="11" t="s">
        <v>48</v>
      </c>
      <c r="I1655" s="12">
        <v>0.01</v>
      </c>
      <c r="J1655" s="12">
        <v>1</v>
      </c>
      <c r="K1655" s="12">
        <v>135.21</v>
      </c>
      <c r="L1655" s="12">
        <v>135.21</v>
      </c>
      <c r="M1655" s="12">
        <v>-12.29</v>
      </c>
      <c r="N1655" s="12">
        <v>0</v>
      </c>
      <c r="O1655" s="12">
        <v>15.979661999999999</v>
      </c>
      <c r="P1655" s="12">
        <v>138.89966200000001</v>
      </c>
    </row>
    <row r="1656" spans="1:16" ht="14.5" x14ac:dyDescent="0.25">
      <c r="A1656" s="10">
        <v>45999</v>
      </c>
      <c r="B1656" s="2" t="str">
        <f t="shared" si="52"/>
        <v>Dec-2025</v>
      </c>
      <c r="C1656" s="2" t="str">
        <f t="shared" si="53"/>
        <v>Q3</v>
      </c>
      <c r="D1656" s="2" t="s">
        <v>28</v>
      </c>
      <c r="E1656" s="11" t="s">
        <v>366</v>
      </c>
      <c r="F1656" s="11" t="s">
        <v>38</v>
      </c>
      <c r="G1656" s="11" t="s">
        <v>503</v>
      </c>
      <c r="H1656" s="11" t="s">
        <v>179</v>
      </c>
      <c r="I1656" s="12">
        <v>0.01</v>
      </c>
      <c r="J1656" s="12">
        <v>1</v>
      </c>
      <c r="K1656" s="12">
        <v>121.7</v>
      </c>
      <c r="L1656" s="12">
        <v>121.7</v>
      </c>
      <c r="M1656" s="12">
        <v>-11.06</v>
      </c>
      <c r="N1656" s="12">
        <v>0</v>
      </c>
      <c r="O1656" s="12">
        <v>14.383255999999999</v>
      </c>
      <c r="P1656" s="12">
        <v>125.023256</v>
      </c>
    </row>
    <row r="1657" spans="1:16" ht="14.5" x14ac:dyDescent="0.25">
      <c r="A1657" s="10">
        <v>45999</v>
      </c>
      <c r="B1657" s="2" t="str">
        <f t="shared" si="52"/>
        <v>Dec-2025</v>
      </c>
      <c r="C1657" s="2" t="str">
        <f t="shared" si="53"/>
        <v>Q3</v>
      </c>
      <c r="D1657" s="2" t="s">
        <v>28</v>
      </c>
      <c r="E1657" s="11" t="s">
        <v>366</v>
      </c>
      <c r="F1657" s="11" t="s">
        <v>38</v>
      </c>
      <c r="G1657" s="11" t="s">
        <v>507</v>
      </c>
      <c r="H1657" s="11" t="s">
        <v>60</v>
      </c>
      <c r="I1657" s="12">
        <v>0.02</v>
      </c>
      <c r="J1657" s="12">
        <v>1</v>
      </c>
      <c r="K1657" s="12">
        <v>98.03</v>
      </c>
      <c r="L1657" s="12">
        <v>98.03</v>
      </c>
      <c r="M1657" s="12">
        <v>-8.91</v>
      </c>
      <c r="N1657" s="12">
        <v>0</v>
      </c>
      <c r="O1657" s="12">
        <v>11.585645</v>
      </c>
      <c r="P1657" s="12">
        <v>100.705645</v>
      </c>
    </row>
    <row r="1658" spans="1:16" ht="14.5" x14ac:dyDescent="0.25">
      <c r="A1658" s="10">
        <v>45999</v>
      </c>
      <c r="B1658" s="2" t="str">
        <f t="shared" si="52"/>
        <v>Dec-2025</v>
      </c>
      <c r="C1658" s="2" t="str">
        <f t="shared" si="53"/>
        <v>Q3</v>
      </c>
      <c r="D1658" s="2" t="s">
        <v>28</v>
      </c>
      <c r="E1658" s="11" t="s">
        <v>366</v>
      </c>
      <c r="F1658" s="11" t="s">
        <v>38</v>
      </c>
      <c r="G1658" s="11" t="s">
        <v>508</v>
      </c>
      <c r="H1658" s="11" t="s">
        <v>178</v>
      </c>
      <c r="I1658" s="12">
        <v>0.02</v>
      </c>
      <c r="J1658" s="12">
        <v>1</v>
      </c>
      <c r="K1658" s="12">
        <v>148.72999999999999</v>
      </c>
      <c r="L1658" s="12">
        <v>148.72999999999999</v>
      </c>
      <c r="M1658" s="12">
        <v>-13.52</v>
      </c>
      <c r="N1658" s="12">
        <v>0</v>
      </c>
      <c r="O1658" s="12">
        <v>17.577369000000001</v>
      </c>
      <c r="P1658" s="12">
        <v>152.78736900000001</v>
      </c>
    </row>
    <row r="1659" spans="1:16" ht="14.5" x14ac:dyDescent="0.25">
      <c r="A1659" s="10">
        <v>45999</v>
      </c>
      <c r="B1659" s="2" t="str">
        <f t="shared" si="52"/>
        <v>Dec-2025</v>
      </c>
      <c r="C1659" s="2" t="str">
        <f t="shared" si="53"/>
        <v>Q3</v>
      </c>
      <c r="D1659" s="2" t="s">
        <v>28</v>
      </c>
      <c r="E1659" s="11" t="s">
        <v>367</v>
      </c>
      <c r="F1659" s="11" t="s">
        <v>38</v>
      </c>
      <c r="G1659" s="11" t="s">
        <v>505</v>
      </c>
      <c r="H1659" s="11" t="s">
        <v>62</v>
      </c>
      <c r="I1659" s="12">
        <v>0.03</v>
      </c>
      <c r="J1659" s="12">
        <v>1</v>
      </c>
      <c r="K1659" s="12">
        <v>439.44</v>
      </c>
      <c r="L1659" s="12">
        <v>439.44</v>
      </c>
      <c r="M1659" s="12">
        <v>-39.950000000000003</v>
      </c>
      <c r="N1659" s="12">
        <v>0</v>
      </c>
      <c r="O1659" s="12">
        <v>51.935147999999998</v>
      </c>
      <c r="P1659" s="12">
        <v>451.42514799999998</v>
      </c>
    </row>
    <row r="1660" spans="1:16" ht="14.5" x14ac:dyDescent="0.25">
      <c r="A1660" s="10">
        <v>45999</v>
      </c>
      <c r="B1660" s="2" t="str">
        <f t="shared" si="52"/>
        <v>Dec-2025</v>
      </c>
      <c r="C1660" s="2" t="str">
        <f t="shared" si="53"/>
        <v>Q3</v>
      </c>
      <c r="D1660" s="2" t="s">
        <v>28</v>
      </c>
      <c r="E1660" s="11" t="s">
        <v>367</v>
      </c>
      <c r="F1660" s="11" t="s">
        <v>38</v>
      </c>
      <c r="G1660" s="11" t="s">
        <v>503</v>
      </c>
      <c r="H1660" s="11" t="s">
        <v>87</v>
      </c>
      <c r="I1660" s="12">
        <v>0.01</v>
      </c>
      <c r="J1660" s="12">
        <v>1</v>
      </c>
      <c r="K1660" s="12">
        <v>114.93</v>
      </c>
      <c r="L1660" s="12">
        <v>114.93</v>
      </c>
      <c r="M1660" s="12">
        <v>-10.45</v>
      </c>
      <c r="N1660" s="12">
        <v>0</v>
      </c>
      <c r="O1660" s="12">
        <v>13.582779</v>
      </c>
      <c r="P1660" s="12">
        <v>118.06277900000001</v>
      </c>
    </row>
    <row r="1661" spans="1:16" ht="14.5" x14ac:dyDescent="0.25">
      <c r="A1661" s="10">
        <v>45999</v>
      </c>
      <c r="B1661" s="2" t="str">
        <f t="shared" si="52"/>
        <v>Dec-2025</v>
      </c>
      <c r="C1661" s="2" t="str">
        <f t="shared" si="53"/>
        <v>Q3</v>
      </c>
      <c r="D1661" s="2" t="s">
        <v>28</v>
      </c>
      <c r="E1661" s="11" t="s">
        <v>367</v>
      </c>
      <c r="F1661" s="11" t="s">
        <v>38</v>
      </c>
      <c r="G1661" s="11" t="s">
        <v>507</v>
      </c>
      <c r="H1661" s="11" t="s">
        <v>90</v>
      </c>
      <c r="I1661" s="12">
        <v>0.01</v>
      </c>
      <c r="J1661" s="12">
        <v>1</v>
      </c>
      <c r="K1661" s="12">
        <v>57.46</v>
      </c>
      <c r="L1661" s="12">
        <v>57.46</v>
      </c>
      <c r="M1661" s="12">
        <v>-5.22</v>
      </c>
      <c r="N1661" s="12">
        <v>0</v>
      </c>
      <c r="O1661" s="12">
        <v>6.7913889999999997</v>
      </c>
      <c r="P1661" s="12">
        <v>59.031388999999997</v>
      </c>
    </row>
    <row r="1662" spans="1:16" ht="14.5" x14ac:dyDescent="0.25">
      <c r="A1662" s="10">
        <v>45999</v>
      </c>
      <c r="B1662" s="2" t="str">
        <f t="shared" si="52"/>
        <v>Dec-2025</v>
      </c>
      <c r="C1662" s="2" t="str">
        <f t="shared" si="53"/>
        <v>Q3</v>
      </c>
      <c r="D1662" s="2" t="s">
        <v>28</v>
      </c>
      <c r="E1662" s="11" t="s">
        <v>367</v>
      </c>
      <c r="F1662" s="11" t="s">
        <v>38</v>
      </c>
      <c r="G1662" s="11" t="s">
        <v>503</v>
      </c>
      <c r="H1662" s="11" t="s">
        <v>171</v>
      </c>
      <c r="I1662" s="12">
        <v>0.01</v>
      </c>
      <c r="J1662" s="12">
        <v>1</v>
      </c>
      <c r="K1662" s="12">
        <v>155.49</v>
      </c>
      <c r="L1662" s="12">
        <v>155.49</v>
      </c>
      <c r="M1662" s="12">
        <v>-14.13</v>
      </c>
      <c r="N1662" s="12">
        <v>0</v>
      </c>
      <c r="O1662" s="12">
        <v>18.377312</v>
      </c>
      <c r="P1662" s="12">
        <v>159.737312</v>
      </c>
    </row>
    <row r="1663" spans="1:16" ht="14.5" x14ac:dyDescent="0.25">
      <c r="A1663" s="10">
        <v>45999</v>
      </c>
      <c r="B1663" s="2" t="str">
        <f t="shared" si="52"/>
        <v>Dec-2025</v>
      </c>
      <c r="C1663" s="2" t="str">
        <f t="shared" si="53"/>
        <v>Q3</v>
      </c>
      <c r="D1663" s="2" t="s">
        <v>28</v>
      </c>
      <c r="E1663" s="11" t="s">
        <v>367</v>
      </c>
      <c r="F1663" s="11" t="s">
        <v>38</v>
      </c>
      <c r="G1663" s="11" t="s">
        <v>503</v>
      </c>
      <c r="H1663" s="11" t="s">
        <v>170</v>
      </c>
      <c r="I1663" s="12">
        <v>0.01</v>
      </c>
      <c r="J1663" s="12">
        <v>1</v>
      </c>
      <c r="K1663" s="12">
        <v>169.01</v>
      </c>
      <c r="L1663" s="12">
        <v>169.01</v>
      </c>
      <c r="M1663" s="12">
        <v>-15.36</v>
      </c>
      <c r="N1663" s="12">
        <v>0</v>
      </c>
      <c r="O1663" s="12">
        <v>19.975057</v>
      </c>
      <c r="P1663" s="12">
        <v>173.625057</v>
      </c>
    </row>
    <row r="1664" spans="1:16" ht="14.5" x14ac:dyDescent="0.25">
      <c r="A1664" s="10">
        <v>45999</v>
      </c>
      <c r="B1664" s="2" t="str">
        <f t="shared" si="52"/>
        <v>Dec-2025</v>
      </c>
      <c r="C1664" s="2" t="str">
        <f t="shared" si="53"/>
        <v>Q3</v>
      </c>
      <c r="D1664" s="2" t="s">
        <v>28</v>
      </c>
      <c r="E1664" s="11" t="s">
        <v>367</v>
      </c>
      <c r="F1664" s="11" t="s">
        <v>38</v>
      </c>
      <c r="G1664" s="11" t="s">
        <v>503</v>
      </c>
      <c r="H1664" s="11" t="s">
        <v>180</v>
      </c>
      <c r="I1664" s="12">
        <v>0.01</v>
      </c>
      <c r="J1664" s="12">
        <v>1</v>
      </c>
      <c r="K1664" s="12">
        <v>141.97</v>
      </c>
      <c r="L1664" s="12">
        <v>141.97</v>
      </c>
      <c r="M1664" s="12">
        <v>-12.91</v>
      </c>
      <c r="N1664" s="12">
        <v>0</v>
      </c>
      <c r="O1664" s="12">
        <v>16.778268000000001</v>
      </c>
      <c r="P1664" s="12">
        <v>145.838268</v>
      </c>
    </row>
    <row r="1665" spans="1:16" ht="14.5" x14ac:dyDescent="0.25">
      <c r="A1665" s="10">
        <v>45999</v>
      </c>
      <c r="B1665" s="2" t="str">
        <f t="shared" si="52"/>
        <v>Dec-2025</v>
      </c>
      <c r="C1665" s="2" t="str">
        <f t="shared" si="53"/>
        <v>Q3</v>
      </c>
      <c r="D1665" s="2" t="s">
        <v>28</v>
      </c>
      <c r="E1665" s="11" t="s">
        <v>367</v>
      </c>
      <c r="F1665" s="11" t="s">
        <v>38</v>
      </c>
      <c r="G1665" s="11" t="s">
        <v>504</v>
      </c>
      <c r="H1665" s="11" t="s">
        <v>69</v>
      </c>
      <c r="I1665" s="12">
        <v>0.01</v>
      </c>
      <c r="J1665" s="12">
        <v>1</v>
      </c>
      <c r="K1665" s="12">
        <v>162.26</v>
      </c>
      <c r="L1665" s="12">
        <v>162.26</v>
      </c>
      <c r="M1665" s="12">
        <v>-14.75</v>
      </c>
      <c r="N1665" s="12">
        <v>0</v>
      </c>
      <c r="O1665" s="12">
        <v>19.176835000000001</v>
      </c>
      <c r="P1665" s="12">
        <v>166.686835</v>
      </c>
    </row>
    <row r="1666" spans="1:16" ht="14.5" x14ac:dyDescent="0.25">
      <c r="A1666" s="10">
        <v>45999</v>
      </c>
      <c r="B1666" s="2" t="str">
        <f t="shared" si="52"/>
        <v>Dec-2025</v>
      </c>
      <c r="C1666" s="2" t="str">
        <f t="shared" si="53"/>
        <v>Q3</v>
      </c>
      <c r="D1666" s="2" t="s">
        <v>28</v>
      </c>
      <c r="E1666" s="11" t="s">
        <v>367</v>
      </c>
      <c r="F1666" s="11" t="s">
        <v>38</v>
      </c>
      <c r="G1666" s="11" t="s">
        <v>503</v>
      </c>
      <c r="H1666" s="11" t="s">
        <v>63</v>
      </c>
      <c r="I1666" s="12">
        <v>0.01</v>
      </c>
      <c r="J1666" s="12">
        <v>1</v>
      </c>
      <c r="K1666" s="12">
        <v>185.92</v>
      </c>
      <c r="L1666" s="12">
        <v>185.92</v>
      </c>
      <c r="M1666" s="12">
        <v>-16.899999999999999</v>
      </c>
      <c r="N1666" s="12">
        <v>0</v>
      </c>
      <c r="O1666" s="12">
        <v>21.973213000000001</v>
      </c>
      <c r="P1666" s="12">
        <v>190.993213</v>
      </c>
    </row>
    <row r="1667" spans="1:16" ht="14.5" x14ac:dyDescent="0.25">
      <c r="A1667" s="10">
        <v>45999</v>
      </c>
      <c r="B1667" s="2" t="str">
        <f t="shared" si="52"/>
        <v>Dec-2025</v>
      </c>
      <c r="C1667" s="2" t="str">
        <f t="shared" si="53"/>
        <v>Q3</v>
      </c>
      <c r="D1667" s="2" t="s">
        <v>28</v>
      </c>
      <c r="E1667" s="11" t="s">
        <v>368</v>
      </c>
      <c r="F1667" s="11" t="s">
        <v>38</v>
      </c>
      <c r="G1667" s="11" t="s">
        <v>504</v>
      </c>
      <c r="H1667" s="11" t="s">
        <v>53</v>
      </c>
      <c r="I1667" s="12">
        <v>0.01</v>
      </c>
      <c r="J1667" s="12">
        <v>1</v>
      </c>
      <c r="K1667" s="12">
        <v>121.69</v>
      </c>
      <c r="L1667" s="12">
        <v>121.69</v>
      </c>
      <c r="M1667" s="12">
        <v>-11.06</v>
      </c>
      <c r="N1667" s="12">
        <v>0</v>
      </c>
      <c r="O1667" s="12">
        <v>0</v>
      </c>
      <c r="P1667" s="12">
        <v>110.63</v>
      </c>
    </row>
    <row r="1668" spans="1:16" ht="14.5" x14ac:dyDescent="0.25">
      <c r="A1668" s="10">
        <v>45999</v>
      </c>
      <c r="B1668" s="2" t="str">
        <f t="shared" si="52"/>
        <v>Dec-2025</v>
      </c>
      <c r="C1668" s="2" t="str">
        <f t="shared" si="53"/>
        <v>Q3</v>
      </c>
      <c r="D1668" s="2" t="s">
        <v>28</v>
      </c>
      <c r="E1668" s="11" t="s">
        <v>369</v>
      </c>
      <c r="F1668" s="11" t="s">
        <v>14</v>
      </c>
      <c r="G1668" s="11" t="s">
        <v>504</v>
      </c>
      <c r="H1668" s="11" t="s">
        <v>53</v>
      </c>
      <c r="I1668" s="12">
        <v>1</v>
      </c>
      <c r="J1668" s="12">
        <v>100</v>
      </c>
      <c r="K1668" s="12">
        <v>121.69</v>
      </c>
      <c r="L1668" s="12">
        <v>12169</v>
      </c>
      <c r="M1668" s="12">
        <v>-1106.1600000000001</v>
      </c>
      <c r="N1668" s="12">
        <v>0</v>
      </c>
      <c r="O1668" s="12">
        <v>0</v>
      </c>
      <c r="P1668" s="12">
        <v>11062.84</v>
      </c>
    </row>
    <row r="1669" spans="1:16" ht="14.5" x14ac:dyDescent="0.25">
      <c r="A1669" s="10">
        <v>46001</v>
      </c>
      <c r="B1669" s="2" t="str">
        <f t="shared" si="52"/>
        <v>Dec-2025</v>
      </c>
      <c r="C1669" s="2" t="str">
        <f t="shared" si="53"/>
        <v>Q3</v>
      </c>
      <c r="D1669" s="2" t="s">
        <v>28</v>
      </c>
      <c r="E1669" s="11" t="s">
        <v>370</v>
      </c>
      <c r="F1669" s="11" t="s">
        <v>21</v>
      </c>
      <c r="G1669" s="11" t="s">
        <v>506</v>
      </c>
      <c r="H1669" s="11" t="s">
        <v>39</v>
      </c>
      <c r="I1669" s="12">
        <v>1.33</v>
      </c>
      <c r="J1669" s="12">
        <v>96</v>
      </c>
      <c r="K1669" s="12">
        <v>124.25</v>
      </c>
      <c r="L1669" s="12">
        <v>11928</v>
      </c>
      <c r="M1669" s="12">
        <v>0</v>
      </c>
      <c r="N1669" s="12">
        <v>0</v>
      </c>
      <c r="O1669" s="12">
        <v>1550.64</v>
      </c>
      <c r="P1669" s="12">
        <v>13478.64</v>
      </c>
    </row>
    <row r="1670" spans="1:16" ht="14.5" x14ac:dyDescent="0.25">
      <c r="A1670" s="10">
        <v>46001</v>
      </c>
      <c r="B1670" s="2" t="str">
        <f t="shared" si="52"/>
        <v>Dec-2025</v>
      </c>
      <c r="C1670" s="2" t="str">
        <f t="shared" si="53"/>
        <v>Q3</v>
      </c>
      <c r="D1670" s="2" t="s">
        <v>28</v>
      </c>
      <c r="E1670" s="11" t="s">
        <v>371</v>
      </c>
      <c r="F1670" s="11" t="s">
        <v>19</v>
      </c>
      <c r="G1670" s="11" t="s">
        <v>505</v>
      </c>
      <c r="H1670" s="11" t="s">
        <v>43</v>
      </c>
      <c r="I1670" s="12">
        <v>1</v>
      </c>
      <c r="J1670" s="12">
        <v>40</v>
      </c>
      <c r="K1670" s="12">
        <v>283.94</v>
      </c>
      <c r="L1670" s="12">
        <v>11357.599999999999</v>
      </c>
      <c r="M1670" s="12">
        <v>-1032.4099999999999</v>
      </c>
      <c r="N1670" s="12">
        <v>0</v>
      </c>
      <c r="O1670" s="12">
        <v>1342.2746999999999</v>
      </c>
      <c r="P1670" s="12">
        <v>11667.4647</v>
      </c>
    </row>
    <row r="1671" spans="1:16" ht="14.5" x14ac:dyDescent="0.25">
      <c r="A1671" s="10">
        <v>46001</v>
      </c>
      <c r="B1671" s="2" t="str">
        <f t="shared" si="52"/>
        <v>Dec-2025</v>
      </c>
      <c r="C1671" s="2" t="str">
        <f t="shared" si="53"/>
        <v>Q3</v>
      </c>
      <c r="D1671" s="2" t="s">
        <v>28</v>
      </c>
      <c r="E1671" s="11" t="s">
        <v>371</v>
      </c>
      <c r="F1671" s="11" t="s">
        <v>19</v>
      </c>
      <c r="G1671" s="11" t="s">
        <v>505</v>
      </c>
      <c r="H1671" s="11" t="s">
        <v>55</v>
      </c>
      <c r="I1671" s="12">
        <v>2</v>
      </c>
      <c r="J1671" s="12">
        <v>240</v>
      </c>
      <c r="K1671" s="12">
        <v>152.11000000000001</v>
      </c>
      <c r="L1671" s="12">
        <v>36506.400000000001</v>
      </c>
      <c r="M1671" s="12">
        <v>-3318.43</v>
      </c>
      <c r="N1671" s="12">
        <v>0</v>
      </c>
      <c r="O1671" s="12">
        <v>4314.4360999999999</v>
      </c>
      <c r="P1671" s="12">
        <v>37502.4061</v>
      </c>
    </row>
    <row r="1672" spans="1:16" ht="14.5" x14ac:dyDescent="0.25">
      <c r="A1672" s="10">
        <v>46001</v>
      </c>
      <c r="B1672" s="2" t="str">
        <f t="shared" si="52"/>
        <v>Dec-2025</v>
      </c>
      <c r="C1672" s="2" t="str">
        <f t="shared" si="53"/>
        <v>Q3</v>
      </c>
      <c r="D1672" s="2" t="s">
        <v>28</v>
      </c>
      <c r="E1672" s="11" t="s">
        <v>371</v>
      </c>
      <c r="F1672" s="11" t="s">
        <v>19</v>
      </c>
      <c r="G1672" s="11" t="s">
        <v>504</v>
      </c>
      <c r="H1672" s="11" t="s">
        <v>69</v>
      </c>
      <c r="I1672" s="12">
        <v>1</v>
      </c>
      <c r="J1672" s="12">
        <v>100</v>
      </c>
      <c r="K1672" s="12">
        <v>162.26</v>
      </c>
      <c r="L1672" s="12">
        <v>16226</v>
      </c>
      <c r="M1672" s="12">
        <v>-1474.94</v>
      </c>
      <c r="N1672" s="12">
        <v>0</v>
      </c>
      <c r="O1672" s="12">
        <v>1917.6378000000002</v>
      </c>
      <c r="P1672" s="12">
        <v>16668.697800000002</v>
      </c>
    </row>
    <row r="1673" spans="1:16" ht="14.5" x14ac:dyDescent="0.25">
      <c r="A1673" s="10">
        <v>46001</v>
      </c>
      <c r="B1673" s="2" t="str">
        <f t="shared" si="52"/>
        <v>Dec-2025</v>
      </c>
      <c r="C1673" s="2" t="str">
        <f t="shared" si="53"/>
        <v>Q3</v>
      </c>
      <c r="D1673" s="2" t="s">
        <v>28</v>
      </c>
      <c r="E1673" s="11" t="s">
        <v>371</v>
      </c>
      <c r="F1673" s="11" t="s">
        <v>19</v>
      </c>
      <c r="G1673" s="11" t="s">
        <v>504</v>
      </c>
      <c r="H1673" s="11" t="s">
        <v>67</v>
      </c>
      <c r="I1673" s="12">
        <v>1</v>
      </c>
      <c r="J1673" s="12">
        <v>40</v>
      </c>
      <c r="K1673" s="12">
        <v>393.46</v>
      </c>
      <c r="L1673" s="12">
        <v>15738.4</v>
      </c>
      <c r="M1673" s="12">
        <v>-1430.6200000000001</v>
      </c>
      <c r="N1673" s="12">
        <v>0</v>
      </c>
      <c r="O1673" s="12">
        <v>1860.0113999999999</v>
      </c>
      <c r="P1673" s="12">
        <v>16167.7914</v>
      </c>
    </row>
    <row r="1674" spans="1:16" ht="14.5" x14ac:dyDescent="0.25">
      <c r="A1674" s="10">
        <v>46001</v>
      </c>
      <c r="B1674" s="2" t="str">
        <f t="shared" si="52"/>
        <v>Dec-2025</v>
      </c>
      <c r="C1674" s="2" t="str">
        <f t="shared" si="53"/>
        <v>Q3</v>
      </c>
      <c r="D1674" s="2" t="s">
        <v>28</v>
      </c>
      <c r="E1674" s="11" t="s">
        <v>372</v>
      </c>
      <c r="F1674" s="11" t="s">
        <v>19</v>
      </c>
      <c r="G1674" s="11" t="s">
        <v>504</v>
      </c>
      <c r="H1674" s="11" t="s">
        <v>61</v>
      </c>
      <c r="I1674" s="12">
        <v>1</v>
      </c>
      <c r="J1674" s="12">
        <v>40</v>
      </c>
      <c r="K1674" s="12">
        <v>336</v>
      </c>
      <c r="L1674" s="12">
        <v>13440</v>
      </c>
      <c r="M1674" s="12">
        <v>-1221.6999999999998</v>
      </c>
      <c r="N1674" s="12">
        <v>0</v>
      </c>
      <c r="O1674" s="12">
        <v>0</v>
      </c>
      <c r="P1674" s="12">
        <v>12218.3</v>
      </c>
    </row>
    <row r="1675" spans="1:16" ht="14.5" x14ac:dyDescent="0.25">
      <c r="A1675" s="10">
        <v>46001</v>
      </c>
      <c r="B1675" s="2" t="str">
        <f t="shared" si="52"/>
        <v>Dec-2025</v>
      </c>
      <c r="C1675" s="2" t="str">
        <f t="shared" si="53"/>
        <v>Q3</v>
      </c>
      <c r="D1675" s="2" t="s">
        <v>28</v>
      </c>
      <c r="E1675" s="11" t="s">
        <v>372</v>
      </c>
      <c r="F1675" s="11" t="s">
        <v>19</v>
      </c>
      <c r="G1675" s="11" t="s">
        <v>504</v>
      </c>
      <c r="H1675" s="11" t="s">
        <v>53</v>
      </c>
      <c r="I1675" s="12">
        <v>1</v>
      </c>
      <c r="J1675" s="12">
        <v>100</v>
      </c>
      <c r="K1675" s="12">
        <v>138</v>
      </c>
      <c r="L1675" s="12">
        <v>13800</v>
      </c>
      <c r="M1675" s="12">
        <v>-1254.4199999999998</v>
      </c>
      <c r="N1675" s="12">
        <v>0</v>
      </c>
      <c r="O1675" s="12">
        <v>0</v>
      </c>
      <c r="P1675" s="12">
        <v>12545.58</v>
      </c>
    </row>
    <row r="1676" spans="1:16" ht="14.5" x14ac:dyDescent="0.25">
      <c r="A1676" s="10">
        <v>46002</v>
      </c>
      <c r="B1676" s="2" t="str">
        <f t="shared" si="52"/>
        <v>Dec-2025</v>
      </c>
      <c r="C1676" s="2" t="str">
        <f t="shared" si="53"/>
        <v>Q3</v>
      </c>
      <c r="D1676" s="2" t="s">
        <v>28</v>
      </c>
      <c r="E1676" s="11" t="s">
        <v>373</v>
      </c>
      <c r="F1676" s="11" t="s">
        <v>236</v>
      </c>
      <c r="G1676" s="11" t="s">
        <v>503</v>
      </c>
      <c r="H1676" s="11" t="s">
        <v>59</v>
      </c>
      <c r="I1676" s="12">
        <v>0.5</v>
      </c>
      <c r="J1676" s="12">
        <v>90</v>
      </c>
      <c r="K1676" s="12">
        <v>64.23</v>
      </c>
      <c r="L1676" s="12">
        <v>5780.7</v>
      </c>
      <c r="M1676" s="12">
        <v>-525.47</v>
      </c>
      <c r="N1676" s="12">
        <v>0</v>
      </c>
      <c r="O1676" s="12">
        <v>683.17996000000005</v>
      </c>
      <c r="P1676" s="12">
        <v>5938.40996</v>
      </c>
    </row>
    <row r="1677" spans="1:16" ht="14.5" x14ac:dyDescent="0.25">
      <c r="A1677" s="10">
        <v>46002</v>
      </c>
      <c r="B1677" s="2" t="str">
        <f t="shared" si="52"/>
        <v>Dec-2025</v>
      </c>
      <c r="C1677" s="2" t="str">
        <f t="shared" si="53"/>
        <v>Q3</v>
      </c>
      <c r="D1677" s="2" t="s">
        <v>28</v>
      </c>
      <c r="E1677" s="11" t="s">
        <v>373</v>
      </c>
      <c r="F1677" s="11" t="s">
        <v>236</v>
      </c>
      <c r="G1677" s="11" t="s">
        <v>504</v>
      </c>
      <c r="H1677" s="11" t="s">
        <v>66</v>
      </c>
      <c r="I1677" s="12">
        <v>0.5</v>
      </c>
      <c r="J1677" s="12">
        <v>50</v>
      </c>
      <c r="K1677" s="12">
        <v>108.17</v>
      </c>
      <c r="L1677" s="12">
        <v>5408.5</v>
      </c>
      <c r="M1677" s="12">
        <v>-491.63</v>
      </c>
      <c r="N1677" s="12">
        <v>0</v>
      </c>
      <c r="O1677" s="12">
        <v>639.19315599999993</v>
      </c>
      <c r="P1677" s="12">
        <v>5556.0631560000002</v>
      </c>
    </row>
    <row r="1678" spans="1:16" ht="14.5" x14ac:dyDescent="0.25">
      <c r="A1678" s="10">
        <v>46002</v>
      </c>
      <c r="B1678" s="2" t="str">
        <f t="shared" si="52"/>
        <v>Dec-2025</v>
      </c>
      <c r="C1678" s="2" t="str">
        <f t="shared" si="53"/>
        <v>Q3</v>
      </c>
      <c r="D1678" s="2" t="s">
        <v>28</v>
      </c>
      <c r="E1678" s="11" t="s">
        <v>373</v>
      </c>
      <c r="F1678" s="11" t="s">
        <v>236</v>
      </c>
      <c r="G1678" s="11" t="s">
        <v>505</v>
      </c>
      <c r="H1678" s="11" t="s">
        <v>56</v>
      </c>
      <c r="I1678" s="12">
        <v>0.5</v>
      </c>
      <c r="J1678" s="12">
        <v>60</v>
      </c>
      <c r="K1678" s="12">
        <v>50.7</v>
      </c>
      <c r="L1678" s="12">
        <v>3042</v>
      </c>
      <c r="M1678" s="12">
        <v>-276.52</v>
      </c>
      <c r="N1678" s="12">
        <v>0</v>
      </c>
      <c r="O1678" s="12">
        <v>359.51243099999999</v>
      </c>
      <c r="P1678" s="12">
        <v>3124.9924310000001</v>
      </c>
    </row>
    <row r="1679" spans="1:16" ht="14.5" x14ac:dyDescent="0.25">
      <c r="A1679" s="10">
        <v>46002</v>
      </c>
      <c r="B1679" s="2" t="str">
        <f t="shared" si="52"/>
        <v>Dec-2025</v>
      </c>
      <c r="C1679" s="2" t="str">
        <f t="shared" si="53"/>
        <v>Q3</v>
      </c>
      <c r="D1679" s="2" t="s">
        <v>28</v>
      </c>
      <c r="E1679" s="11" t="s">
        <v>373</v>
      </c>
      <c r="F1679" s="11" t="s">
        <v>236</v>
      </c>
      <c r="G1679" s="11" t="s">
        <v>503</v>
      </c>
      <c r="H1679" s="11" t="s">
        <v>42</v>
      </c>
      <c r="I1679" s="12">
        <v>0.5</v>
      </c>
      <c r="J1679" s="12">
        <v>60</v>
      </c>
      <c r="K1679" s="12">
        <v>141.97</v>
      </c>
      <c r="L1679" s="12">
        <v>8518.2000000000007</v>
      </c>
      <c r="M1679" s="12">
        <v>-774.3</v>
      </c>
      <c r="N1679" s="12">
        <v>0</v>
      </c>
      <c r="O1679" s="12">
        <v>1006.7070879999999</v>
      </c>
      <c r="P1679" s="12">
        <v>8750.6070880000007</v>
      </c>
    </row>
    <row r="1680" spans="1:16" ht="14.5" x14ac:dyDescent="0.25">
      <c r="A1680" s="10">
        <v>46002</v>
      </c>
      <c r="B1680" s="2" t="str">
        <f t="shared" si="52"/>
        <v>Dec-2025</v>
      </c>
      <c r="C1680" s="2" t="str">
        <f t="shared" si="53"/>
        <v>Q3</v>
      </c>
      <c r="D1680" s="2" t="s">
        <v>28</v>
      </c>
      <c r="E1680" s="11" t="s">
        <v>373</v>
      </c>
      <c r="F1680" s="11" t="s">
        <v>236</v>
      </c>
      <c r="G1680" s="11" t="s">
        <v>505</v>
      </c>
      <c r="H1680" s="11" t="s">
        <v>55</v>
      </c>
      <c r="I1680" s="12">
        <v>0.5</v>
      </c>
      <c r="J1680" s="12">
        <v>60</v>
      </c>
      <c r="K1680" s="12">
        <v>152.11000000000001</v>
      </c>
      <c r="L1680" s="12">
        <v>9126.6</v>
      </c>
      <c r="M1680" s="12">
        <v>-829.6099999999999</v>
      </c>
      <c r="N1680" s="12">
        <v>0</v>
      </c>
      <c r="O1680" s="12">
        <v>1078.608794</v>
      </c>
      <c r="P1680" s="12">
        <v>9375.5987939999995</v>
      </c>
    </row>
    <row r="1681" spans="1:16" ht="14.5" x14ac:dyDescent="0.25">
      <c r="A1681" s="10">
        <v>46002</v>
      </c>
      <c r="B1681" s="2" t="str">
        <f t="shared" si="52"/>
        <v>Dec-2025</v>
      </c>
      <c r="C1681" s="2" t="str">
        <f t="shared" si="53"/>
        <v>Q3</v>
      </c>
      <c r="D1681" s="2" t="s">
        <v>28</v>
      </c>
      <c r="E1681" s="11" t="s">
        <v>373</v>
      </c>
      <c r="F1681" s="11" t="s">
        <v>236</v>
      </c>
      <c r="G1681" s="11" t="s">
        <v>503</v>
      </c>
      <c r="H1681" s="11" t="s">
        <v>52</v>
      </c>
      <c r="I1681" s="12">
        <v>0.5</v>
      </c>
      <c r="J1681" s="12">
        <v>90</v>
      </c>
      <c r="K1681" s="12">
        <v>70.989999999999995</v>
      </c>
      <c r="L1681" s="12">
        <v>6389.1</v>
      </c>
      <c r="M1681" s="12">
        <v>-580.77</v>
      </c>
      <c r="N1681" s="12">
        <v>0</v>
      </c>
      <c r="O1681" s="12">
        <v>755.08296600000006</v>
      </c>
      <c r="P1681" s="12">
        <v>6563.4129659999999</v>
      </c>
    </row>
    <row r="1682" spans="1:16" ht="14.5" x14ac:dyDescent="0.25">
      <c r="A1682" s="10">
        <v>46002</v>
      </c>
      <c r="B1682" s="2" t="str">
        <f t="shared" si="52"/>
        <v>Dec-2025</v>
      </c>
      <c r="C1682" s="2" t="str">
        <f t="shared" si="53"/>
        <v>Q3</v>
      </c>
      <c r="D1682" s="2" t="s">
        <v>28</v>
      </c>
      <c r="E1682" s="11" t="s">
        <v>373</v>
      </c>
      <c r="F1682" s="11" t="s">
        <v>236</v>
      </c>
      <c r="G1682" s="11" t="s">
        <v>504</v>
      </c>
      <c r="H1682" s="11" t="s">
        <v>69</v>
      </c>
      <c r="I1682" s="12">
        <v>0.5</v>
      </c>
      <c r="J1682" s="12">
        <v>50</v>
      </c>
      <c r="K1682" s="12">
        <v>162.26</v>
      </c>
      <c r="L1682" s="12">
        <v>8113</v>
      </c>
      <c r="M1682" s="12">
        <v>-737.47</v>
      </c>
      <c r="N1682" s="12">
        <v>0</v>
      </c>
      <c r="O1682" s="12">
        <v>958.818984</v>
      </c>
      <c r="P1682" s="12">
        <v>8334.3489840000002</v>
      </c>
    </row>
    <row r="1683" spans="1:16" ht="14.5" x14ac:dyDescent="0.25">
      <c r="A1683" s="10">
        <v>46002</v>
      </c>
      <c r="B1683" s="2" t="str">
        <f t="shared" si="52"/>
        <v>Dec-2025</v>
      </c>
      <c r="C1683" s="2" t="str">
        <f t="shared" si="53"/>
        <v>Q3</v>
      </c>
      <c r="D1683" s="2" t="s">
        <v>28</v>
      </c>
      <c r="E1683" s="11" t="s">
        <v>373</v>
      </c>
      <c r="F1683" s="11" t="s">
        <v>236</v>
      </c>
      <c r="G1683" s="11" t="s">
        <v>509</v>
      </c>
      <c r="H1683" s="11" t="s">
        <v>284</v>
      </c>
      <c r="I1683" s="12">
        <v>0.25</v>
      </c>
      <c r="J1683" s="12">
        <v>50</v>
      </c>
      <c r="K1683" s="12">
        <v>128.44999999999999</v>
      </c>
      <c r="L1683" s="12">
        <v>6422.5</v>
      </c>
      <c r="M1683" s="12">
        <v>-583.80999999999995</v>
      </c>
      <c r="N1683" s="12">
        <v>0</v>
      </c>
      <c r="O1683" s="12">
        <v>759.029766</v>
      </c>
      <c r="P1683" s="12">
        <v>6597.7197660000002</v>
      </c>
    </row>
    <row r="1684" spans="1:16" ht="14.5" x14ac:dyDescent="0.25">
      <c r="A1684" s="10">
        <v>46002</v>
      </c>
      <c r="B1684" s="2" t="str">
        <f t="shared" si="52"/>
        <v>Dec-2025</v>
      </c>
      <c r="C1684" s="2" t="str">
        <f t="shared" si="53"/>
        <v>Q3</v>
      </c>
      <c r="D1684" s="2" t="s">
        <v>28</v>
      </c>
      <c r="E1684" s="11" t="s">
        <v>373</v>
      </c>
      <c r="F1684" s="11" t="s">
        <v>236</v>
      </c>
      <c r="G1684" s="11" t="s">
        <v>503</v>
      </c>
      <c r="H1684" s="11" t="s">
        <v>166</v>
      </c>
      <c r="I1684" s="12">
        <v>0.5</v>
      </c>
      <c r="J1684" s="12">
        <v>60</v>
      </c>
      <c r="K1684" s="12">
        <v>64.23</v>
      </c>
      <c r="L1684" s="12">
        <v>3853.7999999999997</v>
      </c>
      <c r="M1684" s="12">
        <v>-350.31</v>
      </c>
      <c r="N1684" s="12">
        <v>0</v>
      </c>
      <c r="O1684" s="12">
        <v>455.45374000000004</v>
      </c>
      <c r="P1684" s="12">
        <v>3958.9437400000002</v>
      </c>
    </row>
    <row r="1685" spans="1:16" ht="14.5" x14ac:dyDescent="0.25">
      <c r="A1685" s="10">
        <v>46002</v>
      </c>
      <c r="B1685" s="2" t="str">
        <f t="shared" si="52"/>
        <v>Dec-2025</v>
      </c>
      <c r="C1685" s="2" t="str">
        <f t="shared" si="53"/>
        <v>Q3</v>
      </c>
      <c r="D1685" s="2" t="s">
        <v>28</v>
      </c>
      <c r="E1685" s="11" t="s">
        <v>373</v>
      </c>
      <c r="F1685" s="11" t="s">
        <v>236</v>
      </c>
      <c r="G1685" s="11" t="s">
        <v>503</v>
      </c>
      <c r="H1685" s="11" t="s">
        <v>41</v>
      </c>
      <c r="I1685" s="12">
        <v>0.5</v>
      </c>
      <c r="J1685" s="12">
        <v>90</v>
      </c>
      <c r="K1685" s="12">
        <v>60.84</v>
      </c>
      <c r="L1685" s="12">
        <v>5475.5999999999995</v>
      </c>
      <c r="M1685" s="12">
        <v>-497.73</v>
      </c>
      <c r="N1685" s="12">
        <v>0</v>
      </c>
      <c r="O1685" s="12">
        <v>647.12315599999999</v>
      </c>
      <c r="P1685" s="12">
        <v>5624.9931560000005</v>
      </c>
    </row>
    <row r="1686" spans="1:16" ht="14.5" x14ac:dyDescent="0.25">
      <c r="A1686" s="10">
        <v>46002</v>
      </c>
      <c r="B1686" s="2" t="str">
        <f t="shared" si="52"/>
        <v>Dec-2025</v>
      </c>
      <c r="C1686" s="2" t="str">
        <f t="shared" si="53"/>
        <v>Q3</v>
      </c>
      <c r="D1686" s="2" t="s">
        <v>28</v>
      </c>
      <c r="E1686" s="11" t="s">
        <v>373</v>
      </c>
      <c r="F1686" s="11" t="s">
        <v>236</v>
      </c>
      <c r="G1686" s="11" t="s">
        <v>503</v>
      </c>
      <c r="H1686" s="11" t="s">
        <v>45</v>
      </c>
      <c r="I1686" s="12">
        <v>0.5</v>
      </c>
      <c r="J1686" s="12">
        <v>90</v>
      </c>
      <c r="K1686" s="12">
        <v>64.23</v>
      </c>
      <c r="L1686" s="12">
        <v>5780.7</v>
      </c>
      <c r="M1686" s="12">
        <v>-525.47</v>
      </c>
      <c r="N1686" s="12">
        <v>0</v>
      </c>
      <c r="O1686" s="12">
        <v>683.17996000000005</v>
      </c>
      <c r="P1686" s="12">
        <v>5938.40996</v>
      </c>
    </row>
    <row r="1687" spans="1:16" ht="14.5" x14ac:dyDescent="0.25">
      <c r="A1687" s="10">
        <v>46002</v>
      </c>
      <c r="B1687" s="2" t="str">
        <f t="shared" si="52"/>
        <v>Dec-2025</v>
      </c>
      <c r="C1687" s="2" t="str">
        <f t="shared" si="53"/>
        <v>Q3</v>
      </c>
      <c r="D1687" s="2" t="s">
        <v>28</v>
      </c>
      <c r="E1687" s="11" t="s">
        <v>374</v>
      </c>
      <c r="F1687" s="11" t="s">
        <v>21</v>
      </c>
      <c r="G1687" s="11" t="s">
        <v>506</v>
      </c>
      <c r="H1687" s="11" t="s">
        <v>58</v>
      </c>
      <c r="I1687" s="12">
        <v>1.33</v>
      </c>
      <c r="J1687" s="12">
        <v>96</v>
      </c>
      <c r="K1687" s="12">
        <v>140.18</v>
      </c>
      <c r="L1687" s="12">
        <v>13457.28</v>
      </c>
      <c r="M1687" s="12">
        <v>0</v>
      </c>
      <c r="N1687" s="12">
        <v>0</v>
      </c>
      <c r="O1687" s="12">
        <v>1749.45</v>
      </c>
      <c r="P1687" s="12">
        <v>15206.73</v>
      </c>
    </row>
    <row r="1688" spans="1:16" ht="14.5" x14ac:dyDescent="0.25">
      <c r="A1688" s="10">
        <v>46003</v>
      </c>
      <c r="B1688" s="2" t="str">
        <f t="shared" si="52"/>
        <v>Dec-2025</v>
      </c>
      <c r="C1688" s="2" t="str">
        <f t="shared" si="53"/>
        <v>Q3</v>
      </c>
      <c r="D1688" s="2" t="s">
        <v>28</v>
      </c>
      <c r="E1688" s="11" t="s">
        <v>375</v>
      </c>
      <c r="F1688" s="11" t="s">
        <v>38</v>
      </c>
      <c r="G1688" s="11" t="s">
        <v>504</v>
      </c>
      <c r="H1688" s="11" t="s">
        <v>66</v>
      </c>
      <c r="I1688" s="12">
        <v>0.01</v>
      </c>
      <c r="J1688" s="12">
        <v>1</v>
      </c>
      <c r="K1688" s="12">
        <v>88.5</v>
      </c>
      <c r="L1688" s="12">
        <v>88.5</v>
      </c>
      <c r="M1688" s="12">
        <v>0</v>
      </c>
      <c r="N1688" s="12">
        <v>0</v>
      </c>
      <c r="O1688" s="12">
        <v>11.505029</v>
      </c>
      <c r="P1688" s="12">
        <v>100.00502899999999</v>
      </c>
    </row>
    <row r="1689" spans="1:16" ht="14.5" x14ac:dyDescent="0.25">
      <c r="A1689" s="10">
        <v>46003</v>
      </c>
      <c r="B1689" s="2" t="str">
        <f t="shared" si="52"/>
        <v>Dec-2025</v>
      </c>
      <c r="C1689" s="2" t="str">
        <f t="shared" si="53"/>
        <v>Q3</v>
      </c>
      <c r="D1689" s="2" t="s">
        <v>28</v>
      </c>
      <c r="E1689" s="11" t="s">
        <v>375</v>
      </c>
      <c r="F1689" s="11" t="s">
        <v>38</v>
      </c>
      <c r="G1689" s="11" t="s">
        <v>505</v>
      </c>
      <c r="H1689" s="11" t="s">
        <v>40</v>
      </c>
      <c r="I1689" s="12">
        <v>0.01</v>
      </c>
      <c r="J1689" s="12">
        <v>2</v>
      </c>
      <c r="K1689" s="12">
        <v>78.540000000000006</v>
      </c>
      <c r="L1689" s="12">
        <v>157.08000000000001</v>
      </c>
      <c r="M1689" s="12">
        <v>0</v>
      </c>
      <c r="N1689" s="12">
        <v>0</v>
      </c>
      <c r="O1689" s="12">
        <v>20.420452000000001</v>
      </c>
      <c r="P1689" s="12">
        <v>177.500452</v>
      </c>
    </row>
    <row r="1690" spans="1:16" ht="14.5" x14ac:dyDescent="0.25">
      <c r="A1690" s="10">
        <v>46003</v>
      </c>
      <c r="B1690" s="2" t="str">
        <f t="shared" si="52"/>
        <v>Dec-2025</v>
      </c>
      <c r="C1690" s="2" t="str">
        <f t="shared" si="53"/>
        <v>Q3</v>
      </c>
      <c r="D1690" s="2" t="s">
        <v>28</v>
      </c>
      <c r="E1690" s="11" t="s">
        <v>375</v>
      </c>
      <c r="F1690" s="11" t="s">
        <v>38</v>
      </c>
      <c r="G1690" s="11" t="s">
        <v>505</v>
      </c>
      <c r="H1690" s="11" t="s">
        <v>50</v>
      </c>
      <c r="I1690" s="12">
        <v>0.03</v>
      </c>
      <c r="J1690" s="12">
        <v>2</v>
      </c>
      <c r="K1690" s="12">
        <v>131.63</v>
      </c>
      <c r="L1690" s="12">
        <v>263.26</v>
      </c>
      <c r="M1690" s="12">
        <v>0</v>
      </c>
      <c r="N1690" s="12">
        <v>0</v>
      </c>
      <c r="O1690" s="12">
        <v>34.223888000000002</v>
      </c>
      <c r="P1690" s="12">
        <v>297.48388799999998</v>
      </c>
    </row>
    <row r="1691" spans="1:16" ht="14.5" x14ac:dyDescent="0.25">
      <c r="A1691" s="10">
        <v>46003</v>
      </c>
      <c r="B1691" s="2" t="str">
        <f t="shared" si="52"/>
        <v>Dec-2025</v>
      </c>
      <c r="C1691" s="2" t="str">
        <f t="shared" si="53"/>
        <v>Q3</v>
      </c>
      <c r="D1691" s="2" t="s">
        <v>28</v>
      </c>
      <c r="E1691" s="11" t="s">
        <v>375</v>
      </c>
      <c r="F1691" s="11" t="s">
        <v>38</v>
      </c>
      <c r="G1691" s="11" t="s">
        <v>503</v>
      </c>
      <c r="H1691" s="11" t="s">
        <v>59</v>
      </c>
      <c r="I1691" s="12">
        <v>0.01</v>
      </c>
      <c r="J1691" s="12">
        <v>2</v>
      </c>
      <c r="K1691" s="12">
        <v>52.58</v>
      </c>
      <c r="L1691" s="12">
        <v>105.16</v>
      </c>
      <c r="M1691" s="12">
        <v>0</v>
      </c>
      <c r="N1691" s="12">
        <v>0</v>
      </c>
      <c r="O1691" s="12">
        <v>13.670835</v>
      </c>
      <c r="P1691" s="12">
        <v>118.83083499999999</v>
      </c>
    </row>
    <row r="1692" spans="1:16" ht="14.5" x14ac:dyDescent="0.25">
      <c r="A1692" s="10">
        <v>46003</v>
      </c>
      <c r="B1692" s="2" t="str">
        <f t="shared" si="52"/>
        <v>Dec-2025</v>
      </c>
      <c r="C1692" s="2" t="str">
        <f t="shared" si="53"/>
        <v>Q3</v>
      </c>
      <c r="D1692" s="2" t="s">
        <v>28</v>
      </c>
      <c r="E1692" s="11" t="s">
        <v>375</v>
      </c>
      <c r="F1692" s="11" t="s">
        <v>38</v>
      </c>
      <c r="G1692" s="11" t="s">
        <v>503</v>
      </c>
      <c r="H1692" s="11" t="s">
        <v>45</v>
      </c>
      <c r="I1692" s="12">
        <v>0.01</v>
      </c>
      <c r="J1692" s="12">
        <v>2</v>
      </c>
      <c r="K1692" s="12">
        <v>52.39</v>
      </c>
      <c r="L1692" s="12">
        <v>104.78</v>
      </c>
      <c r="M1692" s="12">
        <v>0</v>
      </c>
      <c r="N1692" s="12">
        <v>0</v>
      </c>
      <c r="O1692" s="12">
        <v>13.621435</v>
      </c>
      <c r="P1692" s="12">
        <v>118.40143500000001</v>
      </c>
    </row>
    <row r="1693" spans="1:16" ht="14.5" x14ac:dyDescent="0.25">
      <c r="A1693" s="10">
        <v>46003</v>
      </c>
      <c r="B1693" s="2" t="str">
        <f t="shared" si="52"/>
        <v>Dec-2025</v>
      </c>
      <c r="C1693" s="2" t="str">
        <f t="shared" si="53"/>
        <v>Q3</v>
      </c>
      <c r="D1693" s="2" t="s">
        <v>28</v>
      </c>
      <c r="E1693" s="11" t="s">
        <v>375</v>
      </c>
      <c r="F1693" s="11" t="s">
        <v>38</v>
      </c>
      <c r="G1693" s="11" t="s">
        <v>503</v>
      </c>
      <c r="H1693" s="11" t="s">
        <v>51</v>
      </c>
      <c r="I1693" s="12">
        <v>0.01</v>
      </c>
      <c r="J1693" s="12">
        <v>1</v>
      </c>
      <c r="K1693" s="12">
        <v>52.16</v>
      </c>
      <c r="L1693" s="12">
        <v>52.16</v>
      </c>
      <c r="M1693" s="12">
        <v>0</v>
      </c>
      <c r="N1693" s="12">
        <v>0</v>
      </c>
      <c r="O1693" s="12">
        <v>6.7808169999999999</v>
      </c>
      <c r="P1693" s="12">
        <v>58.940817000000003</v>
      </c>
    </row>
    <row r="1694" spans="1:16" ht="14.5" x14ac:dyDescent="0.25">
      <c r="A1694" s="10">
        <v>46003</v>
      </c>
      <c r="B1694" s="2" t="str">
        <f t="shared" si="52"/>
        <v>Dec-2025</v>
      </c>
      <c r="C1694" s="2" t="str">
        <f t="shared" si="53"/>
        <v>Q3</v>
      </c>
      <c r="D1694" s="2" t="s">
        <v>28</v>
      </c>
      <c r="E1694" s="11" t="s">
        <v>375</v>
      </c>
      <c r="F1694" s="11" t="s">
        <v>38</v>
      </c>
      <c r="G1694" s="11" t="s">
        <v>504</v>
      </c>
      <c r="H1694" s="11" t="s">
        <v>69</v>
      </c>
      <c r="I1694" s="12">
        <v>0.02</v>
      </c>
      <c r="J1694" s="12">
        <v>2</v>
      </c>
      <c r="K1694" s="12">
        <v>156.75</v>
      </c>
      <c r="L1694" s="12">
        <v>313.5</v>
      </c>
      <c r="M1694" s="12">
        <v>0</v>
      </c>
      <c r="N1694" s="12">
        <v>0</v>
      </c>
      <c r="O1694" s="12">
        <v>40.755104000000003</v>
      </c>
      <c r="P1694" s="12">
        <v>354.25510400000002</v>
      </c>
    </row>
    <row r="1695" spans="1:16" ht="14.5" x14ac:dyDescent="0.25">
      <c r="A1695" s="10">
        <v>46003</v>
      </c>
      <c r="B1695" s="2" t="str">
        <f t="shared" si="52"/>
        <v>Dec-2025</v>
      </c>
      <c r="C1695" s="2" t="str">
        <f t="shared" si="53"/>
        <v>Q3</v>
      </c>
      <c r="D1695" s="2" t="s">
        <v>28</v>
      </c>
      <c r="E1695" s="11" t="s">
        <v>375</v>
      </c>
      <c r="F1695" s="11" t="s">
        <v>38</v>
      </c>
      <c r="G1695" s="11" t="s">
        <v>504</v>
      </c>
      <c r="H1695" s="11" t="s">
        <v>68</v>
      </c>
      <c r="I1695" s="12">
        <v>0.05</v>
      </c>
      <c r="J1695" s="12">
        <v>2</v>
      </c>
      <c r="K1695" s="12">
        <v>212.96</v>
      </c>
      <c r="L1695" s="12">
        <v>425.92</v>
      </c>
      <c r="M1695" s="12">
        <v>0</v>
      </c>
      <c r="N1695" s="12">
        <v>0</v>
      </c>
      <c r="O1695" s="12">
        <v>55.369742000000002</v>
      </c>
      <c r="P1695" s="12">
        <v>481.28974199999999</v>
      </c>
    </row>
    <row r="1696" spans="1:16" ht="14.5" x14ac:dyDescent="0.25">
      <c r="A1696" s="10">
        <v>46003</v>
      </c>
      <c r="B1696" s="2" t="str">
        <f t="shared" si="52"/>
        <v>Dec-2025</v>
      </c>
      <c r="C1696" s="2" t="str">
        <f t="shared" si="53"/>
        <v>Q3</v>
      </c>
      <c r="D1696" s="2" t="s">
        <v>28</v>
      </c>
      <c r="E1696" s="11" t="s">
        <v>375</v>
      </c>
      <c r="F1696" s="11" t="s">
        <v>38</v>
      </c>
      <c r="G1696" s="11" t="s">
        <v>503</v>
      </c>
      <c r="H1696" s="11" t="s">
        <v>44</v>
      </c>
      <c r="I1696" s="12">
        <v>0.01</v>
      </c>
      <c r="J1696" s="12">
        <v>2</v>
      </c>
      <c r="K1696" s="12">
        <v>126.08</v>
      </c>
      <c r="L1696" s="12">
        <v>252.16</v>
      </c>
      <c r="M1696" s="12">
        <v>0</v>
      </c>
      <c r="N1696" s="12">
        <v>0</v>
      </c>
      <c r="O1696" s="12">
        <v>32.780884</v>
      </c>
      <c r="P1696" s="12">
        <v>284.94088399999998</v>
      </c>
    </row>
    <row r="1697" spans="1:16" ht="14.5" x14ac:dyDescent="0.25">
      <c r="A1697" s="10">
        <v>46003</v>
      </c>
      <c r="B1697" s="2" t="str">
        <f t="shared" si="52"/>
        <v>Dec-2025</v>
      </c>
      <c r="C1697" s="2" t="str">
        <f t="shared" si="53"/>
        <v>Q3</v>
      </c>
      <c r="D1697" s="2" t="s">
        <v>28</v>
      </c>
      <c r="E1697" s="11" t="s">
        <v>375</v>
      </c>
      <c r="F1697" s="11" t="s">
        <v>38</v>
      </c>
      <c r="G1697" s="11" t="s">
        <v>505</v>
      </c>
      <c r="H1697" s="11" t="s">
        <v>55</v>
      </c>
      <c r="I1697" s="12">
        <v>0.02</v>
      </c>
      <c r="J1697" s="12">
        <v>2</v>
      </c>
      <c r="K1697" s="12">
        <v>122.89</v>
      </c>
      <c r="L1697" s="12">
        <v>245.78</v>
      </c>
      <c r="M1697" s="12">
        <v>0</v>
      </c>
      <c r="N1697" s="12">
        <v>0</v>
      </c>
      <c r="O1697" s="12">
        <v>31.951481999999999</v>
      </c>
      <c r="P1697" s="12">
        <v>277.73148200000003</v>
      </c>
    </row>
    <row r="1698" spans="1:16" ht="14.5" x14ac:dyDescent="0.25">
      <c r="A1698" s="10">
        <v>46003</v>
      </c>
      <c r="B1698" s="2" t="str">
        <f t="shared" si="52"/>
        <v>Dec-2025</v>
      </c>
      <c r="C1698" s="2" t="str">
        <f t="shared" si="53"/>
        <v>Q3</v>
      </c>
      <c r="D1698" s="2" t="s">
        <v>28</v>
      </c>
      <c r="E1698" s="11" t="s">
        <v>375</v>
      </c>
      <c r="F1698" s="11" t="s">
        <v>38</v>
      </c>
      <c r="G1698" s="11" t="s">
        <v>503</v>
      </c>
      <c r="H1698" s="11" t="s">
        <v>46</v>
      </c>
      <c r="I1698" s="12">
        <v>0.02</v>
      </c>
      <c r="J1698" s="12">
        <v>2</v>
      </c>
      <c r="K1698" s="12">
        <v>99.05</v>
      </c>
      <c r="L1698" s="12">
        <v>198.1</v>
      </c>
      <c r="M1698" s="12">
        <v>0</v>
      </c>
      <c r="N1698" s="12">
        <v>0</v>
      </c>
      <c r="O1698" s="12">
        <v>25.753066</v>
      </c>
      <c r="P1698" s="12">
        <v>223.85306600000001</v>
      </c>
    </row>
    <row r="1699" spans="1:16" ht="14.5" x14ac:dyDescent="0.25">
      <c r="A1699" s="10">
        <v>46003</v>
      </c>
      <c r="B1699" s="2" t="str">
        <f t="shared" ref="B1699:B1762" si="54">+TEXT(A1699,"MMM-yyy")</f>
        <v>Dec-2025</v>
      </c>
      <c r="C1699" s="2" t="str">
        <f t="shared" ref="C1699:C1762" si="55">"Q" &amp; CHOOSE(MONTH(A1699),4,4,4,1,1,1,2,2,2,3,3,3)</f>
        <v>Q3</v>
      </c>
      <c r="D1699" s="2" t="s">
        <v>28</v>
      </c>
      <c r="E1699" s="11" t="s">
        <v>375</v>
      </c>
      <c r="F1699" s="11" t="s">
        <v>38</v>
      </c>
      <c r="G1699" s="11" t="s">
        <v>504</v>
      </c>
      <c r="H1699" s="11" t="s">
        <v>67</v>
      </c>
      <c r="I1699" s="12">
        <v>0.05</v>
      </c>
      <c r="J1699" s="12">
        <v>2</v>
      </c>
      <c r="K1699" s="12">
        <v>380.66</v>
      </c>
      <c r="L1699" s="12">
        <v>761.32</v>
      </c>
      <c r="M1699" s="12">
        <v>0</v>
      </c>
      <c r="N1699" s="12">
        <v>0</v>
      </c>
      <c r="O1699" s="12">
        <v>98.971852999999996</v>
      </c>
      <c r="P1699" s="12">
        <v>860.29185299999995</v>
      </c>
    </row>
    <row r="1700" spans="1:16" ht="14.5" x14ac:dyDescent="0.25">
      <c r="A1700" s="10">
        <v>46003</v>
      </c>
      <c r="B1700" s="2" t="str">
        <f t="shared" si="54"/>
        <v>Dec-2025</v>
      </c>
      <c r="C1700" s="2" t="str">
        <f t="shared" si="55"/>
        <v>Q3</v>
      </c>
      <c r="D1700" s="2" t="s">
        <v>28</v>
      </c>
      <c r="E1700" s="11" t="s">
        <v>375</v>
      </c>
      <c r="F1700" s="11" t="s">
        <v>38</v>
      </c>
      <c r="G1700" s="11" t="s">
        <v>503</v>
      </c>
      <c r="H1700" s="11" t="s">
        <v>87</v>
      </c>
      <c r="I1700" s="12">
        <v>0.01</v>
      </c>
      <c r="J1700" s="12">
        <v>2</v>
      </c>
      <c r="K1700" s="12">
        <v>93.7</v>
      </c>
      <c r="L1700" s="12">
        <v>187.4</v>
      </c>
      <c r="M1700" s="12">
        <v>0</v>
      </c>
      <c r="N1700" s="12">
        <v>0</v>
      </c>
      <c r="O1700" s="12">
        <v>24.362062000000002</v>
      </c>
      <c r="P1700" s="12">
        <v>211.76206199999999</v>
      </c>
    </row>
    <row r="1701" spans="1:16" ht="14.5" x14ac:dyDescent="0.25">
      <c r="A1701" s="10">
        <v>46003</v>
      </c>
      <c r="B1701" s="2" t="str">
        <f t="shared" si="54"/>
        <v>Dec-2025</v>
      </c>
      <c r="C1701" s="2" t="str">
        <f t="shared" si="55"/>
        <v>Q3</v>
      </c>
      <c r="D1701" s="2" t="s">
        <v>28</v>
      </c>
      <c r="E1701" s="11" t="s">
        <v>375</v>
      </c>
      <c r="F1701" s="11" t="s">
        <v>38</v>
      </c>
      <c r="G1701" s="11" t="s">
        <v>503</v>
      </c>
      <c r="H1701" s="11" t="s">
        <v>51</v>
      </c>
      <c r="I1701" s="12">
        <v>0.01</v>
      </c>
      <c r="J1701" s="12">
        <v>1</v>
      </c>
      <c r="K1701" s="12">
        <v>52.16</v>
      </c>
      <c r="L1701" s="12">
        <v>52.16</v>
      </c>
      <c r="M1701" s="12">
        <v>0</v>
      </c>
      <c r="N1701" s="12">
        <v>0</v>
      </c>
      <c r="O1701" s="12">
        <v>6.7808169999999999</v>
      </c>
      <c r="P1701" s="12">
        <v>58.940817000000003</v>
      </c>
    </row>
    <row r="1702" spans="1:16" ht="14.5" x14ac:dyDescent="0.25">
      <c r="A1702" s="10">
        <v>46003</v>
      </c>
      <c r="B1702" s="2" t="str">
        <f t="shared" si="54"/>
        <v>Dec-2025</v>
      </c>
      <c r="C1702" s="2" t="str">
        <f t="shared" si="55"/>
        <v>Q3</v>
      </c>
      <c r="D1702" s="2" t="s">
        <v>28</v>
      </c>
      <c r="E1702" s="11" t="s">
        <v>375</v>
      </c>
      <c r="F1702" s="11" t="s">
        <v>38</v>
      </c>
      <c r="G1702" s="11" t="s">
        <v>504</v>
      </c>
      <c r="H1702" s="11" t="s">
        <v>66</v>
      </c>
      <c r="I1702" s="12">
        <v>0.01</v>
      </c>
      <c r="J1702" s="12">
        <v>1</v>
      </c>
      <c r="K1702" s="12">
        <v>88.5</v>
      </c>
      <c r="L1702" s="12">
        <v>88.5</v>
      </c>
      <c r="M1702" s="12">
        <v>0</v>
      </c>
      <c r="N1702" s="12">
        <v>0</v>
      </c>
      <c r="O1702" s="12">
        <v>11.505029</v>
      </c>
      <c r="P1702" s="12">
        <v>100.00502899999999</v>
      </c>
    </row>
    <row r="1703" spans="1:16" ht="14.5" x14ac:dyDescent="0.25">
      <c r="A1703" s="10">
        <v>46003</v>
      </c>
      <c r="B1703" s="2" t="str">
        <f t="shared" si="54"/>
        <v>Dec-2025</v>
      </c>
      <c r="C1703" s="2" t="str">
        <f t="shared" si="55"/>
        <v>Q3</v>
      </c>
      <c r="D1703" s="2" t="s">
        <v>28</v>
      </c>
      <c r="E1703" s="11" t="s">
        <v>375</v>
      </c>
      <c r="F1703" s="11" t="s">
        <v>38</v>
      </c>
      <c r="G1703" s="11" t="s">
        <v>503</v>
      </c>
      <c r="H1703" s="11" t="s">
        <v>42</v>
      </c>
      <c r="I1703" s="12">
        <v>0.02</v>
      </c>
      <c r="J1703" s="12">
        <v>2</v>
      </c>
      <c r="K1703" s="12">
        <v>114.26</v>
      </c>
      <c r="L1703" s="12">
        <v>228.52</v>
      </c>
      <c r="M1703" s="12">
        <v>0</v>
      </c>
      <c r="N1703" s="12">
        <v>0</v>
      </c>
      <c r="O1703" s="12">
        <v>29.707675999999999</v>
      </c>
      <c r="P1703" s="12">
        <v>258.22767599999997</v>
      </c>
    </row>
    <row r="1704" spans="1:16" ht="14.5" x14ac:dyDescent="0.25">
      <c r="A1704" s="10">
        <v>46003</v>
      </c>
      <c r="B1704" s="2" t="str">
        <f t="shared" si="54"/>
        <v>Dec-2025</v>
      </c>
      <c r="C1704" s="2" t="str">
        <f t="shared" si="55"/>
        <v>Q3</v>
      </c>
      <c r="D1704" s="2" t="s">
        <v>28</v>
      </c>
      <c r="E1704" s="11" t="s">
        <v>375</v>
      </c>
      <c r="F1704" s="11" t="s">
        <v>38</v>
      </c>
      <c r="G1704" s="11" t="s">
        <v>505</v>
      </c>
      <c r="H1704" s="11" t="s">
        <v>43</v>
      </c>
      <c r="I1704" s="12">
        <v>0.05</v>
      </c>
      <c r="J1704" s="12">
        <v>2</v>
      </c>
      <c r="K1704" s="12">
        <v>242.88</v>
      </c>
      <c r="L1704" s="12">
        <v>485.76</v>
      </c>
      <c r="M1704" s="12">
        <v>0</v>
      </c>
      <c r="N1704" s="12">
        <v>0</v>
      </c>
      <c r="O1704" s="12">
        <v>63.148961999999997</v>
      </c>
      <c r="P1704" s="12">
        <v>548.90896199999997</v>
      </c>
    </row>
    <row r="1705" spans="1:16" ht="14.5" x14ac:dyDescent="0.25">
      <c r="A1705" s="10">
        <v>46003</v>
      </c>
      <c r="B1705" s="2" t="str">
        <f t="shared" si="54"/>
        <v>Dec-2025</v>
      </c>
      <c r="C1705" s="2" t="str">
        <f t="shared" si="55"/>
        <v>Q3</v>
      </c>
      <c r="D1705" s="2" t="s">
        <v>28</v>
      </c>
      <c r="E1705" s="11" t="s">
        <v>375</v>
      </c>
      <c r="F1705" s="11" t="s">
        <v>38</v>
      </c>
      <c r="G1705" s="11" t="s">
        <v>503</v>
      </c>
      <c r="H1705" s="11" t="s">
        <v>41</v>
      </c>
      <c r="I1705" s="12">
        <v>0.01</v>
      </c>
      <c r="J1705" s="12">
        <v>2</v>
      </c>
      <c r="K1705" s="12">
        <v>49.98</v>
      </c>
      <c r="L1705" s="12">
        <v>99.96</v>
      </c>
      <c r="M1705" s="12">
        <v>0</v>
      </c>
      <c r="N1705" s="12">
        <v>0</v>
      </c>
      <c r="O1705" s="12">
        <v>12.994833</v>
      </c>
      <c r="P1705" s="12">
        <v>112.95483299999999</v>
      </c>
    </row>
    <row r="1706" spans="1:16" ht="14.5" x14ac:dyDescent="0.25">
      <c r="A1706" s="10">
        <v>46003</v>
      </c>
      <c r="B1706" s="2" t="str">
        <f t="shared" si="54"/>
        <v>Dec-2025</v>
      </c>
      <c r="C1706" s="2" t="str">
        <f t="shared" si="55"/>
        <v>Q3</v>
      </c>
      <c r="D1706" s="2" t="s">
        <v>28</v>
      </c>
      <c r="E1706" s="11" t="s">
        <v>375</v>
      </c>
      <c r="F1706" s="11" t="s">
        <v>38</v>
      </c>
      <c r="G1706" s="11" t="s">
        <v>503</v>
      </c>
      <c r="H1706" s="11" t="s">
        <v>63</v>
      </c>
      <c r="I1706" s="12">
        <v>0.03</v>
      </c>
      <c r="J1706" s="12">
        <v>2</v>
      </c>
      <c r="K1706" s="12">
        <v>154.26</v>
      </c>
      <c r="L1706" s="12">
        <v>308.52</v>
      </c>
      <c r="M1706" s="12">
        <v>0</v>
      </c>
      <c r="N1706" s="12">
        <v>0</v>
      </c>
      <c r="O1706" s="12">
        <v>40.107703000000001</v>
      </c>
      <c r="P1706" s="12">
        <v>348.627703</v>
      </c>
    </row>
    <row r="1707" spans="1:16" ht="14.5" x14ac:dyDescent="0.25">
      <c r="A1707" s="10">
        <v>46003</v>
      </c>
      <c r="B1707" s="2" t="str">
        <f t="shared" si="54"/>
        <v>Dec-2025</v>
      </c>
      <c r="C1707" s="2" t="str">
        <f t="shared" si="55"/>
        <v>Q3</v>
      </c>
      <c r="D1707" s="2" t="s">
        <v>28</v>
      </c>
      <c r="E1707" s="11" t="s">
        <v>375</v>
      </c>
      <c r="F1707" s="11" t="s">
        <v>38</v>
      </c>
      <c r="G1707" s="11" t="s">
        <v>503</v>
      </c>
      <c r="H1707" s="11" t="s">
        <v>57</v>
      </c>
      <c r="I1707" s="12">
        <v>0.01</v>
      </c>
      <c r="J1707" s="12">
        <v>2</v>
      </c>
      <c r="K1707" s="12">
        <v>98.93</v>
      </c>
      <c r="L1707" s="12">
        <v>197.86</v>
      </c>
      <c r="M1707" s="12">
        <v>0</v>
      </c>
      <c r="N1707" s="12">
        <v>0</v>
      </c>
      <c r="O1707" s="12">
        <v>25.721865999999999</v>
      </c>
      <c r="P1707" s="12">
        <v>223.58186599999999</v>
      </c>
    </row>
    <row r="1708" spans="1:16" ht="14.5" x14ac:dyDescent="0.25">
      <c r="A1708" s="10">
        <v>46003</v>
      </c>
      <c r="B1708" s="2" t="str">
        <f t="shared" si="54"/>
        <v>Dec-2025</v>
      </c>
      <c r="C1708" s="2" t="str">
        <f t="shared" si="55"/>
        <v>Q3</v>
      </c>
      <c r="D1708" s="2" t="s">
        <v>28</v>
      </c>
      <c r="E1708" s="11" t="s">
        <v>375</v>
      </c>
      <c r="F1708" s="11" t="s">
        <v>38</v>
      </c>
      <c r="G1708" s="11" t="s">
        <v>503</v>
      </c>
      <c r="H1708" s="11" t="s">
        <v>89</v>
      </c>
      <c r="I1708" s="12">
        <v>0.02</v>
      </c>
      <c r="J1708" s="12">
        <v>2</v>
      </c>
      <c r="K1708" s="12">
        <v>97.64</v>
      </c>
      <c r="L1708" s="12">
        <v>195.28</v>
      </c>
      <c r="M1708" s="12">
        <v>0</v>
      </c>
      <c r="N1708" s="12">
        <v>0</v>
      </c>
      <c r="O1708" s="12">
        <v>25.386465000000001</v>
      </c>
      <c r="P1708" s="12">
        <v>220.66646499999999</v>
      </c>
    </row>
    <row r="1709" spans="1:16" ht="14.5" x14ac:dyDescent="0.25">
      <c r="A1709" s="10">
        <v>46003</v>
      </c>
      <c r="B1709" s="2" t="str">
        <f t="shared" si="54"/>
        <v>Dec-2025</v>
      </c>
      <c r="C1709" s="2" t="str">
        <f t="shared" si="55"/>
        <v>Q3</v>
      </c>
      <c r="D1709" s="2" t="s">
        <v>28</v>
      </c>
      <c r="E1709" s="11" t="s">
        <v>376</v>
      </c>
      <c r="F1709" s="11" t="s">
        <v>38</v>
      </c>
      <c r="G1709" s="11" t="s">
        <v>504</v>
      </c>
      <c r="H1709" s="11" t="s">
        <v>53</v>
      </c>
      <c r="I1709" s="12">
        <v>0.02</v>
      </c>
      <c r="J1709" s="12">
        <v>2</v>
      </c>
      <c r="K1709" s="12">
        <v>107.15</v>
      </c>
      <c r="L1709" s="12">
        <v>214.3</v>
      </c>
      <c r="M1709" s="12" t="s">
        <v>113</v>
      </c>
      <c r="N1709" s="12" t="s">
        <v>113</v>
      </c>
      <c r="O1709" s="12" t="s">
        <v>113</v>
      </c>
      <c r="P1709" s="12">
        <v>214.3</v>
      </c>
    </row>
    <row r="1710" spans="1:16" ht="14.5" x14ac:dyDescent="0.25">
      <c r="A1710" s="10">
        <v>46003</v>
      </c>
      <c r="B1710" s="2" t="str">
        <f t="shared" si="54"/>
        <v>Dec-2025</v>
      </c>
      <c r="C1710" s="2" t="str">
        <f t="shared" si="55"/>
        <v>Q3</v>
      </c>
      <c r="D1710" s="2" t="s">
        <v>28</v>
      </c>
      <c r="E1710" s="11" t="s">
        <v>376</v>
      </c>
      <c r="F1710" s="11" t="s">
        <v>38</v>
      </c>
      <c r="G1710" s="11" t="s">
        <v>504</v>
      </c>
      <c r="H1710" s="11" t="s">
        <v>61</v>
      </c>
      <c r="I1710" s="12">
        <v>0.05</v>
      </c>
      <c r="J1710" s="12">
        <v>2</v>
      </c>
      <c r="K1710" s="12">
        <v>253.25</v>
      </c>
      <c r="L1710" s="12">
        <v>506.5</v>
      </c>
      <c r="M1710" s="12" t="s">
        <v>113</v>
      </c>
      <c r="N1710" s="12" t="s">
        <v>113</v>
      </c>
      <c r="O1710" s="12" t="s">
        <v>113</v>
      </c>
      <c r="P1710" s="12">
        <v>506.5</v>
      </c>
    </row>
    <row r="1711" spans="1:16" ht="14.5" x14ac:dyDescent="0.25">
      <c r="A1711" s="10">
        <v>46003</v>
      </c>
      <c r="B1711" s="2" t="str">
        <f t="shared" si="54"/>
        <v>Dec-2025</v>
      </c>
      <c r="C1711" s="2" t="str">
        <f t="shared" si="55"/>
        <v>Q3</v>
      </c>
      <c r="D1711" s="2" t="s">
        <v>28</v>
      </c>
      <c r="E1711" s="11" t="s">
        <v>377</v>
      </c>
      <c r="F1711" s="11" t="s">
        <v>151</v>
      </c>
      <c r="G1711" s="11" t="s">
        <v>505</v>
      </c>
      <c r="H1711" s="11" t="s">
        <v>50</v>
      </c>
      <c r="I1711" s="12">
        <v>2</v>
      </c>
      <c r="J1711" s="12">
        <v>160</v>
      </c>
      <c r="K1711" s="12">
        <v>154.87</v>
      </c>
      <c r="L1711" s="12">
        <v>24779.200000000001</v>
      </c>
      <c r="M1711" s="12">
        <v>0</v>
      </c>
      <c r="N1711" s="12">
        <v>0</v>
      </c>
      <c r="O1711" s="12">
        <v>3221.296151</v>
      </c>
      <c r="P1711" s="12">
        <v>28000.496150999999</v>
      </c>
    </row>
    <row r="1712" spans="1:16" ht="14.5" x14ac:dyDescent="0.25">
      <c r="A1712" s="10">
        <v>46003</v>
      </c>
      <c r="B1712" s="2" t="str">
        <f t="shared" si="54"/>
        <v>Dec-2025</v>
      </c>
      <c r="C1712" s="2" t="str">
        <f t="shared" si="55"/>
        <v>Q3</v>
      </c>
      <c r="D1712" s="2" t="s">
        <v>28</v>
      </c>
      <c r="E1712" s="11" t="s">
        <v>377</v>
      </c>
      <c r="F1712" s="11" t="s">
        <v>151</v>
      </c>
      <c r="G1712" s="11" t="s">
        <v>509</v>
      </c>
      <c r="H1712" s="11" t="s">
        <v>283</v>
      </c>
      <c r="I1712" s="12">
        <v>1.17</v>
      </c>
      <c r="J1712" s="12">
        <v>140</v>
      </c>
      <c r="K1712" s="12">
        <v>229.2</v>
      </c>
      <c r="L1712" s="12">
        <v>32088.000000000004</v>
      </c>
      <c r="M1712" s="12">
        <v>0</v>
      </c>
      <c r="N1712" s="12">
        <v>0</v>
      </c>
      <c r="O1712" s="12">
        <v>4171.4401950000001</v>
      </c>
      <c r="P1712" s="12">
        <v>36259.440195000003</v>
      </c>
    </row>
    <row r="1713" spans="1:16" ht="14.5" x14ac:dyDescent="0.25">
      <c r="A1713" s="10">
        <v>46003</v>
      </c>
      <c r="B1713" s="2" t="str">
        <f t="shared" si="54"/>
        <v>Dec-2025</v>
      </c>
      <c r="C1713" s="2" t="str">
        <f t="shared" si="55"/>
        <v>Q3</v>
      </c>
      <c r="D1713" s="2" t="s">
        <v>28</v>
      </c>
      <c r="E1713" s="11" t="s">
        <v>377</v>
      </c>
      <c r="F1713" s="11" t="s">
        <v>151</v>
      </c>
      <c r="G1713" s="11" t="s">
        <v>505</v>
      </c>
      <c r="H1713" s="11" t="s">
        <v>43</v>
      </c>
      <c r="I1713" s="12">
        <v>6</v>
      </c>
      <c r="J1713" s="12">
        <v>240</v>
      </c>
      <c r="K1713" s="12">
        <v>260.18</v>
      </c>
      <c r="L1713" s="12">
        <v>62443.200000000004</v>
      </c>
      <c r="M1713" s="12">
        <v>0</v>
      </c>
      <c r="N1713" s="12">
        <v>0</v>
      </c>
      <c r="O1713" s="12">
        <v>8117.6163800000004</v>
      </c>
      <c r="P1713" s="12">
        <v>70560.816380000004</v>
      </c>
    </row>
    <row r="1714" spans="1:16" ht="14.5" x14ac:dyDescent="0.25">
      <c r="A1714" s="10">
        <v>46003</v>
      </c>
      <c r="B1714" s="2" t="str">
        <f t="shared" si="54"/>
        <v>Dec-2025</v>
      </c>
      <c r="C1714" s="2" t="str">
        <f t="shared" si="55"/>
        <v>Q3</v>
      </c>
      <c r="D1714" s="2" t="s">
        <v>28</v>
      </c>
      <c r="E1714" s="11" t="s">
        <v>377</v>
      </c>
      <c r="F1714" s="11" t="s">
        <v>151</v>
      </c>
      <c r="G1714" s="11" t="s">
        <v>504</v>
      </c>
      <c r="H1714" s="11" t="s">
        <v>68</v>
      </c>
      <c r="I1714" s="12">
        <v>1</v>
      </c>
      <c r="J1714" s="12">
        <v>40</v>
      </c>
      <c r="K1714" s="12">
        <v>238.5</v>
      </c>
      <c r="L1714" s="12">
        <v>9539.9999999999982</v>
      </c>
      <c r="M1714" s="12">
        <v>0</v>
      </c>
      <c r="N1714" s="12">
        <v>0</v>
      </c>
      <c r="O1714" s="12">
        <v>1240.2000579999999</v>
      </c>
      <c r="P1714" s="12">
        <v>10780.200058</v>
      </c>
    </row>
    <row r="1715" spans="1:16" ht="14.5" x14ac:dyDescent="0.25">
      <c r="A1715" s="10">
        <v>46003</v>
      </c>
      <c r="B1715" s="2" t="str">
        <f t="shared" si="54"/>
        <v>Dec-2025</v>
      </c>
      <c r="C1715" s="2" t="str">
        <f t="shared" si="55"/>
        <v>Q3</v>
      </c>
      <c r="D1715" s="2" t="s">
        <v>28</v>
      </c>
      <c r="E1715" s="11" t="s">
        <v>377</v>
      </c>
      <c r="F1715" s="11" t="s">
        <v>151</v>
      </c>
      <c r="G1715" s="11" t="s">
        <v>505</v>
      </c>
      <c r="H1715" s="11" t="s">
        <v>55</v>
      </c>
      <c r="I1715" s="12">
        <v>4.5</v>
      </c>
      <c r="J1715" s="12">
        <v>540</v>
      </c>
      <c r="K1715" s="12">
        <v>136.28</v>
      </c>
      <c r="L1715" s="12">
        <v>73591.199999999997</v>
      </c>
      <c r="M1715" s="12">
        <v>0</v>
      </c>
      <c r="N1715" s="12">
        <v>0</v>
      </c>
      <c r="O1715" s="12">
        <v>9566.8564479999986</v>
      </c>
      <c r="P1715" s="12">
        <v>83158.056448000003</v>
      </c>
    </row>
    <row r="1716" spans="1:16" ht="14.5" x14ac:dyDescent="0.25">
      <c r="A1716" s="10">
        <v>46003</v>
      </c>
      <c r="B1716" s="2" t="str">
        <f t="shared" si="54"/>
        <v>Dec-2025</v>
      </c>
      <c r="C1716" s="2" t="str">
        <f t="shared" si="55"/>
        <v>Q3</v>
      </c>
      <c r="D1716" s="2" t="s">
        <v>28</v>
      </c>
      <c r="E1716" s="11" t="s">
        <v>377</v>
      </c>
      <c r="F1716" s="11" t="s">
        <v>151</v>
      </c>
      <c r="G1716" s="11" t="s">
        <v>503</v>
      </c>
      <c r="H1716" s="11" t="s">
        <v>59</v>
      </c>
      <c r="I1716" s="12">
        <v>0.28000000000000003</v>
      </c>
      <c r="J1716" s="12">
        <v>50</v>
      </c>
      <c r="K1716" s="12">
        <v>56.99</v>
      </c>
      <c r="L1716" s="12">
        <v>2849.5</v>
      </c>
      <c r="M1716" s="12">
        <v>0</v>
      </c>
      <c r="N1716" s="12">
        <v>0</v>
      </c>
      <c r="O1716" s="12">
        <v>370.43501700000002</v>
      </c>
      <c r="P1716" s="12">
        <v>3219.9350169999998</v>
      </c>
    </row>
    <row r="1717" spans="1:16" ht="14.5" x14ac:dyDescent="0.25">
      <c r="A1717" s="10">
        <v>46003</v>
      </c>
      <c r="B1717" s="2" t="str">
        <f t="shared" si="54"/>
        <v>Dec-2025</v>
      </c>
      <c r="C1717" s="2" t="str">
        <f t="shared" si="55"/>
        <v>Q3</v>
      </c>
      <c r="D1717" s="2" t="s">
        <v>28</v>
      </c>
      <c r="E1717" s="11" t="s">
        <v>377</v>
      </c>
      <c r="F1717" s="11" t="s">
        <v>151</v>
      </c>
      <c r="G1717" s="11" t="s">
        <v>503</v>
      </c>
      <c r="H1717" s="11" t="s">
        <v>52</v>
      </c>
      <c r="I1717" s="12">
        <v>0.28000000000000003</v>
      </c>
      <c r="J1717" s="12">
        <v>50</v>
      </c>
      <c r="K1717" s="12">
        <v>65.040000000000006</v>
      </c>
      <c r="L1717" s="12">
        <v>3252</v>
      </c>
      <c r="M1717" s="12">
        <v>0</v>
      </c>
      <c r="N1717" s="12">
        <v>0</v>
      </c>
      <c r="O1717" s="12">
        <v>422.76002</v>
      </c>
      <c r="P1717" s="12">
        <v>3674.7600200000002</v>
      </c>
    </row>
    <row r="1718" spans="1:16" ht="14.5" x14ac:dyDescent="0.25">
      <c r="A1718" s="10">
        <v>46003</v>
      </c>
      <c r="B1718" s="2" t="str">
        <f t="shared" si="54"/>
        <v>Dec-2025</v>
      </c>
      <c r="C1718" s="2" t="str">
        <f t="shared" si="55"/>
        <v>Q3</v>
      </c>
      <c r="D1718" s="2" t="s">
        <v>28</v>
      </c>
      <c r="E1718" s="11" t="s">
        <v>377</v>
      </c>
      <c r="F1718" s="11" t="s">
        <v>151</v>
      </c>
      <c r="G1718" s="11" t="s">
        <v>505</v>
      </c>
      <c r="H1718" s="11" t="s">
        <v>49</v>
      </c>
      <c r="I1718" s="12">
        <v>2</v>
      </c>
      <c r="J1718" s="12">
        <v>360</v>
      </c>
      <c r="K1718" s="12">
        <v>145.58000000000001</v>
      </c>
      <c r="L1718" s="12">
        <v>52408.799999999996</v>
      </c>
      <c r="M1718" s="12">
        <v>0</v>
      </c>
      <c r="N1718" s="12">
        <v>0</v>
      </c>
      <c r="O1718" s="12">
        <v>6813.144319</v>
      </c>
      <c r="P1718" s="12">
        <v>59221.944319000002</v>
      </c>
    </row>
    <row r="1719" spans="1:16" ht="14.5" x14ac:dyDescent="0.25">
      <c r="A1719" s="10">
        <v>46003</v>
      </c>
      <c r="B1719" s="2" t="str">
        <f t="shared" si="54"/>
        <v>Dec-2025</v>
      </c>
      <c r="C1719" s="2" t="str">
        <f t="shared" si="55"/>
        <v>Q3</v>
      </c>
      <c r="D1719" s="2" t="s">
        <v>28</v>
      </c>
      <c r="E1719" s="11" t="s">
        <v>377</v>
      </c>
      <c r="F1719" s="11" t="s">
        <v>151</v>
      </c>
      <c r="G1719" s="11" t="s">
        <v>504</v>
      </c>
      <c r="H1719" s="11" t="s">
        <v>66</v>
      </c>
      <c r="I1719" s="12">
        <v>0.6</v>
      </c>
      <c r="J1719" s="12">
        <v>60</v>
      </c>
      <c r="K1719" s="12">
        <v>99.12</v>
      </c>
      <c r="L1719" s="12">
        <v>5947.2</v>
      </c>
      <c r="M1719" s="12">
        <v>0</v>
      </c>
      <c r="N1719" s="12">
        <v>0</v>
      </c>
      <c r="O1719" s="12">
        <v>773.13603599999999</v>
      </c>
      <c r="P1719" s="12">
        <v>6720.3360359999997</v>
      </c>
    </row>
    <row r="1720" spans="1:16" ht="14.5" x14ac:dyDescent="0.25">
      <c r="A1720" s="10">
        <v>46003</v>
      </c>
      <c r="B1720" s="2" t="str">
        <f t="shared" si="54"/>
        <v>Dec-2025</v>
      </c>
      <c r="C1720" s="2" t="str">
        <f t="shared" si="55"/>
        <v>Q3</v>
      </c>
      <c r="D1720" s="2" t="s">
        <v>28</v>
      </c>
      <c r="E1720" s="11" t="s">
        <v>377</v>
      </c>
      <c r="F1720" s="11" t="s">
        <v>151</v>
      </c>
      <c r="G1720" s="11" t="s">
        <v>503</v>
      </c>
      <c r="H1720" s="11" t="s">
        <v>48</v>
      </c>
      <c r="I1720" s="12">
        <v>0.5</v>
      </c>
      <c r="J1720" s="12">
        <v>90</v>
      </c>
      <c r="K1720" s="12">
        <v>123.89</v>
      </c>
      <c r="L1720" s="12">
        <v>11150.1</v>
      </c>
      <c r="M1720" s="12">
        <v>0</v>
      </c>
      <c r="N1720" s="12">
        <v>0</v>
      </c>
      <c r="O1720" s="12">
        <v>1449.513068</v>
      </c>
      <c r="P1720" s="12">
        <v>12599.613068000001</v>
      </c>
    </row>
    <row r="1721" spans="1:16" ht="14.5" x14ac:dyDescent="0.25">
      <c r="A1721" s="10">
        <v>46003</v>
      </c>
      <c r="B1721" s="2" t="str">
        <f t="shared" si="54"/>
        <v>Dec-2025</v>
      </c>
      <c r="C1721" s="2" t="str">
        <f t="shared" si="55"/>
        <v>Q3</v>
      </c>
      <c r="D1721" s="2" t="s">
        <v>28</v>
      </c>
      <c r="E1721" s="11" t="s">
        <v>377</v>
      </c>
      <c r="F1721" s="11" t="s">
        <v>151</v>
      </c>
      <c r="G1721" s="11" t="s">
        <v>505</v>
      </c>
      <c r="H1721" s="11" t="s">
        <v>40</v>
      </c>
      <c r="I1721" s="12">
        <v>1</v>
      </c>
      <c r="J1721" s="12">
        <v>180</v>
      </c>
      <c r="K1721" s="12">
        <v>74.34</v>
      </c>
      <c r="L1721" s="12">
        <v>13381.199999999999</v>
      </c>
      <c r="M1721" s="12">
        <v>0</v>
      </c>
      <c r="N1721" s="12">
        <v>0</v>
      </c>
      <c r="O1721" s="12">
        <v>1739.5560809999999</v>
      </c>
      <c r="P1721" s="12">
        <v>15120.756081</v>
      </c>
    </row>
    <row r="1722" spans="1:16" ht="14.5" x14ac:dyDescent="0.25">
      <c r="A1722" s="10">
        <v>46003</v>
      </c>
      <c r="B1722" s="2" t="str">
        <f t="shared" si="54"/>
        <v>Dec-2025</v>
      </c>
      <c r="C1722" s="2" t="str">
        <f t="shared" si="55"/>
        <v>Q3</v>
      </c>
      <c r="D1722" s="2" t="s">
        <v>28</v>
      </c>
      <c r="E1722" s="11" t="s">
        <v>377</v>
      </c>
      <c r="F1722" s="11" t="s">
        <v>151</v>
      </c>
      <c r="G1722" s="11" t="s">
        <v>508</v>
      </c>
      <c r="H1722" s="11" t="s">
        <v>178</v>
      </c>
      <c r="I1722" s="12">
        <v>2</v>
      </c>
      <c r="J1722" s="12">
        <v>120</v>
      </c>
      <c r="K1722" s="12">
        <v>136.28</v>
      </c>
      <c r="L1722" s="12">
        <v>16353.6</v>
      </c>
      <c r="M1722" s="12">
        <v>0</v>
      </c>
      <c r="N1722" s="12">
        <v>0</v>
      </c>
      <c r="O1722" s="12">
        <v>2125.9680989999997</v>
      </c>
      <c r="P1722" s="12">
        <v>18479.568099</v>
      </c>
    </row>
    <row r="1723" spans="1:16" ht="14.5" x14ac:dyDescent="0.25">
      <c r="A1723" s="10">
        <v>46003</v>
      </c>
      <c r="B1723" s="2" t="str">
        <f t="shared" si="54"/>
        <v>Dec-2025</v>
      </c>
      <c r="C1723" s="2" t="str">
        <f t="shared" si="55"/>
        <v>Q3</v>
      </c>
      <c r="D1723" s="2" t="s">
        <v>28</v>
      </c>
      <c r="E1723" s="11" t="s">
        <v>377</v>
      </c>
      <c r="F1723" s="11" t="s">
        <v>151</v>
      </c>
      <c r="G1723" s="11" t="s">
        <v>503</v>
      </c>
      <c r="H1723" s="11" t="s">
        <v>179</v>
      </c>
      <c r="I1723" s="12">
        <v>0.17</v>
      </c>
      <c r="J1723" s="12">
        <v>30</v>
      </c>
      <c r="K1723" s="12">
        <v>111.5</v>
      </c>
      <c r="L1723" s="12">
        <v>3344.9999999999995</v>
      </c>
      <c r="M1723" s="12">
        <v>0</v>
      </c>
      <c r="N1723" s="12">
        <v>0</v>
      </c>
      <c r="O1723" s="12">
        <v>434.85001999999997</v>
      </c>
      <c r="P1723" s="12">
        <v>3779.8500199999999</v>
      </c>
    </row>
    <row r="1724" spans="1:16" ht="14.5" x14ac:dyDescent="0.25">
      <c r="A1724" s="10">
        <v>46003</v>
      </c>
      <c r="B1724" s="2" t="str">
        <f t="shared" si="54"/>
        <v>Dec-2025</v>
      </c>
      <c r="C1724" s="2" t="str">
        <f t="shared" si="55"/>
        <v>Q3</v>
      </c>
      <c r="D1724" s="2" t="s">
        <v>28</v>
      </c>
      <c r="E1724" s="11" t="s">
        <v>377</v>
      </c>
      <c r="F1724" s="11" t="s">
        <v>151</v>
      </c>
      <c r="G1724" s="11" t="s">
        <v>506</v>
      </c>
      <c r="H1724" s="11" t="s">
        <v>189</v>
      </c>
      <c r="I1724" s="12">
        <v>0.2</v>
      </c>
      <c r="J1724" s="12">
        <v>20</v>
      </c>
      <c r="K1724" s="12">
        <v>65.040000000000006</v>
      </c>
      <c r="L1724" s="12">
        <v>1300.8</v>
      </c>
      <c r="M1724" s="12">
        <v>0</v>
      </c>
      <c r="N1724" s="12">
        <v>0</v>
      </c>
      <c r="O1724" s="12">
        <v>169.10400799999999</v>
      </c>
      <c r="P1724" s="12">
        <v>1469.904008</v>
      </c>
    </row>
    <row r="1725" spans="1:16" ht="14.5" x14ac:dyDescent="0.25">
      <c r="A1725" s="10">
        <v>46003</v>
      </c>
      <c r="B1725" s="2" t="str">
        <f t="shared" si="54"/>
        <v>Dec-2025</v>
      </c>
      <c r="C1725" s="2" t="str">
        <f t="shared" si="55"/>
        <v>Q3</v>
      </c>
      <c r="D1725" s="2" t="s">
        <v>28</v>
      </c>
      <c r="E1725" s="11" t="s">
        <v>377</v>
      </c>
      <c r="F1725" s="11" t="s">
        <v>151</v>
      </c>
      <c r="G1725" s="11" t="s">
        <v>509</v>
      </c>
      <c r="H1725" s="11" t="s">
        <v>284</v>
      </c>
      <c r="I1725" s="12">
        <v>0.35</v>
      </c>
      <c r="J1725" s="12">
        <v>70</v>
      </c>
      <c r="K1725" s="12">
        <v>117.7</v>
      </c>
      <c r="L1725" s="12">
        <v>8239</v>
      </c>
      <c r="M1725" s="12">
        <v>0</v>
      </c>
      <c r="N1725" s="12">
        <v>0</v>
      </c>
      <c r="O1725" s="12">
        <v>1071.07005</v>
      </c>
      <c r="P1725" s="12">
        <v>9310.0700500000003</v>
      </c>
    </row>
    <row r="1726" spans="1:16" ht="14.5" x14ac:dyDescent="0.25">
      <c r="A1726" s="10">
        <v>46003</v>
      </c>
      <c r="B1726" s="2" t="str">
        <f t="shared" si="54"/>
        <v>Dec-2025</v>
      </c>
      <c r="C1726" s="2" t="str">
        <f t="shared" si="55"/>
        <v>Q3</v>
      </c>
      <c r="D1726" s="2" t="s">
        <v>28</v>
      </c>
      <c r="E1726" s="11" t="s">
        <v>377</v>
      </c>
      <c r="F1726" s="11" t="s">
        <v>151</v>
      </c>
      <c r="G1726" s="11" t="s">
        <v>503</v>
      </c>
      <c r="H1726" s="11" t="s">
        <v>42</v>
      </c>
      <c r="I1726" s="12">
        <v>0.5</v>
      </c>
      <c r="J1726" s="12">
        <v>60</v>
      </c>
      <c r="K1726" s="12">
        <v>136.28</v>
      </c>
      <c r="L1726" s="12">
        <v>8176.8</v>
      </c>
      <c r="M1726" s="12">
        <v>0</v>
      </c>
      <c r="N1726" s="12">
        <v>0</v>
      </c>
      <c r="O1726" s="12">
        <v>1062.98405</v>
      </c>
      <c r="P1726" s="12">
        <v>9239.7840500000002</v>
      </c>
    </row>
    <row r="1727" spans="1:16" ht="14.5" x14ac:dyDescent="0.25">
      <c r="A1727" s="10">
        <v>46003</v>
      </c>
      <c r="B1727" s="2" t="str">
        <f t="shared" si="54"/>
        <v>Dec-2025</v>
      </c>
      <c r="C1727" s="2" t="str">
        <f t="shared" si="55"/>
        <v>Q3</v>
      </c>
      <c r="D1727" s="2" t="s">
        <v>28</v>
      </c>
      <c r="E1727" s="11" t="s">
        <v>378</v>
      </c>
      <c r="F1727" s="11" t="s">
        <v>151</v>
      </c>
      <c r="G1727" s="11" t="s">
        <v>503</v>
      </c>
      <c r="H1727" s="11" t="s">
        <v>89</v>
      </c>
      <c r="I1727" s="12">
        <v>0.5</v>
      </c>
      <c r="J1727" s="12">
        <v>60</v>
      </c>
      <c r="K1727" s="12">
        <v>105.31</v>
      </c>
      <c r="L1727" s="12">
        <v>6318.5999999999995</v>
      </c>
      <c r="M1727" s="12">
        <v>0</v>
      </c>
      <c r="N1727" s="12">
        <v>0</v>
      </c>
      <c r="O1727" s="12">
        <v>821.41819099999998</v>
      </c>
      <c r="P1727" s="12">
        <v>7140.0181910000001</v>
      </c>
    </row>
    <row r="1728" spans="1:16" ht="14.5" x14ac:dyDescent="0.25">
      <c r="A1728" s="10">
        <v>46003</v>
      </c>
      <c r="B1728" s="2" t="str">
        <f t="shared" si="54"/>
        <v>Dec-2025</v>
      </c>
      <c r="C1728" s="2" t="str">
        <f t="shared" si="55"/>
        <v>Q3</v>
      </c>
      <c r="D1728" s="2" t="s">
        <v>28</v>
      </c>
      <c r="E1728" s="11" t="s">
        <v>378</v>
      </c>
      <c r="F1728" s="11" t="s">
        <v>151</v>
      </c>
      <c r="G1728" s="11" t="s">
        <v>503</v>
      </c>
      <c r="H1728" s="11" t="s">
        <v>51</v>
      </c>
      <c r="I1728" s="12">
        <v>0.28000000000000003</v>
      </c>
      <c r="J1728" s="12">
        <v>50</v>
      </c>
      <c r="K1728" s="12">
        <v>56.99</v>
      </c>
      <c r="L1728" s="12">
        <v>2849.5</v>
      </c>
      <c r="M1728" s="12">
        <v>0</v>
      </c>
      <c r="N1728" s="12">
        <v>0</v>
      </c>
      <c r="O1728" s="12">
        <v>370.43508600000001</v>
      </c>
      <c r="P1728" s="12">
        <v>3219.935086</v>
      </c>
    </row>
    <row r="1729" spans="1:16" ht="14.5" x14ac:dyDescent="0.25">
      <c r="A1729" s="10">
        <v>46003</v>
      </c>
      <c r="B1729" s="2" t="str">
        <f t="shared" si="54"/>
        <v>Dec-2025</v>
      </c>
      <c r="C1729" s="2" t="str">
        <f t="shared" si="55"/>
        <v>Q3</v>
      </c>
      <c r="D1729" s="2" t="s">
        <v>28</v>
      </c>
      <c r="E1729" s="11" t="s">
        <v>378</v>
      </c>
      <c r="F1729" s="11" t="s">
        <v>151</v>
      </c>
      <c r="G1729" s="11" t="s">
        <v>503</v>
      </c>
      <c r="H1729" s="11" t="s">
        <v>45</v>
      </c>
      <c r="I1729" s="12">
        <v>0.5</v>
      </c>
      <c r="J1729" s="12">
        <v>90</v>
      </c>
      <c r="K1729" s="12">
        <v>56.99</v>
      </c>
      <c r="L1729" s="12">
        <v>5129.1000000000004</v>
      </c>
      <c r="M1729" s="12">
        <v>0</v>
      </c>
      <c r="N1729" s="12">
        <v>0</v>
      </c>
      <c r="O1729" s="12">
        <v>666.78315499999997</v>
      </c>
      <c r="P1729" s="12">
        <v>5795.8831550000004</v>
      </c>
    </row>
    <row r="1730" spans="1:16" ht="14.5" x14ac:dyDescent="0.25">
      <c r="A1730" s="10">
        <v>46003</v>
      </c>
      <c r="B1730" s="2" t="str">
        <f t="shared" si="54"/>
        <v>Dec-2025</v>
      </c>
      <c r="C1730" s="2" t="str">
        <f t="shared" si="55"/>
        <v>Q3</v>
      </c>
      <c r="D1730" s="2" t="s">
        <v>28</v>
      </c>
      <c r="E1730" s="11" t="s">
        <v>378</v>
      </c>
      <c r="F1730" s="11" t="s">
        <v>151</v>
      </c>
      <c r="G1730" s="11" t="s">
        <v>503</v>
      </c>
      <c r="H1730" s="11" t="s">
        <v>166</v>
      </c>
      <c r="I1730" s="12">
        <v>0.5</v>
      </c>
      <c r="J1730" s="12">
        <v>60</v>
      </c>
      <c r="K1730" s="12">
        <v>58.85</v>
      </c>
      <c r="L1730" s="12">
        <v>3531.0000000000005</v>
      </c>
      <c r="M1730" s="12">
        <v>0</v>
      </c>
      <c r="N1730" s="12">
        <v>0</v>
      </c>
      <c r="O1730" s="12">
        <v>459.03010700000004</v>
      </c>
      <c r="P1730" s="12">
        <v>3990.030107</v>
      </c>
    </row>
    <row r="1731" spans="1:16" ht="14.5" x14ac:dyDescent="0.25">
      <c r="A1731" s="10">
        <v>46003</v>
      </c>
      <c r="B1731" s="2" t="str">
        <f t="shared" si="54"/>
        <v>Dec-2025</v>
      </c>
      <c r="C1731" s="2" t="str">
        <f t="shared" si="55"/>
        <v>Q3</v>
      </c>
      <c r="D1731" s="2" t="s">
        <v>28</v>
      </c>
      <c r="E1731" s="11" t="s">
        <v>378</v>
      </c>
      <c r="F1731" s="11" t="s">
        <v>151</v>
      </c>
      <c r="G1731" s="11" t="s">
        <v>505</v>
      </c>
      <c r="H1731" s="11" t="s">
        <v>62</v>
      </c>
      <c r="I1731" s="12">
        <v>1.5</v>
      </c>
      <c r="J1731" s="12">
        <v>60</v>
      </c>
      <c r="K1731" s="12">
        <v>402.65</v>
      </c>
      <c r="L1731" s="12">
        <v>24158.999999999996</v>
      </c>
      <c r="M1731" s="12">
        <v>0</v>
      </c>
      <c r="N1731" s="12">
        <v>0</v>
      </c>
      <c r="O1731" s="12">
        <v>3140.6707299999998</v>
      </c>
      <c r="P1731" s="12">
        <v>27299.670730000002</v>
      </c>
    </row>
    <row r="1732" spans="1:16" ht="14.5" x14ac:dyDescent="0.25">
      <c r="A1732" s="10">
        <v>46003</v>
      </c>
      <c r="B1732" s="2" t="str">
        <f t="shared" si="54"/>
        <v>Dec-2025</v>
      </c>
      <c r="C1732" s="2" t="str">
        <f t="shared" si="55"/>
        <v>Q3</v>
      </c>
      <c r="D1732" s="2" t="s">
        <v>28</v>
      </c>
      <c r="E1732" s="11" t="s">
        <v>378</v>
      </c>
      <c r="F1732" s="11" t="s">
        <v>151</v>
      </c>
      <c r="G1732" s="11" t="s">
        <v>506</v>
      </c>
      <c r="H1732" s="11" t="s">
        <v>58</v>
      </c>
      <c r="I1732" s="12">
        <v>2</v>
      </c>
      <c r="J1732" s="12">
        <v>144</v>
      </c>
      <c r="K1732" s="12">
        <v>136.28</v>
      </c>
      <c r="L1732" s="12">
        <v>19624.32</v>
      </c>
      <c r="M1732" s="12">
        <v>0</v>
      </c>
      <c r="N1732" s="12">
        <v>0</v>
      </c>
      <c r="O1732" s="12">
        <v>2551.1621929999997</v>
      </c>
      <c r="P1732" s="12">
        <v>22175.482193</v>
      </c>
    </row>
    <row r="1733" spans="1:16" ht="14.5" x14ac:dyDescent="0.25">
      <c r="A1733" s="10">
        <v>46003</v>
      </c>
      <c r="B1733" s="2" t="str">
        <f t="shared" si="54"/>
        <v>Dec-2025</v>
      </c>
      <c r="C1733" s="2" t="str">
        <f t="shared" si="55"/>
        <v>Q3</v>
      </c>
      <c r="D1733" s="2" t="s">
        <v>28</v>
      </c>
      <c r="E1733" s="11" t="s">
        <v>378</v>
      </c>
      <c r="F1733" s="11" t="s">
        <v>151</v>
      </c>
      <c r="G1733" s="11" t="s">
        <v>504</v>
      </c>
      <c r="H1733" s="11" t="s">
        <v>69</v>
      </c>
      <c r="I1733" s="12">
        <v>1.6</v>
      </c>
      <c r="J1733" s="12">
        <v>160</v>
      </c>
      <c r="K1733" s="12">
        <v>148.66999999999999</v>
      </c>
      <c r="L1733" s="12">
        <v>23787.200000000001</v>
      </c>
      <c r="M1733" s="12">
        <v>0</v>
      </c>
      <c r="N1733" s="12">
        <v>0</v>
      </c>
      <c r="O1733" s="12">
        <v>3092.3367189999999</v>
      </c>
      <c r="P1733" s="12">
        <v>26879.536719</v>
      </c>
    </row>
    <row r="1734" spans="1:16" ht="14.5" x14ac:dyDescent="0.25">
      <c r="A1734" s="10">
        <v>46003</v>
      </c>
      <c r="B1734" s="2" t="str">
        <f t="shared" si="54"/>
        <v>Dec-2025</v>
      </c>
      <c r="C1734" s="2" t="str">
        <f t="shared" si="55"/>
        <v>Q3</v>
      </c>
      <c r="D1734" s="2" t="s">
        <v>28</v>
      </c>
      <c r="E1734" s="11" t="s">
        <v>378</v>
      </c>
      <c r="F1734" s="11" t="s">
        <v>151</v>
      </c>
      <c r="G1734" s="11" t="s">
        <v>503</v>
      </c>
      <c r="H1734" s="11" t="s">
        <v>173</v>
      </c>
      <c r="I1734" s="12">
        <v>1</v>
      </c>
      <c r="J1734" s="12">
        <v>120</v>
      </c>
      <c r="K1734" s="12">
        <v>77.430000000000007</v>
      </c>
      <c r="L1734" s="12">
        <v>9291.6</v>
      </c>
      <c r="M1734" s="12">
        <v>0</v>
      </c>
      <c r="N1734" s="12">
        <v>0</v>
      </c>
      <c r="O1734" s="12">
        <v>1207.908281</v>
      </c>
      <c r="P1734" s="12">
        <v>10499.508281</v>
      </c>
    </row>
    <row r="1735" spans="1:16" ht="14.5" x14ac:dyDescent="0.25">
      <c r="A1735" s="10">
        <v>46003</v>
      </c>
      <c r="B1735" s="2" t="str">
        <f t="shared" si="54"/>
        <v>Dec-2025</v>
      </c>
      <c r="C1735" s="2" t="str">
        <f t="shared" si="55"/>
        <v>Q3</v>
      </c>
      <c r="D1735" s="2" t="s">
        <v>28</v>
      </c>
      <c r="E1735" s="11" t="s">
        <v>378</v>
      </c>
      <c r="F1735" s="11" t="s">
        <v>151</v>
      </c>
      <c r="G1735" s="11" t="s">
        <v>506</v>
      </c>
      <c r="H1735" s="11" t="s">
        <v>181</v>
      </c>
      <c r="I1735" s="12">
        <v>0.7</v>
      </c>
      <c r="J1735" s="12">
        <v>70</v>
      </c>
      <c r="K1735" s="12">
        <v>89.82</v>
      </c>
      <c r="L1735" s="12">
        <v>6287.4</v>
      </c>
      <c r="M1735" s="12">
        <v>0</v>
      </c>
      <c r="N1735" s="12">
        <v>0</v>
      </c>
      <c r="O1735" s="12">
        <v>817.36218999999994</v>
      </c>
      <c r="P1735" s="12">
        <v>7104.7621900000004</v>
      </c>
    </row>
    <row r="1736" spans="1:16" ht="14.5" x14ac:dyDescent="0.25">
      <c r="A1736" s="10">
        <v>46003</v>
      </c>
      <c r="B1736" s="2" t="str">
        <f t="shared" si="54"/>
        <v>Dec-2025</v>
      </c>
      <c r="C1736" s="2" t="str">
        <f t="shared" si="55"/>
        <v>Q3</v>
      </c>
      <c r="D1736" s="2" t="s">
        <v>28</v>
      </c>
      <c r="E1736" s="11" t="s">
        <v>378</v>
      </c>
      <c r="F1736" s="11" t="s">
        <v>151</v>
      </c>
      <c r="G1736" s="11" t="s">
        <v>503</v>
      </c>
      <c r="H1736" s="11" t="s">
        <v>180</v>
      </c>
      <c r="I1736" s="12">
        <v>0.25</v>
      </c>
      <c r="J1736" s="12">
        <v>20</v>
      </c>
      <c r="K1736" s="12">
        <v>130.09</v>
      </c>
      <c r="L1736" s="12">
        <v>2601.7999999999997</v>
      </c>
      <c r="M1736" s="12">
        <v>0</v>
      </c>
      <c r="N1736" s="12">
        <v>0</v>
      </c>
      <c r="O1736" s="12">
        <v>338.23407900000001</v>
      </c>
      <c r="P1736" s="12">
        <v>2940.034079</v>
      </c>
    </row>
    <row r="1737" spans="1:16" ht="14.5" x14ac:dyDescent="0.25">
      <c r="A1737" s="10">
        <v>46003</v>
      </c>
      <c r="B1737" s="2" t="str">
        <f t="shared" si="54"/>
        <v>Dec-2025</v>
      </c>
      <c r="C1737" s="2" t="str">
        <f t="shared" si="55"/>
        <v>Q3</v>
      </c>
      <c r="D1737" s="2" t="s">
        <v>28</v>
      </c>
      <c r="E1737" s="11" t="s">
        <v>378</v>
      </c>
      <c r="F1737" s="11" t="s">
        <v>151</v>
      </c>
      <c r="G1737" s="11" t="s">
        <v>503</v>
      </c>
      <c r="H1737" s="11" t="s">
        <v>171</v>
      </c>
      <c r="I1737" s="12">
        <v>0.25</v>
      </c>
      <c r="J1737" s="12">
        <v>20</v>
      </c>
      <c r="K1737" s="12">
        <v>142.47999999999999</v>
      </c>
      <c r="L1737" s="12">
        <v>2849.6</v>
      </c>
      <c r="M1737" s="12">
        <v>0</v>
      </c>
      <c r="N1737" s="12">
        <v>0</v>
      </c>
      <c r="O1737" s="12">
        <v>370.44808599999999</v>
      </c>
      <c r="P1737" s="12">
        <v>3220.0480859999998</v>
      </c>
    </row>
    <row r="1738" spans="1:16" ht="14.5" x14ac:dyDescent="0.25">
      <c r="A1738" s="10">
        <v>46003</v>
      </c>
      <c r="B1738" s="2" t="str">
        <f t="shared" si="54"/>
        <v>Dec-2025</v>
      </c>
      <c r="C1738" s="2" t="str">
        <f t="shared" si="55"/>
        <v>Q3</v>
      </c>
      <c r="D1738" s="2" t="s">
        <v>28</v>
      </c>
      <c r="E1738" s="11" t="s">
        <v>378</v>
      </c>
      <c r="F1738" s="11" t="s">
        <v>151</v>
      </c>
      <c r="G1738" s="11" t="s">
        <v>503</v>
      </c>
      <c r="H1738" s="11" t="s">
        <v>63</v>
      </c>
      <c r="I1738" s="12">
        <v>0.25</v>
      </c>
      <c r="J1738" s="12">
        <v>20</v>
      </c>
      <c r="K1738" s="12">
        <v>170.35</v>
      </c>
      <c r="L1738" s="12">
        <v>3407.0000000000005</v>
      </c>
      <c r="M1738" s="12">
        <v>0</v>
      </c>
      <c r="N1738" s="12">
        <v>0</v>
      </c>
      <c r="O1738" s="12">
        <v>442.91010299999999</v>
      </c>
      <c r="P1738" s="12">
        <v>3849.9101030000002</v>
      </c>
    </row>
    <row r="1739" spans="1:16" ht="14.5" x14ac:dyDescent="0.25">
      <c r="A1739" s="10">
        <v>46003</v>
      </c>
      <c r="B1739" s="2" t="str">
        <f t="shared" si="54"/>
        <v>Dec-2025</v>
      </c>
      <c r="C1739" s="2" t="str">
        <f t="shared" si="55"/>
        <v>Q3</v>
      </c>
      <c r="D1739" s="2" t="s">
        <v>28</v>
      </c>
      <c r="E1739" s="11" t="s">
        <v>378</v>
      </c>
      <c r="F1739" s="11" t="s">
        <v>151</v>
      </c>
      <c r="G1739" s="11" t="s">
        <v>505</v>
      </c>
      <c r="H1739" s="11" t="s">
        <v>56</v>
      </c>
      <c r="I1739" s="12">
        <v>1.5</v>
      </c>
      <c r="J1739" s="12">
        <v>180</v>
      </c>
      <c r="K1739" s="12">
        <v>46.46</v>
      </c>
      <c r="L1739" s="12">
        <v>8362.8000000000011</v>
      </c>
      <c r="M1739" s="12">
        <v>0</v>
      </c>
      <c r="N1739" s="12">
        <v>0</v>
      </c>
      <c r="O1739" s="12">
        <v>1087.1642529999999</v>
      </c>
      <c r="P1739" s="12">
        <v>9449.9642530000001</v>
      </c>
    </row>
    <row r="1740" spans="1:16" ht="14.5" x14ac:dyDescent="0.25">
      <c r="A1740" s="10">
        <v>46003</v>
      </c>
      <c r="B1740" s="2" t="str">
        <f t="shared" si="54"/>
        <v>Dec-2025</v>
      </c>
      <c r="C1740" s="2" t="str">
        <f t="shared" si="55"/>
        <v>Q3</v>
      </c>
      <c r="D1740" s="2" t="s">
        <v>28</v>
      </c>
      <c r="E1740" s="11" t="s">
        <v>378</v>
      </c>
      <c r="F1740" s="11" t="s">
        <v>151</v>
      </c>
      <c r="G1740" s="11" t="s">
        <v>503</v>
      </c>
      <c r="H1740" s="11" t="s">
        <v>87</v>
      </c>
      <c r="I1740" s="12">
        <v>0.11</v>
      </c>
      <c r="J1740" s="12">
        <v>20</v>
      </c>
      <c r="K1740" s="12">
        <v>105.31</v>
      </c>
      <c r="L1740" s="12">
        <v>2106.1999999999998</v>
      </c>
      <c r="M1740" s="12">
        <v>0</v>
      </c>
      <c r="N1740" s="12">
        <v>0</v>
      </c>
      <c r="O1740" s="12">
        <v>273.80606399999999</v>
      </c>
      <c r="P1740" s="12">
        <v>2380.0060640000002</v>
      </c>
    </row>
    <row r="1741" spans="1:16" ht="14.5" x14ac:dyDescent="0.25">
      <c r="A1741" s="10">
        <v>46003</v>
      </c>
      <c r="B1741" s="2" t="str">
        <f t="shared" si="54"/>
        <v>Dec-2025</v>
      </c>
      <c r="C1741" s="2" t="str">
        <f t="shared" si="55"/>
        <v>Q3</v>
      </c>
      <c r="D1741" s="2" t="s">
        <v>28</v>
      </c>
      <c r="E1741" s="11" t="s">
        <v>378</v>
      </c>
      <c r="F1741" s="11" t="s">
        <v>151</v>
      </c>
      <c r="G1741" s="11" t="s">
        <v>507</v>
      </c>
      <c r="H1741" s="11" t="s">
        <v>90</v>
      </c>
      <c r="I1741" s="12">
        <v>0.67</v>
      </c>
      <c r="J1741" s="12">
        <v>80</v>
      </c>
      <c r="K1741" s="12">
        <v>52.65</v>
      </c>
      <c r="L1741" s="12">
        <v>4212</v>
      </c>
      <c r="M1741" s="12">
        <v>0</v>
      </c>
      <c r="N1741" s="12">
        <v>0</v>
      </c>
      <c r="O1741" s="12">
        <v>547.56012699999997</v>
      </c>
      <c r="P1741" s="12">
        <v>4759.5601269999997</v>
      </c>
    </row>
    <row r="1742" spans="1:16" ht="14.5" x14ac:dyDescent="0.25">
      <c r="A1742" s="10">
        <v>46003</v>
      </c>
      <c r="B1742" s="2" t="str">
        <f t="shared" si="54"/>
        <v>Dec-2025</v>
      </c>
      <c r="C1742" s="2" t="str">
        <f t="shared" si="55"/>
        <v>Q3</v>
      </c>
      <c r="D1742" s="2" t="s">
        <v>28</v>
      </c>
      <c r="E1742" s="11" t="s">
        <v>378</v>
      </c>
      <c r="F1742" s="11" t="s">
        <v>151</v>
      </c>
      <c r="G1742" s="11" t="s">
        <v>505</v>
      </c>
      <c r="H1742" s="11" t="s">
        <v>168</v>
      </c>
      <c r="I1742" s="12">
        <v>1.25</v>
      </c>
      <c r="J1742" s="12">
        <v>100</v>
      </c>
      <c r="K1742" s="12">
        <v>210.62</v>
      </c>
      <c r="L1742" s="12">
        <v>21062</v>
      </c>
      <c r="M1742" s="12">
        <v>0</v>
      </c>
      <c r="N1742" s="12">
        <v>0</v>
      </c>
      <c r="O1742" s="12">
        <v>2738.060637</v>
      </c>
      <c r="P1742" s="12">
        <v>23800.060636999999</v>
      </c>
    </row>
    <row r="1743" spans="1:16" ht="14.5" x14ac:dyDescent="0.25">
      <c r="A1743" s="10">
        <v>46005</v>
      </c>
      <c r="B1743" s="2" t="str">
        <f t="shared" si="54"/>
        <v>Dec-2025</v>
      </c>
      <c r="C1743" s="2" t="str">
        <f t="shared" si="55"/>
        <v>Q3</v>
      </c>
      <c r="D1743" s="2" t="s">
        <v>28</v>
      </c>
      <c r="E1743" s="11" t="s">
        <v>379</v>
      </c>
      <c r="F1743" s="11" t="s">
        <v>151</v>
      </c>
      <c r="G1743" s="11" t="s">
        <v>504</v>
      </c>
      <c r="H1743" s="11" t="s">
        <v>53</v>
      </c>
      <c r="I1743" s="12">
        <v>2.4</v>
      </c>
      <c r="J1743" s="12">
        <v>240</v>
      </c>
      <c r="K1743" s="12">
        <v>126</v>
      </c>
      <c r="L1743" s="12">
        <v>30240</v>
      </c>
      <c r="M1743" s="12" t="s">
        <v>113</v>
      </c>
      <c r="N1743" s="12" t="s">
        <v>113</v>
      </c>
      <c r="O1743" s="12" t="s">
        <v>113</v>
      </c>
      <c r="P1743" s="12">
        <v>30240</v>
      </c>
    </row>
    <row r="1744" spans="1:16" ht="14.5" x14ac:dyDescent="0.25">
      <c r="A1744" s="10">
        <v>46005</v>
      </c>
      <c r="B1744" s="2" t="str">
        <f t="shared" si="54"/>
        <v>Dec-2025</v>
      </c>
      <c r="C1744" s="2" t="str">
        <f t="shared" si="55"/>
        <v>Q3</v>
      </c>
      <c r="D1744" s="2" t="s">
        <v>28</v>
      </c>
      <c r="E1744" s="11" t="s">
        <v>379</v>
      </c>
      <c r="F1744" s="11" t="s">
        <v>151</v>
      </c>
      <c r="G1744" s="11" t="s">
        <v>504</v>
      </c>
      <c r="H1744" s="11" t="s">
        <v>61</v>
      </c>
      <c r="I1744" s="12">
        <v>4</v>
      </c>
      <c r="J1744" s="12">
        <v>160</v>
      </c>
      <c r="K1744" s="12">
        <v>308</v>
      </c>
      <c r="L1744" s="12">
        <v>49280</v>
      </c>
      <c r="M1744" s="12" t="s">
        <v>113</v>
      </c>
      <c r="N1744" s="12" t="s">
        <v>113</v>
      </c>
      <c r="O1744" s="12" t="s">
        <v>113</v>
      </c>
      <c r="P1744" s="12">
        <v>49280</v>
      </c>
    </row>
    <row r="1745" spans="1:16" ht="14.5" x14ac:dyDescent="0.25">
      <c r="A1745" s="10">
        <v>46005</v>
      </c>
      <c r="B1745" s="2" t="str">
        <f t="shared" si="54"/>
        <v>Dec-2025</v>
      </c>
      <c r="C1745" s="2" t="str">
        <f t="shared" si="55"/>
        <v>Q3</v>
      </c>
      <c r="D1745" s="2" t="s">
        <v>28</v>
      </c>
      <c r="E1745" s="11" t="s">
        <v>380</v>
      </c>
      <c r="F1745" s="11" t="s">
        <v>236</v>
      </c>
      <c r="G1745" s="11" t="s">
        <v>505</v>
      </c>
      <c r="H1745" s="11" t="s">
        <v>56</v>
      </c>
      <c r="I1745" s="12">
        <v>1</v>
      </c>
      <c r="J1745" s="12">
        <v>120</v>
      </c>
      <c r="K1745" s="12">
        <v>50.7</v>
      </c>
      <c r="L1745" s="12">
        <v>6084</v>
      </c>
      <c r="M1745" s="12">
        <v>-553.04</v>
      </c>
      <c r="N1745" s="12">
        <v>0</v>
      </c>
      <c r="O1745" s="12">
        <v>719.02</v>
      </c>
      <c r="P1745" s="12">
        <v>6249.98</v>
      </c>
    </row>
    <row r="1746" spans="1:16" ht="14.5" x14ac:dyDescent="0.25">
      <c r="A1746" s="10">
        <v>46005</v>
      </c>
      <c r="B1746" s="2" t="str">
        <f t="shared" si="54"/>
        <v>Dec-2025</v>
      </c>
      <c r="C1746" s="2" t="str">
        <f t="shared" si="55"/>
        <v>Q3</v>
      </c>
      <c r="D1746" s="2" t="s">
        <v>28</v>
      </c>
      <c r="E1746" s="11" t="s">
        <v>381</v>
      </c>
      <c r="F1746" s="11" t="s">
        <v>95</v>
      </c>
      <c r="G1746" s="11" t="s">
        <v>503</v>
      </c>
      <c r="H1746" s="11" t="s">
        <v>44</v>
      </c>
      <c r="I1746" s="12">
        <v>1</v>
      </c>
      <c r="J1746" s="12">
        <v>180</v>
      </c>
      <c r="K1746" s="12">
        <v>155.49</v>
      </c>
      <c r="L1746" s="12">
        <v>27988.2</v>
      </c>
      <c r="M1746" s="12">
        <v>-2544.13</v>
      </c>
      <c r="N1746" s="12">
        <v>0</v>
      </c>
      <c r="O1746" s="12">
        <v>3307.729296</v>
      </c>
      <c r="P1746" s="12">
        <v>28751.799296000001</v>
      </c>
    </row>
    <row r="1747" spans="1:16" ht="14.5" x14ac:dyDescent="0.25">
      <c r="A1747" s="10">
        <v>46005</v>
      </c>
      <c r="B1747" s="2" t="str">
        <f t="shared" si="54"/>
        <v>Dec-2025</v>
      </c>
      <c r="C1747" s="2" t="str">
        <f t="shared" si="55"/>
        <v>Q3</v>
      </c>
      <c r="D1747" s="2" t="s">
        <v>28</v>
      </c>
      <c r="E1747" s="11" t="s">
        <v>381</v>
      </c>
      <c r="F1747" s="11" t="s">
        <v>95</v>
      </c>
      <c r="G1747" s="11" t="s">
        <v>505</v>
      </c>
      <c r="H1747" s="11" t="s">
        <v>43</v>
      </c>
      <c r="I1747" s="12">
        <v>1</v>
      </c>
      <c r="J1747" s="12">
        <v>40</v>
      </c>
      <c r="K1747" s="12">
        <v>283.94</v>
      </c>
      <c r="L1747" s="12">
        <v>11357.599999999999</v>
      </c>
      <c r="M1747" s="12">
        <v>-1032.4099999999999</v>
      </c>
      <c r="N1747" s="12">
        <v>0</v>
      </c>
      <c r="O1747" s="12">
        <v>1342.27478</v>
      </c>
      <c r="P1747" s="12">
        <v>11667.46478</v>
      </c>
    </row>
    <row r="1748" spans="1:16" ht="14.5" x14ac:dyDescent="0.25">
      <c r="A1748" s="10">
        <v>46005</v>
      </c>
      <c r="B1748" s="2" t="str">
        <f t="shared" si="54"/>
        <v>Dec-2025</v>
      </c>
      <c r="C1748" s="2" t="str">
        <f t="shared" si="55"/>
        <v>Q3</v>
      </c>
      <c r="D1748" s="2" t="s">
        <v>28</v>
      </c>
      <c r="E1748" s="11" t="s">
        <v>381</v>
      </c>
      <c r="F1748" s="11" t="s">
        <v>95</v>
      </c>
      <c r="G1748" s="11" t="s">
        <v>505</v>
      </c>
      <c r="H1748" s="11" t="s">
        <v>49</v>
      </c>
      <c r="I1748" s="12">
        <v>1</v>
      </c>
      <c r="J1748" s="12">
        <v>180</v>
      </c>
      <c r="K1748" s="12">
        <v>182.53</v>
      </c>
      <c r="L1748" s="12">
        <v>32855.4</v>
      </c>
      <c r="M1748" s="12">
        <v>-2986.56</v>
      </c>
      <c r="N1748" s="12">
        <v>0</v>
      </c>
      <c r="O1748" s="12">
        <v>3882.9494300000001</v>
      </c>
      <c r="P1748" s="12">
        <v>33751.789429999997</v>
      </c>
    </row>
    <row r="1749" spans="1:16" ht="14.5" x14ac:dyDescent="0.25">
      <c r="A1749" s="10">
        <v>46005</v>
      </c>
      <c r="B1749" s="2" t="str">
        <f t="shared" si="54"/>
        <v>Dec-2025</v>
      </c>
      <c r="C1749" s="2" t="str">
        <f t="shared" si="55"/>
        <v>Q3</v>
      </c>
      <c r="D1749" s="2" t="s">
        <v>28</v>
      </c>
      <c r="E1749" s="11" t="s">
        <v>381</v>
      </c>
      <c r="F1749" s="11" t="s">
        <v>95</v>
      </c>
      <c r="G1749" s="11" t="s">
        <v>503</v>
      </c>
      <c r="H1749" s="11" t="s">
        <v>176</v>
      </c>
      <c r="I1749" s="12">
        <v>1</v>
      </c>
      <c r="J1749" s="12">
        <v>120</v>
      </c>
      <c r="K1749" s="12">
        <v>158.86000000000001</v>
      </c>
      <c r="L1749" s="12">
        <v>19063.2</v>
      </c>
      <c r="M1749" s="12">
        <v>-1732.84</v>
      </c>
      <c r="N1749" s="12">
        <v>0</v>
      </c>
      <c r="O1749" s="12">
        <v>2252.9469340000001</v>
      </c>
      <c r="P1749" s="12">
        <v>19583.306934</v>
      </c>
    </row>
    <row r="1750" spans="1:16" ht="14.5" x14ac:dyDescent="0.25">
      <c r="A1750" s="10">
        <v>46005</v>
      </c>
      <c r="B1750" s="2" t="str">
        <f t="shared" si="54"/>
        <v>Dec-2025</v>
      </c>
      <c r="C1750" s="2" t="str">
        <f t="shared" si="55"/>
        <v>Q3</v>
      </c>
      <c r="D1750" s="2" t="s">
        <v>28</v>
      </c>
      <c r="E1750" s="11" t="s">
        <v>381</v>
      </c>
      <c r="F1750" s="11" t="s">
        <v>95</v>
      </c>
      <c r="G1750" s="11" t="s">
        <v>503</v>
      </c>
      <c r="H1750" s="11" t="s">
        <v>47</v>
      </c>
      <c r="I1750" s="12">
        <v>1</v>
      </c>
      <c r="J1750" s="12">
        <v>120</v>
      </c>
      <c r="K1750" s="12">
        <v>121.69</v>
      </c>
      <c r="L1750" s="12">
        <v>14602.800000000001</v>
      </c>
      <c r="M1750" s="12">
        <v>-1327.39</v>
      </c>
      <c r="N1750" s="12">
        <v>0</v>
      </c>
      <c r="O1750" s="12">
        <v>1725.803402</v>
      </c>
      <c r="P1750" s="12">
        <v>15001.213401999999</v>
      </c>
    </row>
    <row r="1751" spans="1:16" ht="14.5" x14ac:dyDescent="0.25">
      <c r="A1751" s="10">
        <v>46005</v>
      </c>
      <c r="B1751" s="2" t="str">
        <f t="shared" si="54"/>
        <v>Dec-2025</v>
      </c>
      <c r="C1751" s="2" t="str">
        <f t="shared" si="55"/>
        <v>Q3</v>
      </c>
      <c r="D1751" s="2" t="s">
        <v>28</v>
      </c>
      <c r="E1751" s="11" t="s">
        <v>381</v>
      </c>
      <c r="F1751" s="11" t="s">
        <v>95</v>
      </c>
      <c r="G1751" s="11" t="s">
        <v>505</v>
      </c>
      <c r="H1751" s="11" t="s">
        <v>56</v>
      </c>
      <c r="I1751" s="12">
        <v>1</v>
      </c>
      <c r="J1751" s="12">
        <v>120</v>
      </c>
      <c r="K1751" s="12">
        <v>50.7</v>
      </c>
      <c r="L1751" s="12">
        <v>6084</v>
      </c>
      <c r="M1751" s="12">
        <v>-553.04</v>
      </c>
      <c r="N1751" s="12">
        <v>0</v>
      </c>
      <c r="O1751" s="12">
        <v>719.02484300000003</v>
      </c>
      <c r="P1751" s="12">
        <v>6249.9848430000002</v>
      </c>
    </row>
    <row r="1752" spans="1:16" ht="14.5" x14ac:dyDescent="0.25">
      <c r="A1752" s="10">
        <v>46005</v>
      </c>
      <c r="B1752" s="2" t="str">
        <f t="shared" si="54"/>
        <v>Dec-2025</v>
      </c>
      <c r="C1752" s="2" t="str">
        <f t="shared" si="55"/>
        <v>Q3</v>
      </c>
      <c r="D1752" s="2" t="s">
        <v>28</v>
      </c>
      <c r="E1752" s="11" t="s">
        <v>381</v>
      </c>
      <c r="F1752" s="11" t="s">
        <v>95</v>
      </c>
      <c r="G1752" s="11" t="s">
        <v>503</v>
      </c>
      <c r="H1752" s="11" t="s">
        <v>171</v>
      </c>
      <c r="I1752" s="12">
        <v>0.63</v>
      </c>
      <c r="J1752" s="12">
        <v>50</v>
      </c>
      <c r="K1752" s="12">
        <v>155.49</v>
      </c>
      <c r="L1752" s="12">
        <v>7774.5</v>
      </c>
      <c r="M1752" s="12">
        <v>-706.7</v>
      </c>
      <c r="N1752" s="12">
        <v>0</v>
      </c>
      <c r="O1752" s="12">
        <v>918.81405500000005</v>
      </c>
      <c r="P1752" s="12">
        <v>7986.614055</v>
      </c>
    </row>
    <row r="1753" spans="1:16" ht="14.5" x14ac:dyDescent="0.25">
      <c r="A1753" s="10">
        <v>46005</v>
      </c>
      <c r="B1753" s="2" t="str">
        <f t="shared" si="54"/>
        <v>Dec-2025</v>
      </c>
      <c r="C1753" s="2" t="str">
        <f t="shared" si="55"/>
        <v>Q3</v>
      </c>
      <c r="D1753" s="2" t="s">
        <v>28</v>
      </c>
      <c r="E1753" s="11" t="s">
        <v>381</v>
      </c>
      <c r="F1753" s="11" t="s">
        <v>95</v>
      </c>
      <c r="G1753" s="11" t="s">
        <v>503</v>
      </c>
      <c r="H1753" s="11" t="s">
        <v>87</v>
      </c>
      <c r="I1753" s="12">
        <v>0.28000000000000003</v>
      </c>
      <c r="J1753" s="12">
        <v>50</v>
      </c>
      <c r="K1753" s="12">
        <v>114.93</v>
      </c>
      <c r="L1753" s="12">
        <v>5746.5</v>
      </c>
      <c r="M1753" s="12">
        <v>-522.36</v>
      </c>
      <c r="N1753" s="12">
        <v>0</v>
      </c>
      <c r="O1753" s="12">
        <v>679.13824</v>
      </c>
      <c r="P1753" s="12">
        <v>5903.2782399999996</v>
      </c>
    </row>
    <row r="1754" spans="1:16" ht="14.5" x14ac:dyDescent="0.25">
      <c r="A1754" s="10">
        <v>46005</v>
      </c>
      <c r="B1754" s="2" t="str">
        <f t="shared" si="54"/>
        <v>Dec-2025</v>
      </c>
      <c r="C1754" s="2" t="str">
        <f t="shared" si="55"/>
        <v>Q3</v>
      </c>
      <c r="D1754" s="2" t="s">
        <v>28</v>
      </c>
      <c r="E1754" s="11" t="s">
        <v>381</v>
      </c>
      <c r="F1754" s="11" t="s">
        <v>95</v>
      </c>
      <c r="G1754" s="11" t="s">
        <v>503</v>
      </c>
      <c r="H1754" s="11" t="s">
        <v>180</v>
      </c>
      <c r="I1754" s="12">
        <v>0.25</v>
      </c>
      <c r="J1754" s="12">
        <v>20</v>
      </c>
      <c r="K1754" s="12">
        <v>141.97</v>
      </c>
      <c r="L1754" s="12">
        <v>2839.3999999999996</v>
      </c>
      <c r="M1754" s="12">
        <v>-258.10000000000002</v>
      </c>
      <c r="N1754" s="12">
        <v>0</v>
      </c>
      <c r="O1754" s="12">
        <v>335.56902000000002</v>
      </c>
      <c r="P1754" s="12">
        <v>2916.8690200000001</v>
      </c>
    </row>
    <row r="1755" spans="1:16" ht="14.5" x14ac:dyDescent="0.25">
      <c r="A1755" s="10">
        <v>46005</v>
      </c>
      <c r="B1755" s="2" t="str">
        <f t="shared" si="54"/>
        <v>Dec-2025</v>
      </c>
      <c r="C1755" s="2" t="str">
        <f t="shared" si="55"/>
        <v>Q3</v>
      </c>
      <c r="D1755" s="2" t="s">
        <v>28</v>
      </c>
      <c r="E1755" s="11" t="s">
        <v>382</v>
      </c>
      <c r="F1755" s="11" t="s">
        <v>38</v>
      </c>
      <c r="G1755" s="11" t="s">
        <v>505</v>
      </c>
      <c r="H1755" s="11" t="s">
        <v>55</v>
      </c>
      <c r="I1755" s="12">
        <v>0.17</v>
      </c>
      <c r="J1755" s="12">
        <v>20</v>
      </c>
      <c r="K1755" s="12">
        <v>152.11000000000001</v>
      </c>
      <c r="L1755" s="12">
        <v>3042.2000000000003</v>
      </c>
      <c r="M1755" s="12">
        <v>0</v>
      </c>
      <c r="N1755" s="12">
        <v>0</v>
      </c>
      <c r="O1755" s="12">
        <v>395.49</v>
      </c>
      <c r="P1755" s="12">
        <v>3437.69</v>
      </c>
    </row>
    <row r="1756" spans="1:16" ht="14.5" x14ac:dyDescent="0.25">
      <c r="A1756" s="10">
        <v>46006</v>
      </c>
      <c r="B1756" s="2" t="str">
        <f t="shared" si="54"/>
        <v>Dec-2025</v>
      </c>
      <c r="C1756" s="2" t="str">
        <f t="shared" si="55"/>
        <v>Q3</v>
      </c>
      <c r="D1756" s="2" t="s">
        <v>28</v>
      </c>
      <c r="E1756" s="11" t="s">
        <v>383</v>
      </c>
      <c r="F1756" s="11" t="s">
        <v>19</v>
      </c>
      <c r="G1756" s="11" t="s">
        <v>505</v>
      </c>
      <c r="H1756" s="11" t="s">
        <v>55</v>
      </c>
      <c r="I1756" s="12">
        <v>2</v>
      </c>
      <c r="J1756" s="12">
        <v>240</v>
      </c>
      <c r="K1756" s="12">
        <v>152.11000000000001</v>
      </c>
      <c r="L1756" s="12">
        <v>36506.400000000001</v>
      </c>
      <c r="M1756" s="12">
        <v>-3318.43</v>
      </c>
      <c r="N1756" s="12">
        <v>0</v>
      </c>
      <c r="O1756" s="12">
        <v>4314.4359729999996</v>
      </c>
      <c r="P1756" s="12">
        <v>37502.405973000001</v>
      </c>
    </row>
    <row r="1757" spans="1:16" ht="14.5" x14ac:dyDescent="0.25">
      <c r="A1757" s="10">
        <v>46006</v>
      </c>
      <c r="B1757" s="2" t="str">
        <f t="shared" si="54"/>
        <v>Dec-2025</v>
      </c>
      <c r="C1757" s="2" t="str">
        <f t="shared" si="55"/>
        <v>Q3</v>
      </c>
      <c r="D1757" s="2" t="s">
        <v>28</v>
      </c>
      <c r="E1757" s="11" t="s">
        <v>383</v>
      </c>
      <c r="F1757" s="11" t="s">
        <v>19</v>
      </c>
      <c r="G1757" s="11" t="s">
        <v>506</v>
      </c>
      <c r="H1757" s="11" t="s">
        <v>54</v>
      </c>
      <c r="I1757" s="12">
        <v>1</v>
      </c>
      <c r="J1757" s="12">
        <v>48</v>
      </c>
      <c r="K1757" s="12">
        <v>310.99</v>
      </c>
      <c r="L1757" s="12">
        <v>14927.519999999999</v>
      </c>
      <c r="M1757" s="12">
        <v>-1356.91</v>
      </c>
      <c r="N1757" s="12">
        <v>0</v>
      </c>
      <c r="O1757" s="12">
        <v>1764.1792480000001</v>
      </c>
      <c r="P1757" s="12">
        <v>15334.789247999999</v>
      </c>
    </row>
    <row r="1758" spans="1:16" ht="14.5" x14ac:dyDescent="0.25">
      <c r="A1758" s="10">
        <v>46006</v>
      </c>
      <c r="B1758" s="2" t="str">
        <f t="shared" si="54"/>
        <v>Dec-2025</v>
      </c>
      <c r="C1758" s="2" t="str">
        <f t="shared" si="55"/>
        <v>Q3</v>
      </c>
      <c r="D1758" s="2" t="s">
        <v>28</v>
      </c>
      <c r="E1758" s="11" t="s">
        <v>383</v>
      </c>
      <c r="F1758" s="11" t="s">
        <v>19</v>
      </c>
      <c r="G1758" s="11" t="s">
        <v>505</v>
      </c>
      <c r="H1758" s="11" t="s">
        <v>56</v>
      </c>
      <c r="I1758" s="12">
        <v>1</v>
      </c>
      <c r="J1758" s="12">
        <v>120</v>
      </c>
      <c r="K1758" s="12">
        <v>50.7</v>
      </c>
      <c r="L1758" s="12">
        <v>6084</v>
      </c>
      <c r="M1758" s="12">
        <v>-553.04</v>
      </c>
      <c r="N1758" s="12">
        <v>0</v>
      </c>
      <c r="O1758" s="12">
        <v>719.02477899999997</v>
      </c>
      <c r="P1758" s="12">
        <v>6249.9847790000003</v>
      </c>
    </row>
    <row r="1759" spans="1:16" ht="14.5" x14ac:dyDescent="0.25">
      <c r="A1759" s="10">
        <v>46006</v>
      </c>
      <c r="B1759" s="2" t="str">
        <f t="shared" si="54"/>
        <v>Dec-2025</v>
      </c>
      <c r="C1759" s="2" t="str">
        <f t="shared" si="55"/>
        <v>Q3</v>
      </c>
      <c r="D1759" s="2" t="s">
        <v>28</v>
      </c>
      <c r="E1759" s="11" t="s">
        <v>384</v>
      </c>
      <c r="F1759" s="11" t="s">
        <v>104</v>
      </c>
      <c r="G1759" s="11" t="s">
        <v>504</v>
      </c>
      <c r="H1759" s="11" t="s">
        <v>67</v>
      </c>
      <c r="I1759" s="12">
        <v>-0.05</v>
      </c>
      <c r="J1759" s="12">
        <v>-2</v>
      </c>
      <c r="K1759" s="12">
        <v>462.93</v>
      </c>
      <c r="L1759" s="12">
        <v>-925.86</v>
      </c>
      <c r="M1759" s="12">
        <v>0</v>
      </c>
      <c r="N1759" s="12">
        <v>0</v>
      </c>
      <c r="O1759" s="12">
        <v>-120.362815</v>
      </c>
      <c r="P1759" s="12">
        <v>-1046.2228150000001</v>
      </c>
    </row>
    <row r="1760" spans="1:16" ht="14.5" x14ac:dyDescent="0.25">
      <c r="A1760" s="10">
        <v>46006</v>
      </c>
      <c r="B1760" s="2" t="str">
        <f t="shared" si="54"/>
        <v>Dec-2025</v>
      </c>
      <c r="C1760" s="2" t="str">
        <f t="shared" si="55"/>
        <v>Q3</v>
      </c>
      <c r="D1760" s="2" t="s">
        <v>28</v>
      </c>
      <c r="E1760" s="11" t="s">
        <v>384</v>
      </c>
      <c r="F1760" s="11" t="s">
        <v>104</v>
      </c>
      <c r="G1760" s="11" t="s">
        <v>503</v>
      </c>
      <c r="H1760" s="11" t="s">
        <v>48</v>
      </c>
      <c r="I1760" s="12">
        <v>-0.02</v>
      </c>
      <c r="J1760" s="12">
        <v>-3</v>
      </c>
      <c r="K1760" s="12">
        <v>136.15</v>
      </c>
      <c r="L1760" s="12">
        <v>-408.45</v>
      </c>
      <c r="M1760" s="12">
        <v>0</v>
      </c>
      <c r="N1760" s="12">
        <v>0</v>
      </c>
      <c r="O1760" s="12">
        <v>-53.098948</v>
      </c>
      <c r="P1760" s="12">
        <v>-461.548948</v>
      </c>
    </row>
    <row r="1761" spans="1:16" ht="14.5" x14ac:dyDescent="0.25">
      <c r="A1761" s="10">
        <v>46006</v>
      </c>
      <c r="B1761" s="2" t="str">
        <f t="shared" si="54"/>
        <v>Dec-2025</v>
      </c>
      <c r="C1761" s="2" t="str">
        <f t="shared" si="55"/>
        <v>Q3</v>
      </c>
      <c r="D1761" s="2" t="s">
        <v>28</v>
      </c>
      <c r="E1761" s="11" t="s">
        <v>384</v>
      </c>
      <c r="F1761" s="11" t="s">
        <v>104</v>
      </c>
      <c r="G1761" s="11" t="s">
        <v>503</v>
      </c>
      <c r="H1761" s="11" t="s">
        <v>47</v>
      </c>
      <c r="I1761" s="12">
        <v>-0.03</v>
      </c>
      <c r="J1761" s="12">
        <v>-3</v>
      </c>
      <c r="K1761" s="12">
        <v>126.71</v>
      </c>
      <c r="L1761" s="12">
        <v>-380.13</v>
      </c>
      <c r="M1761" s="12">
        <v>0</v>
      </c>
      <c r="N1761" s="12">
        <v>0</v>
      </c>
      <c r="O1761" s="12">
        <v>-49.417316999999997</v>
      </c>
      <c r="P1761" s="12">
        <v>-429.54731700000002</v>
      </c>
    </row>
    <row r="1762" spans="1:16" ht="14.5" x14ac:dyDescent="0.25">
      <c r="A1762" s="10">
        <v>46006</v>
      </c>
      <c r="B1762" s="2" t="str">
        <f t="shared" si="54"/>
        <v>Dec-2025</v>
      </c>
      <c r="C1762" s="2" t="str">
        <f t="shared" si="55"/>
        <v>Q3</v>
      </c>
      <c r="D1762" s="2" t="s">
        <v>28</v>
      </c>
      <c r="E1762" s="11" t="s">
        <v>384</v>
      </c>
      <c r="F1762" s="11" t="s">
        <v>104</v>
      </c>
      <c r="G1762" s="11" t="s">
        <v>505</v>
      </c>
      <c r="H1762" s="11" t="s">
        <v>49</v>
      </c>
      <c r="I1762" s="12">
        <v>-0.03</v>
      </c>
      <c r="J1762" s="12">
        <v>-5</v>
      </c>
      <c r="K1762" s="12">
        <v>183.81</v>
      </c>
      <c r="L1762" s="12">
        <v>-919.05</v>
      </c>
      <c r="M1762" s="12">
        <v>0</v>
      </c>
      <c r="N1762" s="12">
        <v>0</v>
      </c>
      <c r="O1762" s="12">
        <v>-119.477507</v>
      </c>
      <c r="P1762" s="12">
        <v>-1038.527507</v>
      </c>
    </row>
    <row r="1763" spans="1:16" ht="14.5" x14ac:dyDescent="0.25">
      <c r="A1763" s="10">
        <v>46006</v>
      </c>
      <c r="B1763" s="2" t="str">
        <f t="shared" ref="B1763:B1826" si="56">+TEXT(A1763,"MMM-yyy")</f>
        <v>Dec-2025</v>
      </c>
      <c r="C1763" s="2" t="str">
        <f t="shared" ref="C1763:C1826" si="57">"Q" &amp; CHOOSE(MONTH(A1763),4,4,4,1,1,1,2,2,2,3,3,3)</f>
        <v>Q3</v>
      </c>
      <c r="D1763" s="2" t="s">
        <v>28</v>
      </c>
      <c r="E1763" s="11" t="s">
        <v>384</v>
      </c>
      <c r="F1763" s="11" t="s">
        <v>104</v>
      </c>
      <c r="G1763" s="11" t="s">
        <v>504</v>
      </c>
      <c r="H1763" s="11" t="s">
        <v>61</v>
      </c>
      <c r="I1763" s="12">
        <v>-0.15</v>
      </c>
      <c r="J1763" s="12">
        <v>-6</v>
      </c>
      <c r="K1763" s="12">
        <v>275.72000000000003</v>
      </c>
      <c r="L1763" s="12">
        <v>-1654.32</v>
      </c>
      <c r="M1763" s="12">
        <v>0</v>
      </c>
      <c r="N1763" s="12">
        <v>0</v>
      </c>
      <c r="O1763" s="12">
        <v>-215.06341300000003</v>
      </c>
      <c r="P1763" s="12">
        <v>-1869.383413</v>
      </c>
    </row>
    <row r="1764" spans="1:16" ht="14.5" x14ac:dyDescent="0.25">
      <c r="A1764" s="10">
        <v>46006</v>
      </c>
      <c r="B1764" s="2" t="str">
        <f t="shared" si="56"/>
        <v>Dec-2025</v>
      </c>
      <c r="C1764" s="2" t="str">
        <f t="shared" si="57"/>
        <v>Q3</v>
      </c>
      <c r="D1764" s="2" t="s">
        <v>28</v>
      </c>
      <c r="E1764" s="11" t="s">
        <v>385</v>
      </c>
      <c r="F1764" s="11" t="s">
        <v>104</v>
      </c>
      <c r="G1764" s="11" t="s">
        <v>506</v>
      </c>
      <c r="H1764" s="11" t="s">
        <v>181</v>
      </c>
      <c r="I1764" s="12">
        <v>-0.03</v>
      </c>
      <c r="J1764" s="12">
        <v>-3</v>
      </c>
      <c r="K1764" s="12">
        <v>102.65</v>
      </c>
      <c r="L1764" s="12">
        <v>-307.95</v>
      </c>
      <c r="M1764" s="12">
        <v>0</v>
      </c>
      <c r="N1764" s="12">
        <v>0</v>
      </c>
      <c r="O1764" s="12">
        <v>-40.033498000000002</v>
      </c>
      <c r="P1764" s="12">
        <v>-347.983498</v>
      </c>
    </row>
    <row r="1765" spans="1:16" ht="14.5" x14ac:dyDescent="0.25">
      <c r="A1765" s="10">
        <v>46006</v>
      </c>
      <c r="B1765" s="2" t="str">
        <f t="shared" si="56"/>
        <v>Dec-2025</v>
      </c>
      <c r="C1765" s="2" t="str">
        <f t="shared" si="57"/>
        <v>Q3</v>
      </c>
      <c r="D1765" s="2" t="s">
        <v>28</v>
      </c>
      <c r="E1765" s="11" t="s">
        <v>385</v>
      </c>
      <c r="F1765" s="11" t="s">
        <v>104</v>
      </c>
      <c r="G1765" s="11" t="s">
        <v>505</v>
      </c>
      <c r="H1765" s="11" t="s">
        <v>62</v>
      </c>
      <c r="I1765" s="12">
        <v>-0.48</v>
      </c>
      <c r="J1765" s="12">
        <v>-19</v>
      </c>
      <c r="K1765" s="12">
        <v>442.51</v>
      </c>
      <c r="L1765" s="12">
        <v>-8407.69</v>
      </c>
      <c r="M1765" s="12">
        <v>0</v>
      </c>
      <c r="N1765" s="12">
        <v>0</v>
      </c>
      <c r="O1765" s="12">
        <v>-1092.999634</v>
      </c>
      <c r="P1765" s="12">
        <v>-9500.6896340000003</v>
      </c>
    </row>
    <row r="1766" spans="1:16" ht="14.5" x14ac:dyDescent="0.25">
      <c r="A1766" s="10">
        <v>46006</v>
      </c>
      <c r="B1766" s="2" t="str">
        <f t="shared" si="56"/>
        <v>Dec-2025</v>
      </c>
      <c r="C1766" s="2" t="str">
        <f t="shared" si="57"/>
        <v>Q3</v>
      </c>
      <c r="D1766" s="2" t="s">
        <v>28</v>
      </c>
      <c r="E1766" s="11" t="s">
        <v>385</v>
      </c>
      <c r="F1766" s="11" t="s">
        <v>104</v>
      </c>
      <c r="G1766" s="11" t="s">
        <v>504</v>
      </c>
      <c r="H1766" s="11" t="s">
        <v>67</v>
      </c>
      <c r="I1766" s="12">
        <v>-0.38</v>
      </c>
      <c r="J1766" s="12">
        <v>-15</v>
      </c>
      <c r="K1766" s="12">
        <v>462.93</v>
      </c>
      <c r="L1766" s="12">
        <v>-6943.9500000000007</v>
      </c>
      <c r="M1766" s="12">
        <v>0</v>
      </c>
      <c r="N1766" s="12">
        <v>0</v>
      </c>
      <c r="O1766" s="12">
        <v>-902.71344500000009</v>
      </c>
      <c r="P1766" s="12">
        <v>-7846.6634450000001</v>
      </c>
    </row>
    <row r="1767" spans="1:16" ht="14.5" x14ac:dyDescent="0.25">
      <c r="A1767" s="10">
        <v>46006</v>
      </c>
      <c r="B1767" s="2" t="str">
        <f t="shared" si="56"/>
        <v>Dec-2025</v>
      </c>
      <c r="C1767" s="2" t="str">
        <f t="shared" si="57"/>
        <v>Q3</v>
      </c>
      <c r="D1767" s="2" t="s">
        <v>28</v>
      </c>
      <c r="E1767" s="11" t="s">
        <v>385</v>
      </c>
      <c r="F1767" s="11" t="s">
        <v>104</v>
      </c>
      <c r="G1767" s="11" t="s">
        <v>503</v>
      </c>
      <c r="H1767" s="11" t="s">
        <v>172</v>
      </c>
      <c r="I1767" s="12">
        <v>-0.02</v>
      </c>
      <c r="J1767" s="12">
        <v>-4</v>
      </c>
      <c r="K1767" s="12">
        <v>102.65</v>
      </c>
      <c r="L1767" s="12">
        <v>-410.6</v>
      </c>
      <c r="M1767" s="12">
        <v>0</v>
      </c>
      <c r="N1767" s="12">
        <v>0</v>
      </c>
      <c r="O1767" s="12">
        <v>-53.377996999999993</v>
      </c>
      <c r="P1767" s="12">
        <v>-463.97799700000002</v>
      </c>
    </row>
    <row r="1768" spans="1:16" ht="14.5" x14ac:dyDescent="0.25">
      <c r="A1768" s="10">
        <v>46006</v>
      </c>
      <c r="B1768" s="2" t="str">
        <f t="shared" si="56"/>
        <v>Dec-2025</v>
      </c>
      <c r="C1768" s="2" t="str">
        <f t="shared" si="57"/>
        <v>Q3</v>
      </c>
      <c r="D1768" s="2" t="s">
        <v>28</v>
      </c>
      <c r="E1768" s="11" t="s">
        <v>385</v>
      </c>
      <c r="F1768" s="11" t="s">
        <v>104</v>
      </c>
      <c r="G1768" s="11" t="s">
        <v>503</v>
      </c>
      <c r="H1768" s="11" t="s">
        <v>46</v>
      </c>
      <c r="I1768" s="12">
        <v>-0.04</v>
      </c>
      <c r="J1768" s="12">
        <v>-5</v>
      </c>
      <c r="K1768" s="12">
        <v>127.43</v>
      </c>
      <c r="L1768" s="12">
        <v>-637.15000000000009</v>
      </c>
      <c r="M1768" s="12">
        <v>0</v>
      </c>
      <c r="N1768" s="12">
        <v>0</v>
      </c>
      <c r="O1768" s="12">
        <v>-82.829495000000009</v>
      </c>
      <c r="P1768" s="12">
        <v>-719.97949500000004</v>
      </c>
    </row>
    <row r="1769" spans="1:16" ht="14.5" x14ac:dyDescent="0.25">
      <c r="A1769" s="10">
        <v>46006</v>
      </c>
      <c r="B1769" s="2" t="str">
        <f t="shared" si="56"/>
        <v>Dec-2025</v>
      </c>
      <c r="C1769" s="2" t="str">
        <f t="shared" si="57"/>
        <v>Q3</v>
      </c>
      <c r="D1769" s="2" t="s">
        <v>28</v>
      </c>
      <c r="E1769" s="11" t="s">
        <v>385</v>
      </c>
      <c r="F1769" s="11" t="s">
        <v>104</v>
      </c>
      <c r="G1769" s="11" t="s">
        <v>505</v>
      </c>
      <c r="H1769" s="11" t="s">
        <v>50</v>
      </c>
      <c r="I1769" s="12">
        <v>-0.16</v>
      </c>
      <c r="J1769" s="12">
        <v>-13</v>
      </c>
      <c r="K1769" s="12">
        <v>176.99</v>
      </c>
      <c r="L1769" s="12">
        <v>-2300.87</v>
      </c>
      <c r="M1769" s="12">
        <v>0</v>
      </c>
      <c r="N1769" s="12">
        <v>0</v>
      </c>
      <c r="O1769" s="12">
        <v>-299.11308200000002</v>
      </c>
      <c r="P1769" s="12">
        <v>-2599.9830820000002</v>
      </c>
    </row>
    <row r="1770" spans="1:16" ht="14.5" x14ac:dyDescent="0.25">
      <c r="A1770" s="10">
        <v>46006</v>
      </c>
      <c r="B1770" s="2" t="str">
        <f t="shared" si="56"/>
        <v>Dec-2025</v>
      </c>
      <c r="C1770" s="2" t="str">
        <f t="shared" si="57"/>
        <v>Q3</v>
      </c>
      <c r="D1770" s="2" t="s">
        <v>28</v>
      </c>
      <c r="E1770" s="11" t="s">
        <v>385</v>
      </c>
      <c r="F1770" s="11" t="s">
        <v>104</v>
      </c>
      <c r="G1770" s="11" t="s">
        <v>505</v>
      </c>
      <c r="H1770" s="11" t="s">
        <v>43</v>
      </c>
      <c r="I1770" s="12">
        <v>-0.33</v>
      </c>
      <c r="J1770" s="12">
        <v>-13</v>
      </c>
      <c r="K1770" s="12">
        <v>299.54000000000002</v>
      </c>
      <c r="L1770" s="12">
        <v>-3894.02</v>
      </c>
      <c r="M1770" s="12">
        <v>0</v>
      </c>
      <c r="N1770" s="12">
        <v>0</v>
      </c>
      <c r="O1770" s="12">
        <v>-506.22256900000002</v>
      </c>
      <c r="P1770" s="12">
        <v>-4400.242569</v>
      </c>
    </row>
    <row r="1771" spans="1:16" ht="14.5" x14ac:dyDescent="0.25">
      <c r="A1771" s="10">
        <v>46006</v>
      </c>
      <c r="B1771" s="2" t="str">
        <f t="shared" si="56"/>
        <v>Dec-2025</v>
      </c>
      <c r="C1771" s="2" t="str">
        <f t="shared" si="57"/>
        <v>Q3</v>
      </c>
      <c r="D1771" s="2" t="s">
        <v>28</v>
      </c>
      <c r="E1771" s="11" t="s">
        <v>385</v>
      </c>
      <c r="F1771" s="11" t="s">
        <v>104</v>
      </c>
      <c r="G1771" s="11" t="s">
        <v>506</v>
      </c>
      <c r="H1771" s="11" t="s">
        <v>54</v>
      </c>
      <c r="I1771" s="12">
        <v>-0.23</v>
      </c>
      <c r="J1771" s="12">
        <v>-11</v>
      </c>
      <c r="K1771" s="12">
        <v>313.14999999999998</v>
      </c>
      <c r="L1771" s="12">
        <v>-3444.65</v>
      </c>
      <c r="M1771" s="12">
        <v>0</v>
      </c>
      <c r="N1771" s="12">
        <v>0</v>
      </c>
      <c r="O1771" s="12">
        <v>-447.80447300000003</v>
      </c>
      <c r="P1771" s="12">
        <v>-3892.4544729999998</v>
      </c>
    </row>
    <row r="1772" spans="1:16" ht="14.5" x14ac:dyDescent="0.25">
      <c r="A1772" s="10">
        <v>46006</v>
      </c>
      <c r="B1772" s="2" t="str">
        <f t="shared" si="56"/>
        <v>Dec-2025</v>
      </c>
      <c r="C1772" s="2" t="str">
        <f t="shared" si="57"/>
        <v>Q3</v>
      </c>
      <c r="D1772" s="2" t="s">
        <v>28</v>
      </c>
      <c r="E1772" s="11" t="s">
        <v>385</v>
      </c>
      <c r="F1772" s="11" t="s">
        <v>104</v>
      </c>
      <c r="G1772" s="11" t="s">
        <v>504</v>
      </c>
      <c r="H1772" s="11" t="s">
        <v>69</v>
      </c>
      <c r="I1772" s="12">
        <v>-0.04</v>
      </c>
      <c r="J1772" s="12">
        <v>-4</v>
      </c>
      <c r="K1772" s="12">
        <v>190.62</v>
      </c>
      <c r="L1772" s="12">
        <v>-762.48</v>
      </c>
      <c r="M1772" s="12">
        <v>0</v>
      </c>
      <c r="N1772" s="12">
        <v>0</v>
      </c>
      <c r="O1772" s="12">
        <v>-99.122393999999986</v>
      </c>
      <c r="P1772" s="12">
        <v>-861.602394</v>
      </c>
    </row>
    <row r="1773" spans="1:16" ht="14.5" x14ac:dyDescent="0.25">
      <c r="A1773" s="10">
        <v>46006</v>
      </c>
      <c r="B1773" s="2" t="str">
        <f t="shared" si="56"/>
        <v>Dec-2025</v>
      </c>
      <c r="C1773" s="2" t="str">
        <f t="shared" si="57"/>
        <v>Q3</v>
      </c>
      <c r="D1773" s="2" t="s">
        <v>28</v>
      </c>
      <c r="E1773" s="11" t="s">
        <v>385</v>
      </c>
      <c r="F1773" s="11" t="s">
        <v>104</v>
      </c>
      <c r="G1773" s="11" t="s">
        <v>504</v>
      </c>
      <c r="H1773" s="11" t="s">
        <v>68</v>
      </c>
      <c r="I1773" s="12">
        <v>-0.48</v>
      </c>
      <c r="J1773" s="12">
        <v>-19</v>
      </c>
      <c r="K1773" s="12">
        <v>262.10000000000002</v>
      </c>
      <c r="L1773" s="12">
        <v>-4979.8999999999996</v>
      </c>
      <c r="M1773" s="12">
        <v>0</v>
      </c>
      <c r="N1773" s="12">
        <v>0</v>
      </c>
      <c r="O1773" s="12">
        <v>-647.38696100000004</v>
      </c>
      <c r="P1773" s="12">
        <v>-5627.2869609999998</v>
      </c>
    </row>
    <row r="1774" spans="1:16" ht="14.5" x14ac:dyDescent="0.25">
      <c r="A1774" s="10">
        <v>46006</v>
      </c>
      <c r="B1774" s="2" t="str">
        <f t="shared" si="56"/>
        <v>Dec-2025</v>
      </c>
      <c r="C1774" s="2" t="str">
        <f t="shared" si="57"/>
        <v>Q3</v>
      </c>
      <c r="D1774" s="2" t="s">
        <v>28</v>
      </c>
      <c r="E1774" s="11" t="s">
        <v>385</v>
      </c>
      <c r="F1774" s="11" t="s">
        <v>104</v>
      </c>
      <c r="G1774" s="11" t="s">
        <v>503</v>
      </c>
      <c r="H1774" s="11" t="s">
        <v>174</v>
      </c>
      <c r="I1774" s="12">
        <v>-0.06</v>
      </c>
      <c r="J1774" s="12">
        <v>-10</v>
      </c>
      <c r="K1774" s="12">
        <v>87.79</v>
      </c>
      <c r="L1774" s="12">
        <v>-877.9</v>
      </c>
      <c r="M1774" s="12">
        <v>0</v>
      </c>
      <c r="N1774" s="12">
        <v>0</v>
      </c>
      <c r="O1774" s="12">
        <v>-114.126993</v>
      </c>
      <c r="P1774" s="12">
        <v>-992.02699299999995</v>
      </c>
    </row>
    <row r="1775" spans="1:16" ht="14.5" x14ac:dyDescent="0.25">
      <c r="A1775" s="10">
        <v>46006</v>
      </c>
      <c r="B1775" s="2" t="str">
        <f t="shared" si="56"/>
        <v>Dec-2025</v>
      </c>
      <c r="C1775" s="2" t="str">
        <f t="shared" si="57"/>
        <v>Q3</v>
      </c>
      <c r="D1775" s="2" t="s">
        <v>28</v>
      </c>
      <c r="E1775" s="11" t="s">
        <v>385</v>
      </c>
      <c r="F1775" s="11" t="s">
        <v>104</v>
      </c>
      <c r="G1775" s="11" t="s">
        <v>503</v>
      </c>
      <c r="H1775" s="11" t="s">
        <v>179</v>
      </c>
      <c r="I1775" s="12">
        <v>-0.02</v>
      </c>
      <c r="J1775" s="12">
        <v>-4</v>
      </c>
      <c r="K1775" s="12">
        <v>134.51</v>
      </c>
      <c r="L1775" s="12">
        <v>-538.04</v>
      </c>
      <c r="M1775" s="12">
        <v>0</v>
      </c>
      <c r="N1775" s="12">
        <v>0</v>
      </c>
      <c r="O1775" s="12">
        <v>-69.945195999999996</v>
      </c>
      <c r="P1775" s="12">
        <v>-607.98519599999997</v>
      </c>
    </row>
    <row r="1776" spans="1:16" ht="14.5" x14ac:dyDescent="0.25">
      <c r="A1776" s="10">
        <v>46006</v>
      </c>
      <c r="B1776" s="2" t="str">
        <f t="shared" si="56"/>
        <v>Dec-2025</v>
      </c>
      <c r="C1776" s="2" t="str">
        <f t="shared" si="57"/>
        <v>Q3</v>
      </c>
      <c r="D1776" s="2" t="s">
        <v>28</v>
      </c>
      <c r="E1776" s="11" t="s">
        <v>385</v>
      </c>
      <c r="F1776" s="11" t="s">
        <v>104</v>
      </c>
      <c r="G1776" s="11" t="s">
        <v>503</v>
      </c>
      <c r="H1776" s="11" t="s">
        <v>63</v>
      </c>
      <c r="I1776" s="12">
        <v>-0.19</v>
      </c>
      <c r="J1776" s="12">
        <v>-15</v>
      </c>
      <c r="K1776" s="12">
        <v>190.62</v>
      </c>
      <c r="L1776" s="12">
        <v>-2859.2999999999997</v>
      </c>
      <c r="M1776" s="12">
        <v>0</v>
      </c>
      <c r="N1776" s="12">
        <v>0</v>
      </c>
      <c r="O1776" s="12">
        <v>-371.708977</v>
      </c>
      <c r="P1776" s="12">
        <v>-3231.008977</v>
      </c>
    </row>
    <row r="1777" spans="1:16" ht="14.5" x14ac:dyDescent="0.25">
      <c r="A1777" s="10">
        <v>46006</v>
      </c>
      <c r="B1777" s="2" t="str">
        <f t="shared" si="56"/>
        <v>Dec-2025</v>
      </c>
      <c r="C1777" s="2" t="str">
        <f t="shared" si="57"/>
        <v>Q3</v>
      </c>
      <c r="D1777" s="2" t="s">
        <v>28</v>
      </c>
      <c r="E1777" s="11" t="s">
        <v>385</v>
      </c>
      <c r="F1777" s="11" t="s">
        <v>104</v>
      </c>
      <c r="G1777" s="11" t="s">
        <v>503</v>
      </c>
      <c r="H1777" s="11" t="s">
        <v>87</v>
      </c>
      <c r="I1777" s="12">
        <v>-0.03</v>
      </c>
      <c r="J1777" s="12">
        <v>-5</v>
      </c>
      <c r="K1777" s="12">
        <v>120.35</v>
      </c>
      <c r="L1777" s="12">
        <v>-601.75000000000011</v>
      </c>
      <c r="M1777" s="12">
        <v>0</v>
      </c>
      <c r="N1777" s="12">
        <v>0</v>
      </c>
      <c r="O1777" s="12">
        <v>-78.227495000000005</v>
      </c>
      <c r="P1777" s="12">
        <v>-679.97749499999998</v>
      </c>
    </row>
    <row r="1778" spans="1:16" ht="14.5" x14ac:dyDescent="0.25">
      <c r="A1778" s="10">
        <v>46006</v>
      </c>
      <c r="B1778" s="2" t="str">
        <f t="shared" si="56"/>
        <v>Dec-2025</v>
      </c>
      <c r="C1778" s="2" t="str">
        <f t="shared" si="57"/>
        <v>Q3</v>
      </c>
      <c r="D1778" s="2" t="s">
        <v>28</v>
      </c>
      <c r="E1778" s="11" t="s">
        <v>385</v>
      </c>
      <c r="F1778" s="11" t="s">
        <v>104</v>
      </c>
      <c r="G1778" s="11" t="s">
        <v>503</v>
      </c>
      <c r="H1778" s="11" t="s">
        <v>44</v>
      </c>
      <c r="I1778" s="12">
        <v>-0.04</v>
      </c>
      <c r="J1778" s="12">
        <v>-7</v>
      </c>
      <c r="K1778" s="12">
        <v>156.58000000000001</v>
      </c>
      <c r="L1778" s="12">
        <v>-1096.06</v>
      </c>
      <c r="M1778" s="12">
        <v>0</v>
      </c>
      <c r="N1778" s="12">
        <v>0</v>
      </c>
      <c r="O1778" s="12">
        <v>-142.48779100000002</v>
      </c>
      <c r="P1778" s="12">
        <v>-1238.547791</v>
      </c>
    </row>
    <row r="1779" spans="1:16" ht="14.5" x14ac:dyDescent="0.25">
      <c r="A1779" s="10">
        <v>46006</v>
      </c>
      <c r="B1779" s="2" t="str">
        <f t="shared" si="56"/>
        <v>Dec-2025</v>
      </c>
      <c r="C1779" s="2" t="str">
        <f t="shared" si="57"/>
        <v>Q3</v>
      </c>
      <c r="D1779" s="2" t="s">
        <v>28</v>
      </c>
      <c r="E1779" s="11" t="s">
        <v>386</v>
      </c>
      <c r="F1779" s="11" t="s">
        <v>104</v>
      </c>
      <c r="G1779" s="11" t="s">
        <v>504</v>
      </c>
      <c r="H1779" s="11" t="s">
        <v>53</v>
      </c>
      <c r="I1779" s="12">
        <v>-0.17</v>
      </c>
      <c r="J1779" s="12">
        <v>-17</v>
      </c>
      <c r="K1779" s="12">
        <v>144</v>
      </c>
      <c r="L1779" s="12">
        <v>-2448</v>
      </c>
      <c r="M1779" s="12" t="s">
        <v>113</v>
      </c>
      <c r="N1779" s="12" t="s">
        <v>113</v>
      </c>
      <c r="O1779" s="12" t="s">
        <v>113</v>
      </c>
      <c r="P1779" s="12">
        <v>-2448</v>
      </c>
    </row>
    <row r="1780" spans="1:16" ht="14.5" x14ac:dyDescent="0.25">
      <c r="A1780" s="10">
        <v>46007</v>
      </c>
      <c r="B1780" s="2" t="str">
        <f t="shared" si="56"/>
        <v>Dec-2025</v>
      </c>
      <c r="C1780" s="2" t="str">
        <f t="shared" si="57"/>
        <v>Q3</v>
      </c>
      <c r="D1780" s="2" t="s">
        <v>28</v>
      </c>
      <c r="E1780" s="11" t="s">
        <v>387</v>
      </c>
      <c r="F1780" s="11" t="s">
        <v>21</v>
      </c>
      <c r="G1780" s="11" t="s">
        <v>506</v>
      </c>
      <c r="H1780" s="11" t="s">
        <v>58</v>
      </c>
      <c r="I1780" s="12">
        <v>1.33</v>
      </c>
      <c r="J1780" s="12">
        <v>96</v>
      </c>
      <c r="K1780" s="12">
        <v>140.18</v>
      </c>
      <c r="L1780" s="12">
        <v>13457.28</v>
      </c>
      <c r="M1780" s="12">
        <v>0</v>
      </c>
      <c r="N1780" s="12">
        <v>0</v>
      </c>
      <c r="O1780" s="12">
        <v>1749.45</v>
      </c>
      <c r="P1780" s="12">
        <v>15206.73</v>
      </c>
    </row>
    <row r="1781" spans="1:16" ht="14.5" x14ac:dyDescent="0.25">
      <c r="A1781" s="10">
        <v>46007</v>
      </c>
      <c r="B1781" s="2" t="str">
        <f t="shared" si="56"/>
        <v>Dec-2025</v>
      </c>
      <c r="C1781" s="2" t="str">
        <f t="shared" si="57"/>
        <v>Q3</v>
      </c>
      <c r="D1781" s="2" t="s">
        <v>28</v>
      </c>
      <c r="E1781" s="11" t="s">
        <v>388</v>
      </c>
      <c r="F1781" s="11" t="s">
        <v>104</v>
      </c>
      <c r="G1781" s="11" t="s">
        <v>507</v>
      </c>
      <c r="H1781" s="11" t="s">
        <v>60</v>
      </c>
      <c r="I1781" s="12">
        <v>0.17</v>
      </c>
      <c r="J1781" s="12">
        <v>10</v>
      </c>
      <c r="K1781" s="12">
        <v>102.65</v>
      </c>
      <c r="L1781" s="12">
        <v>1026.5</v>
      </c>
      <c r="M1781" s="12">
        <v>0</v>
      </c>
      <c r="N1781" s="12">
        <v>0</v>
      </c>
      <c r="O1781" s="12">
        <v>133.44536099999999</v>
      </c>
      <c r="P1781" s="12">
        <v>1159.945361</v>
      </c>
    </row>
    <row r="1782" spans="1:16" ht="14.5" x14ac:dyDescent="0.25">
      <c r="A1782" s="10">
        <v>46007</v>
      </c>
      <c r="B1782" s="2" t="str">
        <f t="shared" si="56"/>
        <v>Dec-2025</v>
      </c>
      <c r="C1782" s="2" t="str">
        <f t="shared" si="57"/>
        <v>Q3</v>
      </c>
      <c r="D1782" s="2" t="s">
        <v>28</v>
      </c>
      <c r="E1782" s="11" t="s">
        <v>388</v>
      </c>
      <c r="F1782" s="11" t="s">
        <v>104</v>
      </c>
      <c r="G1782" s="11" t="s">
        <v>504</v>
      </c>
      <c r="H1782" s="11" t="s">
        <v>69</v>
      </c>
      <c r="I1782" s="12">
        <v>0.05</v>
      </c>
      <c r="J1782" s="12">
        <v>5</v>
      </c>
      <c r="K1782" s="12">
        <v>169.91</v>
      </c>
      <c r="L1782" s="12">
        <v>849.55000000000007</v>
      </c>
      <c r="M1782" s="12">
        <v>0</v>
      </c>
      <c r="N1782" s="12">
        <v>0</v>
      </c>
      <c r="O1782" s="12">
        <v>110.441799</v>
      </c>
      <c r="P1782" s="12">
        <v>959.99179900000001</v>
      </c>
    </row>
    <row r="1783" spans="1:16" ht="14.5" x14ac:dyDescent="0.25">
      <c r="A1783" s="10">
        <v>46007</v>
      </c>
      <c r="B1783" s="2" t="str">
        <f t="shared" si="56"/>
        <v>Dec-2025</v>
      </c>
      <c r="C1783" s="2" t="str">
        <f t="shared" si="57"/>
        <v>Q3</v>
      </c>
      <c r="D1783" s="2" t="s">
        <v>28</v>
      </c>
      <c r="E1783" s="11" t="s">
        <v>388</v>
      </c>
      <c r="F1783" s="11" t="s">
        <v>104</v>
      </c>
      <c r="G1783" s="11" t="s">
        <v>505</v>
      </c>
      <c r="H1783" s="11" t="s">
        <v>55</v>
      </c>
      <c r="I1783" s="12">
        <v>0.08</v>
      </c>
      <c r="J1783" s="12">
        <v>10</v>
      </c>
      <c r="K1783" s="12">
        <v>159.29</v>
      </c>
      <c r="L1783" s="12">
        <v>1592.8999999999999</v>
      </c>
      <c r="M1783" s="12">
        <v>0</v>
      </c>
      <c r="N1783" s="12">
        <v>0</v>
      </c>
      <c r="O1783" s="12">
        <v>207.07756000000001</v>
      </c>
      <c r="P1783" s="12">
        <v>1799.97756</v>
      </c>
    </row>
    <row r="1784" spans="1:16" ht="14.5" x14ac:dyDescent="0.25">
      <c r="A1784" s="10">
        <v>46007</v>
      </c>
      <c r="B1784" s="2" t="str">
        <f t="shared" si="56"/>
        <v>Dec-2025</v>
      </c>
      <c r="C1784" s="2" t="str">
        <f t="shared" si="57"/>
        <v>Q3</v>
      </c>
      <c r="D1784" s="2" t="s">
        <v>28</v>
      </c>
      <c r="E1784" s="11" t="s">
        <v>388</v>
      </c>
      <c r="F1784" s="11" t="s">
        <v>104</v>
      </c>
      <c r="G1784" s="11" t="s">
        <v>505</v>
      </c>
      <c r="H1784" s="11" t="s">
        <v>56</v>
      </c>
      <c r="I1784" s="12">
        <v>0.13</v>
      </c>
      <c r="J1784" s="12">
        <v>15</v>
      </c>
      <c r="K1784" s="12">
        <v>53.1</v>
      </c>
      <c r="L1784" s="12">
        <v>796.5</v>
      </c>
      <c r="M1784" s="12">
        <v>0</v>
      </c>
      <c r="N1784" s="12">
        <v>0</v>
      </c>
      <c r="O1784" s="12">
        <v>103.54528000000001</v>
      </c>
      <c r="P1784" s="12">
        <v>900.04528000000005</v>
      </c>
    </row>
    <row r="1785" spans="1:16" ht="14.5" x14ac:dyDescent="0.25">
      <c r="A1785" s="10">
        <v>46008</v>
      </c>
      <c r="B1785" s="2" t="str">
        <f t="shared" si="56"/>
        <v>Dec-2025</v>
      </c>
      <c r="C1785" s="2" t="str">
        <f t="shared" si="57"/>
        <v>Q3</v>
      </c>
      <c r="D1785" s="2" t="s">
        <v>28</v>
      </c>
      <c r="E1785" s="11" t="s">
        <v>389</v>
      </c>
      <c r="F1785" s="11" t="s">
        <v>390</v>
      </c>
      <c r="G1785" s="11" t="s">
        <v>505</v>
      </c>
      <c r="H1785" s="11" t="s">
        <v>40</v>
      </c>
      <c r="I1785" s="12">
        <v>0.56000000000000005</v>
      </c>
      <c r="J1785" s="12">
        <v>100</v>
      </c>
      <c r="K1785" s="12">
        <v>94.65</v>
      </c>
      <c r="L1785" s="12">
        <v>9465</v>
      </c>
      <c r="M1785" s="12">
        <v>0</v>
      </c>
      <c r="N1785" s="12">
        <v>0</v>
      </c>
      <c r="O1785" s="12">
        <v>1230.45</v>
      </c>
      <c r="P1785" s="12">
        <v>10695.45</v>
      </c>
    </row>
    <row r="1786" spans="1:16" ht="14.5" x14ac:dyDescent="0.25">
      <c r="A1786" s="10">
        <v>46009</v>
      </c>
      <c r="B1786" s="2" t="str">
        <f t="shared" si="56"/>
        <v>Dec-2025</v>
      </c>
      <c r="C1786" s="2" t="str">
        <f t="shared" si="57"/>
        <v>Q3</v>
      </c>
      <c r="D1786" s="2" t="s">
        <v>28</v>
      </c>
      <c r="E1786" s="11" t="s">
        <v>391</v>
      </c>
      <c r="F1786" s="11" t="s">
        <v>14</v>
      </c>
      <c r="G1786" s="11" t="s">
        <v>506</v>
      </c>
      <c r="H1786" s="11" t="s">
        <v>39</v>
      </c>
      <c r="I1786" s="12">
        <v>1</v>
      </c>
      <c r="J1786" s="12">
        <v>72</v>
      </c>
      <c r="K1786" s="12">
        <v>131.83000000000001</v>
      </c>
      <c r="L1786" s="12">
        <v>9491.76</v>
      </c>
      <c r="M1786" s="12">
        <v>-862.8</v>
      </c>
      <c r="N1786" s="12">
        <v>0</v>
      </c>
      <c r="O1786" s="12">
        <v>1121.7645790000001</v>
      </c>
      <c r="P1786" s="12">
        <v>9750.7245789999997</v>
      </c>
    </row>
    <row r="1787" spans="1:16" ht="14.5" x14ac:dyDescent="0.25">
      <c r="A1787" s="10">
        <v>46009</v>
      </c>
      <c r="B1787" s="2" t="str">
        <f t="shared" si="56"/>
        <v>Dec-2025</v>
      </c>
      <c r="C1787" s="2" t="str">
        <f t="shared" si="57"/>
        <v>Q3</v>
      </c>
      <c r="D1787" s="2" t="s">
        <v>28</v>
      </c>
      <c r="E1787" s="11" t="s">
        <v>391</v>
      </c>
      <c r="F1787" s="11" t="s">
        <v>14</v>
      </c>
      <c r="G1787" s="11" t="s">
        <v>507</v>
      </c>
      <c r="H1787" s="11" t="s">
        <v>60</v>
      </c>
      <c r="I1787" s="12">
        <v>3</v>
      </c>
      <c r="J1787" s="12">
        <v>180</v>
      </c>
      <c r="K1787" s="12">
        <v>98.03</v>
      </c>
      <c r="L1787" s="12">
        <v>17645.400000000001</v>
      </c>
      <c r="M1787" s="12">
        <v>-1603.97</v>
      </c>
      <c r="N1787" s="12">
        <v>0</v>
      </c>
      <c r="O1787" s="12">
        <v>2085.3854900000001</v>
      </c>
      <c r="P1787" s="12">
        <v>18126.815490000001</v>
      </c>
    </row>
    <row r="1788" spans="1:16" ht="14.5" x14ac:dyDescent="0.25">
      <c r="A1788" s="10">
        <v>46009</v>
      </c>
      <c r="B1788" s="2" t="str">
        <f t="shared" si="56"/>
        <v>Dec-2025</v>
      </c>
      <c r="C1788" s="2" t="str">
        <f t="shared" si="57"/>
        <v>Q3</v>
      </c>
      <c r="D1788" s="2" t="s">
        <v>28</v>
      </c>
      <c r="E1788" s="11" t="s">
        <v>391</v>
      </c>
      <c r="F1788" s="11" t="s">
        <v>14</v>
      </c>
      <c r="G1788" s="11" t="s">
        <v>509</v>
      </c>
      <c r="H1788" s="11" t="s">
        <v>284</v>
      </c>
      <c r="I1788" s="12">
        <v>1</v>
      </c>
      <c r="J1788" s="12">
        <v>200</v>
      </c>
      <c r="K1788" s="12">
        <v>128.44999999999999</v>
      </c>
      <c r="L1788" s="12">
        <v>25690</v>
      </c>
      <c r="M1788" s="12">
        <v>-2335.2199999999998</v>
      </c>
      <c r="N1788" s="12">
        <v>0</v>
      </c>
      <c r="O1788" s="12">
        <v>3036.1208030000003</v>
      </c>
      <c r="P1788" s="12">
        <v>26390.900803</v>
      </c>
    </row>
    <row r="1789" spans="1:16" ht="14.5" x14ac:dyDescent="0.25">
      <c r="A1789" s="10">
        <v>46009</v>
      </c>
      <c r="B1789" s="2" t="str">
        <f t="shared" si="56"/>
        <v>Dec-2025</v>
      </c>
      <c r="C1789" s="2" t="str">
        <f t="shared" si="57"/>
        <v>Q3</v>
      </c>
      <c r="D1789" s="2" t="s">
        <v>28</v>
      </c>
      <c r="E1789" s="11" t="s">
        <v>391</v>
      </c>
      <c r="F1789" s="11" t="s">
        <v>14</v>
      </c>
      <c r="G1789" s="11" t="s">
        <v>503</v>
      </c>
      <c r="H1789" s="11" t="s">
        <v>166</v>
      </c>
      <c r="I1789" s="12">
        <v>1</v>
      </c>
      <c r="J1789" s="12">
        <v>120</v>
      </c>
      <c r="K1789" s="12">
        <v>64.23</v>
      </c>
      <c r="L1789" s="12">
        <v>7707.5999999999995</v>
      </c>
      <c r="M1789" s="12">
        <v>-700.62</v>
      </c>
      <c r="N1789" s="12">
        <v>0</v>
      </c>
      <c r="O1789" s="12">
        <v>910.90722099999994</v>
      </c>
      <c r="P1789" s="12">
        <v>7917.887221</v>
      </c>
    </row>
    <row r="1790" spans="1:16" ht="14.5" x14ac:dyDescent="0.25">
      <c r="A1790" s="10">
        <v>46009</v>
      </c>
      <c r="B1790" s="2" t="str">
        <f t="shared" si="56"/>
        <v>Dec-2025</v>
      </c>
      <c r="C1790" s="2" t="str">
        <f t="shared" si="57"/>
        <v>Q3</v>
      </c>
      <c r="D1790" s="2" t="s">
        <v>28</v>
      </c>
      <c r="E1790" s="11" t="s">
        <v>391</v>
      </c>
      <c r="F1790" s="11" t="s">
        <v>14</v>
      </c>
      <c r="G1790" s="11" t="s">
        <v>506</v>
      </c>
      <c r="H1790" s="11" t="s">
        <v>58</v>
      </c>
      <c r="I1790" s="12">
        <v>2</v>
      </c>
      <c r="J1790" s="12">
        <v>144</v>
      </c>
      <c r="K1790" s="12">
        <v>148.72999999999999</v>
      </c>
      <c r="L1790" s="12">
        <v>21417.119999999999</v>
      </c>
      <c r="M1790" s="12">
        <v>-1946.82</v>
      </c>
      <c r="N1790" s="12">
        <v>0</v>
      </c>
      <c r="O1790" s="12">
        <v>2531.1385019999998</v>
      </c>
      <c r="P1790" s="12">
        <v>22001.438502000001</v>
      </c>
    </row>
    <row r="1791" spans="1:16" ht="14.5" x14ac:dyDescent="0.25">
      <c r="A1791" s="10">
        <v>46009</v>
      </c>
      <c r="B1791" s="2" t="str">
        <f t="shared" si="56"/>
        <v>Dec-2025</v>
      </c>
      <c r="C1791" s="2" t="str">
        <f t="shared" si="57"/>
        <v>Q3</v>
      </c>
      <c r="D1791" s="2" t="s">
        <v>28</v>
      </c>
      <c r="E1791" s="11" t="s">
        <v>391</v>
      </c>
      <c r="F1791" s="11" t="s">
        <v>14</v>
      </c>
      <c r="G1791" s="11" t="s">
        <v>506</v>
      </c>
      <c r="H1791" s="11" t="s">
        <v>189</v>
      </c>
      <c r="I1791" s="12">
        <v>1</v>
      </c>
      <c r="J1791" s="12">
        <v>100</v>
      </c>
      <c r="K1791" s="12">
        <v>70.989999999999995</v>
      </c>
      <c r="L1791" s="12">
        <v>7099</v>
      </c>
      <c r="M1791" s="12">
        <v>-645.29999999999995</v>
      </c>
      <c r="N1791" s="12">
        <v>0</v>
      </c>
      <c r="O1791" s="12">
        <v>838.98083500000007</v>
      </c>
      <c r="P1791" s="12">
        <v>7292.6808350000001</v>
      </c>
    </row>
    <row r="1792" spans="1:16" ht="14.5" x14ac:dyDescent="0.25">
      <c r="A1792" s="10">
        <v>46009</v>
      </c>
      <c r="B1792" s="2" t="str">
        <f t="shared" si="56"/>
        <v>Dec-2025</v>
      </c>
      <c r="C1792" s="2" t="str">
        <f t="shared" si="57"/>
        <v>Q3</v>
      </c>
      <c r="D1792" s="2" t="s">
        <v>28</v>
      </c>
      <c r="E1792" s="11" t="s">
        <v>391</v>
      </c>
      <c r="F1792" s="11" t="s">
        <v>14</v>
      </c>
      <c r="G1792" s="11" t="s">
        <v>503</v>
      </c>
      <c r="H1792" s="11" t="s">
        <v>63</v>
      </c>
      <c r="I1792" s="12">
        <v>1</v>
      </c>
      <c r="J1792" s="12">
        <v>80</v>
      </c>
      <c r="K1792" s="12">
        <v>185.92</v>
      </c>
      <c r="L1792" s="12">
        <v>14873.6</v>
      </c>
      <c r="M1792" s="12">
        <v>-1352.01</v>
      </c>
      <c r="N1792" s="12">
        <v>0</v>
      </c>
      <c r="O1792" s="12">
        <v>1757.8063540000001</v>
      </c>
      <c r="P1792" s="12">
        <v>15279.396354</v>
      </c>
    </row>
    <row r="1793" spans="1:16" ht="14.5" x14ac:dyDescent="0.25">
      <c r="A1793" s="10">
        <v>46009</v>
      </c>
      <c r="B1793" s="2" t="str">
        <f t="shared" si="56"/>
        <v>Dec-2025</v>
      </c>
      <c r="C1793" s="2" t="str">
        <f t="shared" si="57"/>
        <v>Q3</v>
      </c>
      <c r="D1793" s="2" t="s">
        <v>28</v>
      </c>
      <c r="E1793" s="11" t="s">
        <v>391</v>
      </c>
      <c r="F1793" s="11" t="s">
        <v>14</v>
      </c>
      <c r="G1793" s="11" t="s">
        <v>508</v>
      </c>
      <c r="H1793" s="11" t="s">
        <v>178</v>
      </c>
      <c r="I1793" s="12">
        <v>2</v>
      </c>
      <c r="J1793" s="12">
        <v>120</v>
      </c>
      <c r="K1793" s="12">
        <v>148.72999999999999</v>
      </c>
      <c r="L1793" s="12">
        <v>17847.600000000002</v>
      </c>
      <c r="M1793" s="12">
        <v>-1622.3500000000001</v>
      </c>
      <c r="N1793" s="12">
        <v>0</v>
      </c>
      <c r="O1793" s="12">
        <v>2109.2820849999998</v>
      </c>
      <c r="P1793" s="12">
        <v>18334.532084999999</v>
      </c>
    </row>
    <row r="1794" spans="1:16" ht="14.5" x14ac:dyDescent="0.25">
      <c r="A1794" s="10">
        <v>46009</v>
      </c>
      <c r="B1794" s="2" t="str">
        <f t="shared" si="56"/>
        <v>Dec-2025</v>
      </c>
      <c r="C1794" s="2" t="str">
        <f t="shared" si="57"/>
        <v>Q3</v>
      </c>
      <c r="D1794" s="2" t="s">
        <v>28</v>
      </c>
      <c r="E1794" s="11" t="s">
        <v>391</v>
      </c>
      <c r="F1794" s="11" t="s">
        <v>14</v>
      </c>
      <c r="G1794" s="11" t="s">
        <v>506</v>
      </c>
      <c r="H1794" s="11" t="s">
        <v>54</v>
      </c>
      <c r="I1794" s="12">
        <v>1</v>
      </c>
      <c r="J1794" s="12">
        <v>48</v>
      </c>
      <c r="K1794" s="12">
        <v>297.45999999999998</v>
      </c>
      <c r="L1794" s="12">
        <v>14278.08</v>
      </c>
      <c r="M1794" s="12">
        <v>-1297.8800000000001</v>
      </c>
      <c r="N1794" s="12">
        <v>0</v>
      </c>
      <c r="O1794" s="12">
        <v>1687.4256680000001</v>
      </c>
      <c r="P1794" s="12">
        <v>14667.625668000001</v>
      </c>
    </row>
    <row r="1795" spans="1:16" ht="14.5" x14ac:dyDescent="0.25">
      <c r="A1795" s="10">
        <v>46009</v>
      </c>
      <c r="B1795" s="2" t="str">
        <f t="shared" si="56"/>
        <v>Dec-2025</v>
      </c>
      <c r="C1795" s="2" t="str">
        <f t="shared" si="57"/>
        <v>Q3</v>
      </c>
      <c r="D1795" s="2" t="s">
        <v>28</v>
      </c>
      <c r="E1795" s="11" t="s">
        <v>391</v>
      </c>
      <c r="F1795" s="11" t="s">
        <v>14</v>
      </c>
      <c r="G1795" s="11" t="s">
        <v>505</v>
      </c>
      <c r="H1795" s="11" t="s">
        <v>40</v>
      </c>
      <c r="I1795" s="12">
        <v>1</v>
      </c>
      <c r="J1795" s="12">
        <v>180</v>
      </c>
      <c r="K1795" s="12">
        <v>94.65</v>
      </c>
      <c r="L1795" s="12">
        <v>17037</v>
      </c>
      <c r="M1795" s="12">
        <v>-1548.6599999999999</v>
      </c>
      <c r="N1795" s="12">
        <v>0</v>
      </c>
      <c r="O1795" s="12">
        <v>2013.483804</v>
      </c>
      <c r="P1795" s="12">
        <v>17501.823804</v>
      </c>
    </row>
    <row r="1796" spans="1:16" ht="14.5" x14ac:dyDescent="0.25">
      <c r="A1796" s="10">
        <v>46009</v>
      </c>
      <c r="B1796" s="2" t="str">
        <f t="shared" si="56"/>
        <v>Dec-2025</v>
      </c>
      <c r="C1796" s="2" t="str">
        <f t="shared" si="57"/>
        <v>Q3</v>
      </c>
      <c r="D1796" s="2" t="s">
        <v>28</v>
      </c>
      <c r="E1796" s="11" t="s">
        <v>391</v>
      </c>
      <c r="F1796" s="11" t="s">
        <v>14</v>
      </c>
      <c r="G1796" s="11" t="s">
        <v>505</v>
      </c>
      <c r="H1796" s="11" t="s">
        <v>56</v>
      </c>
      <c r="I1796" s="12">
        <v>1</v>
      </c>
      <c r="J1796" s="12">
        <v>120</v>
      </c>
      <c r="K1796" s="12">
        <v>50.7</v>
      </c>
      <c r="L1796" s="12">
        <v>6084</v>
      </c>
      <c r="M1796" s="12">
        <v>-553.04</v>
      </c>
      <c r="N1796" s="12">
        <v>0</v>
      </c>
      <c r="O1796" s="12">
        <v>719.02465900000004</v>
      </c>
      <c r="P1796" s="12">
        <v>6249.9846589999997</v>
      </c>
    </row>
    <row r="1797" spans="1:16" ht="14.5" x14ac:dyDescent="0.25">
      <c r="A1797" s="10">
        <v>46009</v>
      </c>
      <c r="B1797" s="2" t="str">
        <f t="shared" si="56"/>
        <v>Dec-2025</v>
      </c>
      <c r="C1797" s="2" t="str">
        <f t="shared" si="57"/>
        <v>Q3</v>
      </c>
      <c r="D1797" s="2" t="s">
        <v>28</v>
      </c>
      <c r="E1797" s="11" t="s">
        <v>392</v>
      </c>
      <c r="F1797" s="11" t="s">
        <v>14</v>
      </c>
      <c r="G1797" s="11" t="s">
        <v>504</v>
      </c>
      <c r="H1797" s="11" t="s">
        <v>53</v>
      </c>
      <c r="I1797" s="12">
        <v>1</v>
      </c>
      <c r="J1797" s="12">
        <v>100</v>
      </c>
      <c r="K1797" s="12">
        <v>138</v>
      </c>
      <c r="L1797" s="12">
        <v>13800</v>
      </c>
      <c r="M1797" s="12">
        <v>-1254.4199999999998</v>
      </c>
      <c r="N1797" s="12">
        <v>0</v>
      </c>
      <c r="O1797" s="12">
        <v>0</v>
      </c>
      <c r="P1797" s="12">
        <v>12545.58</v>
      </c>
    </row>
    <row r="1798" spans="1:16" ht="14.5" x14ac:dyDescent="0.25">
      <c r="A1798" s="10">
        <v>46012</v>
      </c>
      <c r="B1798" s="2" t="str">
        <f t="shared" si="56"/>
        <v>Dec-2025</v>
      </c>
      <c r="C1798" s="2" t="str">
        <f t="shared" si="57"/>
        <v>Q3</v>
      </c>
      <c r="D1798" s="2" t="s">
        <v>28</v>
      </c>
      <c r="E1798" s="11" t="s">
        <v>393</v>
      </c>
      <c r="F1798" s="11" t="s">
        <v>104</v>
      </c>
      <c r="G1798" s="11" t="s">
        <v>503</v>
      </c>
      <c r="H1798" s="11" t="s">
        <v>45</v>
      </c>
      <c r="I1798" s="12">
        <v>0.06</v>
      </c>
      <c r="J1798" s="12">
        <v>10</v>
      </c>
      <c r="K1798" s="12">
        <v>67.260000000000005</v>
      </c>
      <c r="L1798" s="12">
        <v>672.6</v>
      </c>
      <c r="M1798" s="12">
        <v>0</v>
      </c>
      <c r="N1798" s="12">
        <v>0</v>
      </c>
      <c r="O1798" s="12">
        <v>87.438000000000002</v>
      </c>
      <c r="P1798" s="12">
        <v>760.03800000000001</v>
      </c>
    </row>
    <row r="1799" spans="1:16" ht="14.5" x14ac:dyDescent="0.25">
      <c r="A1799" s="10">
        <v>46012</v>
      </c>
      <c r="B1799" s="2" t="str">
        <f t="shared" si="56"/>
        <v>Dec-2025</v>
      </c>
      <c r="C1799" s="2" t="str">
        <f t="shared" si="57"/>
        <v>Q3</v>
      </c>
      <c r="D1799" s="2" t="s">
        <v>28</v>
      </c>
      <c r="E1799" s="11" t="s">
        <v>393</v>
      </c>
      <c r="F1799" s="11" t="s">
        <v>104</v>
      </c>
      <c r="G1799" s="11" t="s">
        <v>503</v>
      </c>
      <c r="H1799" s="11" t="s">
        <v>52</v>
      </c>
      <c r="I1799" s="12">
        <v>0.06</v>
      </c>
      <c r="J1799" s="12">
        <v>10</v>
      </c>
      <c r="K1799" s="12">
        <v>74.34</v>
      </c>
      <c r="L1799" s="12">
        <v>743.4</v>
      </c>
      <c r="M1799" s="12">
        <v>0</v>
      </c>
      <c r="N1799" s="12">
        <v>0</v>
      </c>
      <c r="O1799" s="12">
        <v>96.641999999999996</v>
      </c>
      <c r="P1799" s="12">
        <v>840.04200000000003</v>
      </c>
    </row>
    <row r="1800" spans="1:16" ht="14.5" x14ac:dyDescent="0.25">
      <c r="A1800" s="10">
        <v>46013</v>
      </c>
      <c r="B1800" s="2" t="str">
        <f t="shared" si="56"/>
        <v>Dec-2025</v>
      </c>
      <c r="C1800" s="2" t="str">
        <f t="shared" si="57"/>
        <v>Q3</v>
      </c>
      <c r="D1800" s="2" t="s">
        <v>28</v>
      </c>
      <c r="E1800" s="11" t="s">
        <v>394</v>
      </c>
      <c r="F1800" s="11" t="s">
        <v>14</v>
      </c>
      <c r="G1800" s="11" t="s">
        <v>503</v>
      </c>
      <c r="H1800" s="11" t="s">
        <v>166</v>
      </c>
      <c r="I1800" s="12">
        <v>1</v>
      </c>
      <c r="J1800" s="12">
        <v>120</v>
      </c>
      <c r="K1800" s="12">
        <v>64.23</v>
      </c>
      <c r="L1800" s="12">
        <v>7707.5999999999995</v>
      </c>
      <c r="M1800" s="12">
        <v>-700.62</v>
      </c>
      <c r="N1800" s="12">
        <v>0</v>
      </c>
      <c r="O1800" s="12">
        <v>910.91000000000008</v>
      </c>
      <c r="P1800" s="12">
        <v>7917.89</v>
      </c>
    </row>
    <row r="1801" spans="1:16" ht="14.5" x14ac:dyDescent="0.25">
      <c r="A1801" s="10">
        <v>46013</v>
      </c>
      <c r="B1801" s="2" t="str">
        <f t="shared" si="56"/>
        <v>Dec-2025</v>
      </c>
      <c r="C1801" s="2" t="str">
        <f t="shared" si="57"/>
        <v>Q3</v>
      </c>
      <c r="D1801" s="2" t="s">
        <v>28</v>
      </c>
      <c r="E1801" s="11" t="s">
        <v>395</v>
      </c>
      <c r="F1801" s="11" t="s">
        <v>337</v>
      </c>
      <c r="G1801" s="11" t="s">
        <v>503</v>
      </c>
      <c r="H1801" s="11" t="s">
        <v>42</v>
      </c>
      <c r="I1801" s="12">
        <v>0.17</v>
      </c>
      <c r="J1801" s="12">
        <v>20</v>
      </c>
      <c r="K1801" s="12">
        <v>141.97</v>
      </c>
      <c r="L1801" s="12">
        <v>2839.3999999999996</v>
      </c>
      <c r="M1801" s="12">
        <v>-258.10000000000002</v>
      </c>
      <c r="N1801" s="12">
        <v>0</v>
      </c>
      <c r="O1801" s="12">
        <v>335.569051</v>
      </c>
      <c r="P1801" s="12">
        <v>2916.8690510000001</v>
      </c>
    </row>
    <row r="1802" spans="1:16" ht="14.5" x14ac:dyDescent="0.25">
      <c r="A1802" s="10">
        <v>46013</v>
      </c>
      <c r="B1802" s="2" t="str">
        <f t="shared" si="56"/>
        <v>Dec-2025</v>
      </c>
      <c r="C1802" s="2" t="str">
        <f t="shared" si="57"/>
        <v>Q3</v>
      </c>
      <c r="D1802" s="2" t="s">
        <v>28</v>
      </c>
      <c r="E1802" s="11" t="s">
        <v>395</v>
      </c>
      <c r="F1802" s="11" t="s">
        <v>337</v>
      </c>
      <c r="G1802" s="11" t="s">
        <v>507</v>
      </c>
      <c r="H1802" s="11" t="s">
        <v>60</v>
      </c>
      <c r="I1802" s="12">
        <v>0.33</v>
      </c>
      <c r="J1802" s="12">
        <v>20</v>
      </c>
      <c r="K1802" s="12">
        <v>98.03</v>
      </c>
      <c r="L1802" s="12">
        <v>1960.6</v>
      </c>
      <c r="M1802" s="12">
        <v>-178.22</v>
      </c>
      <c r="N1802" s="12">
        <v>0</v>
      </c>
      <c r="O1802" s="12">
        <v>231.70943499999998</v>
      </c>
      <c r="P1802" s="12">
        <v>2014.0894350000001</v>
      </c>
    </row>
    <row r="1803" spans="1:16" ht="14.5" x14ac:dyDescent="0.25">
      <c r="A1803" s="10">
        <v>46013</v>
      </c>
      <c r="B1803" s="2" t="str">
        <f t="shared" si="56"/>
        <v>Dec-2025</v>
      </c>
      <c r="C1803" s="2" t="str">
        <f t="shared" si="57"/>
        <v>Q3</v>
      </c>
      <c r="D1803" s="2" t="s">
        <v>28</v>
      </c>
      <c r="E1803" s="11" t="s">
        <v>395</v>
      </c>
      <c r="F1803" s="11" t="s">
        <v>337</v>
      </c>
      <c r="G1803" s="11" t="s">
        <v>503</v>
      </c>
      <c r="H1803" s="11" t="s">
        <v>172</v>
      </c>
      <c r="I1803" s="12">
        <v>0.16</v>
      </c>
      <c r="J1803" s="12">
        <v>30</v>
      </c>
      <c r="K1803" s="12">
        <v>98.03</v>
      </c>
      <c r="L1803" s="12">
        <v>2940.9</v>
      </c>
      <c r="M1803" s="12">
        <v>-267.33</v>
      </c>
      <c r="N1803" s="12">
        <v>0</v>
      </c>
      <c r="O1803" s="12">
        <v>347.56415300000003</v>
      </c>
      <c r="P1803" s="12">
        <v>3021.134153</v>
      </c>
    </row>
    <row r="1804" spans="1:16" ht="14.5" x14ac:dyDescent="0.25">
      <c r="A1804" s="10">
        <v>46013</v>
      </c>
      <c r="B1804" s="2" t="str">
        <f t="shared" si="56"/>
        <v>Dec-2025</v>
      </c>
      <c r="C1804" s="2" t="str">
        <f t="shared" si="57"/>
        <v>Q3</v>
      </c>
      <c r="D1804" s="2" t="s">
        <v>28</v>
      </c>
      <c r="E1804" s="11" t="s">
        <v>395</v>
      </c>
      <c r="F1804" s="11" t="s">
        <v>337</v>
      </c>
      <c r="G1804" s="11" t="s">
        <v>503</v>
      </c>
      <c r="H1804" s="11" t="s">
        <v>179</v>
      </c>
      <c r="I1804" s="12">
        <v>0.11</v>
      </c>
      <c r="J1804" s="12">
        <v>20</v>
      </c>
      <c r="K1804" s="12">
        <v>121.7</v>
      </c>
      <c r="L1804" s="12">
        <v>2434</v>
      </c>
      <c r="M1804" s="12">
        <v>-221.25</v>
      </c>
      <c r="N1804" s="12">
        <v>0</v>
      </c>
      <c r="O1804" s="12">
        <v>287.65754399999997</v>
      </c>
      <c r="P1804" s="12">
        <v>2500.4075440000001</v>
      </c>
    </row>
    <row r="1805" spans="1:16" ht="14.5" x14ac:dyDescent="0.25">
      <c r="A1805" s="10">
        <v>46013</v>
      </c>
      <c r="B1805" s="2" t="str">
        <f t="shared" si="56"/>
        <v>Dec-2025</v>
      </c>
      <c r="C1805" s="2" t="str">
        <f t="shared" si="57"/>
        <v>Q3</v>
      </c>
      <c r="D1805" s="2" t="s">
        <v>28</v>
      </c>
      <c r="E1805" s="11" t="s">
        <v>395</v>
      </c>
      <c r="F1805" s="11" t="s">
        <v>337</v>
      </c>
      <c r="G1805" s="11" t="s">
        <v>503</v>
      </c>
      <c r="H1805" s="11" t="s">
        <v>177</v>
      </c>
      <c r="I1805" s="12">
        <v>0.08</v>
      </c>
      <c r="J1805" s="12">
        <v>10</v>
      </c>
      <c r="K1805" s="12">
        <v>94.65</v>
      </c>
      <c r="L1805" s="12">
        <v>946.5</v>
      </c>
      <c r="M1805" s="12">
        <v>-86.04</v>
      </c>
      <c r="N1805" s="12">
        <v>0</v>
      </c>
      <c r="O1805" s="12">
        <v>111.85981699999999</v>
      </c>
      <c r="P1805" s="12">
        <v>972.31981699999994</v>
      </c>
    </row>
    <row r="1806" spans="1:16" ht="14.5" x14ac:dyDescent="0.25">
      <c r="A1806" s="10">
        <v>46014</v>
      </c>
      <c r="B1806" s="2" t="str">
        <f t="shared" si="56"/>
        <v>Dec-2025</v>
      </c>
      <c r="C1806" s="2" t="str">
        <f t="shared" si="57"/>
        <v>Q3</v>
      </c>
      <c r="D1806" s="2" t="s">
        <v>28</v>
      </c>
      <c r="E1806" s="11" t="s">
        <v>396</v>
      </c>
      <c r="F1806" s="11" t="s">
        <v>21</v>
      </c>
      <c r="G1806" s="11" t="s">
        <v>506</v>
      </c>
      <c r="H1806" s="11" t="s">
        <v>58</v>
      </c>
      <c r="I1806" s="12">
        <v>2</v>
      </c>
      <c r="J1806" s="12">
        <v>144</v>
      </c>
      <c r="K1806" s="12">
        <v>140.18</v>
      </c>
      <c r="L1806" s="12">
        <v>20185.919999999998</v>
      </c>
      <c r="M1806" s="12">
        <v>0</v>
      </c>
      <c r="N1806" s="12">
        <v>0</v>
      </c>
      <c r="O1806" s="12">
        <v>2624.1699090000002</v>
      </c>
      <c r="P1806" s="12">
        <v>22810.089908999998</v>
      </c>
    </row>
    <row r="1807" spans="1:16" ht="14.5" x14ac:dyDescent="0.25">
      <c r="A1807" s="10">
        <v>46014</v>
      </c>
      <c r="B1807" s="2" t="str">
        <f t="shared" si="56"/>
        <v>Dec-2025</v>
      </c>
      <c r="C1807" s="2" t="str">
        <f t="shared" si="57"/>
        <v>Q3</v>
      </c>
      <c r="D1807" s="2" t="s">
        <v>28</v>
      </c>
      <c r="E1807" s="11" t="s">
        <v>396</v>
      </c>
      <c r="F1807" s="11" t="s">
        <v>21</v>
      </c>
      <c r="G1807" s="11" t="s">
        <v>506</v>
      </c>
      <c r="H1807" s="11" t="s">
        <v>39</v>
      </c>
      <c r="I1807" s="12">
        <v>0.67</v>
      </c>
      <c r="J1807" s="12">
        <v>48</v>
      </c>
      <c r="K1807" s="12">
        <v>124.25</v>
      </c>
      <c r="L1807" s="12">
        <v>5964</v>
      </c>
      <c r="M1807" s="12">
        <v>0</v>
      </c>
      <c r="N1807" s="12">
        <v>0</v>
      </c>
      <c r="O1807" s="12">
        <v>775.32009099999993</v>
      </c>
      <c r="P1807" s="12">
        <v>6739.3200909999996</v>
      </c>
    </row>
    <row r="1808" spans="1:16" ht="14.5" x14ac:dyDescent="0.25">
      <c r="A1808" s="10">
        <v>46014</v>
      </c>
      <c r="B1808" s="2" t="str">
        <f t="shared" si="56"/>
        <v>Dec-2025</v>
      </c>
      <c r="C1808" s="2" t="str">
        <f t="shared" si="57"/>
        <v>Q3</v>
      </c>
      <c r="D1808" s="2" t="s">
        <v>28</v>
      </c>
      <c r="E1808" s="11" t="s">
        <v>397</v>
      </c>
      <c r="F1808" s="11" t="s">
        <v>236</v>
      </c>
      <c r="G1808" s="11" t="s">
        <v>509</v>
      </c>
      <c r="H1808" s="11" t="s">
        <v>283</v>
      </c>
      <c r="I1808" s="12">
        <v>0.42</v>
      </c>
      <c r="J1808" s="12">
        <v>50</v>
      </c>
      <c r="K1808" s="12">
        <v>250.14</v>
      </c>
      <c r="L1808" s="12">
        <v>12507</v>
      </c>
      <c r="M1808" s="12">
        <v>-1136.8899999999999</v>
      </c>
      <c r="N1808" s="12">
        <v>0</v>
      </c>
      <c r="O1808" s="12">
        <v>1478.112783</v>
      </c>
      <c r="P1808" s="12">
        <v>12848.222782999999</v>
      </c>
    </row>
    <row r="1809" spans="1:16" ht="14.5" x14ac:dyDescent="0.25">
      <c r="A1809" s="10">
        <v>46014</v>
      </c>
      <c r="B1809" s="2" t="str">
        <f t="shared" si="56"/>
        <v>Dec-2025</v>
      </c>
      <c r="C1809" s="2" t="str">
        <f t="shared" si="57"/>
        <v>Q3</v>
      </c>
      <c r="D1809" s="2" t="s">
        <v>28</v>
      </c>
      <c r="E1809" s="11" t="s">
        <v>397</v>
      </c>
      <c r="F1809" s="11" t="s">
        <v>236</v>
      </c>
      <c r="G1809" s="11" t="s">
        <v>505</v>
      </c>
      <c r="H1809" s="11" t="s">
        <v>56</v>
      </c>
      <c r="I1809" s="12">
        <v>0.5</v>
      </c>
      <c r="J1809" s="12">
        <v>60</v>
      </c>
      <c r="K1809" s="12">
        <v>50.7</v>
      </c>
      <c r="L1809" s="12">
        <v>3042</v>
      </c>
      <c r="M1809" s="12">
        <v>-276.52</v>
      </c>
      <c r="N1809" s="12">
        <v>0</v>
      </c>
      <c r="O1809" s="12">
        <v>359.51203099999998</v>
      </c>
      <c r="P1809" s="12">
        <v>3124.9920310000002</v>
      </c>
    </row>
    <row r="1810" spans="1:16" ht="14.5" x14ac:dyDescent="0.25">
      <c r="A1810" s="10">
        <v>46014</v>
      </c>
      <c r="B1810" s="2" t="str">
        <f t="shared" si="56"/>
        <v>Dec-2025</v>
      </c>
      <c r="C1810" s="2" t="str">
        <f t="shared" si="57"/>
        <v>Q3</v>
      </c>
      <c r="D1810" s="2" t="s">
        <v>28</v>
      </c>
      <c r="E1810" s="11" t="s">
        <v>397</v>
      </c>
      <c r="F1810" s="11" t="s">
        <v>236</v>
      </c>
      <c r="G1810" s="11" t="s">
        <v>505</v>
      </c>
      <c r="H1810" s="11" t="s">
        <v>55</v>
      </c>
      <c r="I1810" s="12">
        <v>1</v>
      </c>
      <c r="J1810" s="12">
        <v>120</v>
      </c>
      <c r="K1810" s="12">
        <v>152.11000000000001</v>
      </c>
      <c r="L1810" s="12">
        <v>18253.2</v>
      </c>
      <c r="M1810" s="12">
        <v>-1659.2199999999998</v>
      </c>
      <c r="N1810" s="12">
        <v>0</v>
      </c>
      <c r="O1810" s="12">
        <v>2157.2151859999999</v>
      </c>
      <c r="P1810" s="12">
        <v>18751.195186000001</v>
      </c>
    </row>
    <row r="1811" spans="1:16" ht="14.5" x14ac:dyDescent="0.25">
      <c r="A1811" s="10">
        <v>46017</v>
      </c>
      <c r="B1811" s="2" t="str">
        <f t="shared" si="56"/>
        <v>Dec-2025</v>
      </c>
      <c r="C1811" s="2" t="str">
        <f t="shared" si="57"/>
        <v>Q3</v>
      </c>
      <c r="D1811" s="2" t="s">
        <v>28</v>
      </c>
      <c r="E1811" s="11" t="s">
        <v>398</v>
      </c>
      <c r="F1811" s="11" t="s">
        <v>399</v>
      </c>
      <c r="G1811" s="11" t="s">
        <v>504</v>
      </c>
      <c r="H1811" s="11" t="s">
        <v>61</v>
      </c>
      <c r="I1811" s="12">
        <v>1</v>
      </c>
      <c r="J1811" s="12">
        <v>40</v>
      </c>
      <c r="K1811" s="12">
        <v>336.13</v>
      </c>
      <c r="L1811" s="12">
        <v>13445.199999999999</v>
      </c>
      <c r="M1811" s="12">
        <v>-1222.1699999999998</v>
      </c>
      <c r="N1811" s="12">
        <v>0</v>
      </c>
      <c r="O1811" s="12">
        <v>0</v>
      </c>
      <c r="P1811" s="12">
        <v>12223.03</v>
      </c>
    </row>
    <row r="1812" spans="1:16" ht="14.5" x14ac:dyDescent="0.25">
      <c r="A1812" s="10">
        <v>46017</v>
      </c>
      <c r="B1812" s="2" t="str">
        <f t="shared" si="56"/>
        <v>Dec-2025</v>
      </c>
      <c r="C1812" s="2" t="str">
        <f t="shared" si="57"/>
        <v>Q3</v>
      </c>
      <c r="D1812" s="2" t="s">
        <v>28</v>
      </c>
      <c r="E1812" s="11" t="s">
        <v>398</v>
      </c>
      <c r="F1812" s="11" t="s">
        <v>399</v>
      </c>
      <c r="G1812" s="11" t="s">
        <v>504</v>
      </c>
      <c r="H1812" s="11" t="s">
        <v>53</v>
      </c>
      <c r="I1812" s="12">
        <v>1</v>
      </c>
      <c r="J1812" s="12">
        <v>100</v>
      </c>
      <c r="K1812" s="12">
        <v>137.5</v>
      </c>
      <c r="L1812" s="12">
        <v>13750</v>
      </c>
      <c r="M1812" s="12">
        <v>-1249.8800000000001</v>
      </c>
      <c r="N1812" s="12">
        <v>0</v>
      </c>
      <c r="O1812" s="12">
        <v>0</v>
      </c>
      <c r="P1812" s="12">
        <v>12500.12</v>
      </c>
    </row>
    <row r="1813" spans="1:16" ht="14.5" x14ac:dyDescent="0.25">
      <c r="A1813" s="10">
        <v>46017</v>
      </c>
      <c r="B1813" s="2" t="str">
        <f t="shared" si="56"/>
        <v>Dec-2025</v>
      </c>
      <c r="C1813" s="2" t="str">
        <f t="shared" si="57"/>
        <v>Q3</v>
      </c>
      <c r="D1813" s="2" t="s">
        <v>28</v>
      </c>
      <c r="E1813" s="11" t="s">
        <v>400</v>
      </c>
      <c r="F1813" s="11" t="s">
        <v>399</v>
      </c>
      <c r="G1813" s="11" t="s">
        <v>504</v>
      </c>
      <c r="H1813" s="11" t="s">
        <v>68</v>
      </c>
      <c r="I1813" s="12">
        <v>1</v>
      </c>
      <c r="J1813" s="12">
        <v>40</v>
      </c>
      <c r="K1813" s="12">
        <v>260.27999999999997</v>
      </c>
      <c r="L1813" s="12">
        <v>10411.200000000001</v>
      </c>
      <c r="M1813" s="12">
        <v>-946.38</v>
      </c>
      <c r="N1813" s="12">
        <v>0</v>
      </c>
      <c r="O1813" s="12">
        <v>1230.426477</v>
      </c>
      <c r="P1813" s="12">
        <v>10695.246477000001</v>
      </c>
    </row>
    <row r="1814" spans="1:16" ht="14.5" x14ac:dyDescent="0.25">
      <c r="A1814" s="10">
        <v>46017</v>
      </c>
      <c r="B1814" s="2" t="str">
        <f t="shared" si="56"/>
        <v>Dec-2025</v>
      </c>
      <c r="C1814" s="2" t="str">
        <f t="shared" si="57"/>
        <v>Q3</v>
      </c>
      <c r="D1814" s="2" t="s">
        <v>28</v>
      </c>
      <c r="E1814" s="11" t="s">
        <v>400</v>
      </c>
      <c r="F1814" s="11" t="s">
        <v>399</v>
      </c>
      <c r="G1814" s="11" t="s">
        <v>505</v>
      </c>
      <c r="H1814" s="11" t="s">
        <v>49</v>
      </c>
      <c r="I1814" s="12">
        <v>1</v>
      </c>
      <c r="J1814" s="12">
        <v>180</v>
      </c>
      <c r="K1814" s="12">
        <v>158.87</v>
      </c>
      <c r="L1814" s="12">
        <v>28596.6</v>
      </c>
      <c r="M1814" s="12">
        <v>-2599.4300000000003</v>
      </c>
      <c r="N1814" s="12">
        <v>0</v>
      </c>
      <c r="O1814" s="12">
        <v>3379.6317629999999</v>
      </c>
      <c r="P1814" s="12">
        <v>29376.801762999999</v>
      </c>
    </row>
    <row r="1815" spans="1:16" ht="14.5" x14ac:dyDescent="0.25">
      <c r="A1815" s="10">
        <v>46017</v>
      </c>
      <c r="B1815" s="2" t="str">
        <f t="shared" si="56"/>
        <v>Dec-2025</v>
      </c>
      <c r="C1815" s="2" t="str">
        <f t="shared" si="57"/>
        <v>Q3</v>
      </c>
      <c r="D1815" s="2" t="s">
        <v>28</v>
      </c>
      <c r="E1815" s="11" t="s">
        <v>400</v>
      </c>
      <c r="F1815" s="11" t="s">
        <v>399</v>
      </c>
      <c r="G1815" s="11" t="s">
        <v>509</v>
      </c>
      <c r="H1815" s="11" t="s">
        <v>284</v>
      </c>
      <c r="I1815" s="12">
        <v>1</v>
      </c>
      <c r="J1815" s="12">
        <v>200</v>
      </c>
      <c r="K1815" s="12">
        <v>128.44999999999999</v>
      </c>
      <c r="L1815" s="12">
        <v>25690</v>
      </c>
      <c r="M1815" s="12">
        <v>-2335.2199999999998</v>
      </c>
      <c r="N1815" s="12">
        <v>0</v>
      </c>
      <c r="O1815" s="12">
        <v>3036.1210970000002</v>
      </c>
      <c r="P1815" s="12">
        <v>26390.901097000002</v>
      </c>
    </row>
    <row r="1816" spans="1:16" ht="14.5" x14ac:dyDescent="0.25">
      <c r="A1816" s="10">
        <v>46017</v>
      </c>
      <c r="B1816" s="2" t="str">
        <f t="shared" si="56"/>
        <v>Dec-2025</v>
      </c>
      <c r="C1816" s="2" t="str">
        <f t="shared" si="57"/>
        <v>Q3</v>
      </c>
      <c r="D1816" s="2" t="s">
        <v>28</v>
      </c>
      <c r="E1816" s="11" t="s">
        <v>400</v>
      </c>
      <c r="F1816" s="11" t="s">
        <v>399</v>
      </c>
      <c r="G1816" s="11" t="s">
        <v>504</v>
      </c>
      <c r="H1816" s="11" t="s">
        <v>66</v>
      </c>
      <c r="I1816" s="12">
        <v>1</v>
      </c>
      <c r="J1816" s="12">
        <v>100</v>
      </c>
      <c r="K1816" s="12">
        <v>108.17</v>
      </c>
      <c r="L1816" s="12">
        <v>10817</v>
      </c>
      <c r="M1816" s="12">
        <v>-983.2700000000001</v>
      </c>
      <c r="N1816" s="12">
        <v>0</v>
      </c>
      <c r="O1816" s="12">
        <v>1278.3847719999999</v>
      </c>
      <c r="P1816" s="12">
        <v>11112.114772000001</v>
      </c>
    </row>
    <row r="1817" spans="1:16" ht="14.5" x14ac:dyDescent="0.25">
      <c r="A1817" s="10">
        <v>46017</v>
      </c>
      <c r="B1817" s="2" t="str">
        <f t="shared" si="56"/>
        <v>Dec-2025</v>
      </c>
      <c r="C1817" s="2" t="str">
        <f t="shared" si="57"/>
        <v>Q3</v>
      </c>
      <c r="D1817" s="2" t="s">
        <v>28</v>
      </c>
      <c r="E1817" s="11" t="s">
        <v>400</v>
      </c>
      <c r="F1817" s="11" t="s">
        <v>399</v>
      </c>
      <c r="G1817" s="11" t="s">
        <v>504</v>
      </c>
      <c r="H1817" s="11" t="s">
        <v>69</v>
      </c>
      <c r="I1817" s="12">
        <v>1</v>
      </c>
      <c r="J1817" s="12">
        <v>100</v>
      </c>
      <c r="K1817" s="12">
        <v>162.26</v>
      </c>
      <c r="L1817" s="12">
        <v>16226</v>
      </c>
      <c r="M1817" s="12">
        <v>-1474.94</v>
      </c>
      <c r="N1817" s="12">
        <v>0</v>
      </c>
      <c r="O1817" s="12">
        <v>1917.6376090000001</v>
      </c>
      <c r="P1817" s="12">
        <v>16668.697608999999</v>
      </c>
    </row>
    <row r="1818" spans="1:16" ht="14.5" x14ac:dyDescent="0.25">
      <c r="A1818" s="10">
        <v>46017</v>
      </c>
      <c r="B1818" s="2" t="str">
        <f t="shared" si="56"/>
        <v>Dec-2025</v>
      </c>
      <c r="C1818" s="2" t="str">
        <f t="shared" si="57"/>
        <v>Q3</v>
      </c>
      <c r="D1818" s="2" t="s">
        <v>28</v>
      </c>
      <c r="E1818" s="11" t="s">
        <v>400</v>
      </c>
      <c r="F1818" s="11" t="s">
        <v>399</v>
      </c>
      <c r="G1818" s="11" t="s">
        <v>505</v>
      </c>
      <c r="H1818" s="11" t="s">
        <v>40</v>
      </c>
      <c r="I1818" s="12">
        <v>1</v>
      </c>
      <c r="J1818" s="12">
        <v>180</v>
      </c>
      <c r="K1818" s="12">
        <v>81.14</v>
      </c>
      <c r="L1818" s="12">
        <v>14605.199999999999</v>
      </c>
      <c r="M1818" s="12">
        <v>-1327.61</v>
      </c>
      <c r="N1818" s="12">
        <v>0</v>
      </c>
      <c r="O1818" s="12">
        <v>1726.086528</v>
      </c>
      <c r="P1818" s="12">
        <v>15003.676528</v>
      </c>
    </row>
    <row r="1819" spans="1:16" ht="14.5" x14ac:dyDescent="0.25">
      <c r="A1819" s="10">
        <v>46017</v>
      </c>
      <c r="B1819" s="2" t="str">
        <f t="shared" si="56"/>
        <v>Dec-2025</v>
      </c>
      <c r="C1819" s="2" t="str">
        <f t="shared" si="57"/>
        <v>Q3</v>
      </c>
      <c r="D1819" s="2" t="s">
        <v>28</v>
      </c>
      <c r="E1819" s="11" t="s">
        <v>400</v>
      </c>
      <c r="F1819" s="11" t="s">
        <v>399</v>
      </c>
      <c r="G1819" s="11" t="s">
        <v>506</v>
      </c>
      <c r="H1819" s="11" t="s">
        <v>39</v>
      </c>
      <c r="I1819" s="12">
        <v>3</v>
      </c>
      <c r="J1819" s="12">
        <v>216</v>
      </c>
      <c r="K1819" s="12">
        <v>131.83000000000001</v>
      </c>
      <c r="L1819" s="12">
        <v>28475.280000000002</v>
      </c>
      <c r="M1819" s="12">
        <v>-2588.4</v>
      </c>
      <c r="N1819" s="12">
        <v>0</v>
      </c>
      <c r="O1819" s="12">
        <v>3365.2940640000002</v>
      </c>
      <c r="P1819" s="12">
        <v>29252.174063999999</v>
      </c>
    </row>
    <row r="1820" spans="1:16" ht="14.5" x14ac:dyDescent="0.25">
      <c r="A1820" s="10">
        <v>46017</v>
      </c>
      <c r="B1820" s="2" t="str">
        <f t="shared" si="56"/>
        <v>Dec-2025</v>
      </c>
      <c r="C1820" s="2" t="str">
        <f t="shared" si="57"/>
        <v>Q3</v>
      </c>
      <c r="D1820" s="2" t="s">
        <v>28</v>
      </c>
      <c r="E1820" s="11" t="s">
        <v>400</v>
      </c>
      <c r="F1820" s="11" t="s">
        <v>399</v>
      </c>
      <c r="G1820" s="11" t="s">
        <v>506</v>
      </c>
      <c r="H1820" s="11" t="s">
        <v>58</v>
      </c>
      <c r="I1820" s="12">
        <v>3</v>
      </c>
      <c r="J1820" s="12">
        <v>216</v>
      </c>
      <c r="K1820" s="12">
        <v>148.72999999999999</v>
      </c>
      <c r="L1820" s="12">
        <v>32125.679999999997</v>
      </c>
      <c r="M1820" s="12">
        <v>-2920.2200000000003</v>
      </c>
      <c r="N1820" s="12">
        <v>0</v>
      </c>
      <c r="O1820" s="12">
        <v>3796.7094209999996</v>
      </c>
      <c r="P1820" s="12">
        <v>33002.169420999999</v>
      </c>
    </row>
    <row r="1821" spans="1:16" ht="14.5" x14ac:dyDescent="0.25">
      <c r="A1821" s="10">
        <v>46017</v>
      </c>
      <c r="B1821" s="2" t="str">
        <f t="shared" si="56"/>
        <v>Dec-2025</v>
      </c>
      <c r="C1821" s="2" t="str">
        <f t="shared" si="57"/>
        <v>Q3</v>
      </c>
      <c r="D1821" s="2" t="s">
        <v>28</v>
      </c>
      <c r="E1821" s="11" t="s">
        <v>400</v>
      </c>
      <c r="F1821" s="11" t="s">
        <v>399</v>
      </c>
      <c r="G1821" s="11" t="s">
        <v>509</v>
      </c>
      <c r="H1821" s="11" t="s">
        <v>283</v>
      </c>
      <c r="I1821" s="12">
        <v>1</v>
      </c>
      <c r="J1821" s="12">
        <v>120</v>
      </c>
      <c r="K1821" s="12">
        <v>250.14</v>
      </c>
      <c r="L1821" s="12">
        <v>30016.799999999999</v>
      </c>
      <c r="M1821" s="12">
        <v>-2728.53</v>
      </c>
      <c r="N1821" s="12">
        <v>0</v>
      </c>
      <c r="O1821" s="12">
        <v>3547.4747460000003</v>
      </c>
      <c r="P1821" s="12">
        <v>30835.744746</v>
      </c>
    </row>
    <row r="1822" spans="1:16" ht="14.5" x14ac:dyDescent="0.25">
      <c r="A1822" s="10">
        <v>46017</v>
      </c>
      <c r="B1822" s="2" t="str">
        <f t="shared" si="56"/>
        <v>Dec-2025</v>
      </c>
      <c r="C1822" s="2" t="str">
        <f t="shared" si="57"/>
        <v>Q3</v>
      </c>
      <c r="D1822" s="2" t="s">
        <v>28</v>
      </c>
      <c r="E1822" s="11" t="s">
        <v>400</v>
      </c>
      <c r="F1822" s="11" t="s">
        <v>399</v>
      </c>
      <c r="G1822" s="11" t="s">
        <v>506</v>
      </c>
      <c r="H1822" s="11" t="s">
        <v>189</v>
      </c>
      <c r="I1822" s="12">
        <v>2</v>
      </c>
      <c r="J1822" s="12">
        <v>200</v>
      </c>
      <c r="K1822" s="12">
        <v>70.989999999999995</v>
      </c>
      <c r="L1822" s="12">
        <v>14198</v>
      </c>
      <c r="M1822" s="12">
        <v>-1290.5999999999999</v>
      </c>
      <c r="N1822" s="12">
        <v>0</v>
      </c>
      <c r="O1822" s="12">
        <v>1677.9618330000001</v>
      </c>
      <c r="P1822" s="12">
        <v>14585.361833000001</v>
      </c>
    </row>
    <row r="1823" spans="1:16" ht="14.5" x14ac:dyDescent="0.25">
      <c r="A1823" s="10">
        <v>46017</v>
      </c>
      <c r="B1823" s="2" t="str">
        <f t="shared" si="56"/>
        <v>Dec-2025</v>
      </c>
      <c r="C1823" s="2" t="str">
        <f t="shared" si="57"/>
        <v>Q3</v>
      </c>
      <c r="D1823" s="2" t="s">
        <v>28</v>
      </c>
      <c r="E1823" s="11" t="s">
        <v>400</v>
      </c>
      <c r="F1823" s="11" t="s">
        <v>399</v>
      </c>
      <c r="G1823" s="11" t="s">
        <v>504</v>
      </c>
      <c r="H1823" s="11" t="s">
        <v>67</v>
      </c>
      <c r="I1823" s="12">
        <v>1</v>
      </c>
      <c r="J1823" s="12">
        <v>40</v>
      </c>
      <c r="K1823" s="12">
        <v>393.46</v>
      </c>
      <c r="L1823" s="12">
        <v>15738.4</v>
      </c>
      <c r="M1823" s="12">
        <v>-1430.6200000000001</v>
      </c>
      <c r="N1823" s="12">
        <v>0</v>
      </c>
      <c r="O1823" s="12">
        <v>1860.0112140000001</v>
      </c>
      <c r="P1823" s="12">
        <v>16167.791214000001</v>
      </c>
    </row>
    <row r="1824" spans="1:16" ht="14.5" x14ac:dyDescent="0.25">
      <c r="A1824" s="10">
        <v>46017</v>
      </c>
      <c r="B1824" s="2" t="str">
        <f t="shared" si="56"/>
        <v>Dec-2025</v>
      </c>
      <c r="C1824" s="2" t="str">
        <f t="shared" si="57"/>
        <v>Q3</v>
      </c>
      <c r="D1824" s="2" t="s">
        <v>28</v>
      </c>
      <c r="E1824" s="11" t="s">
        <v>400</v>
      </c>
      <c r="F1824" s="11" t="s">
        <v>399</v>
      </c>
      <c r="G1824" s="11" t="s">
        <v>505</v>
      </c>
      <c r="H1824" s="11" t="s">
        <v>56</v>
      </c>
      <c r="I1824" s="12">
        <v>1</v>
      </c>
      <c r="J1824" s="12">
        <v>120</v>
      </c>
      <c r="K1824" s="12">
        <v>50.7</v>
      </c>
      <c r="L1824" s="12">
        <v>6084</v>
      </c>
      <c r="M1824" s="12">
        <v>-553.04</v>
      </c>
      <c r="N1824" s="12">
        <v>0</v>
      </c>
      <c r="O1824" s="12">
        <v>719.02472799999998</v>
      </c>
      <c r="P1824" s="12">
        <v>6249.9847280000004</v>
      </c>
    </row>
    <row r="1825" spans="1:16" ht="14.5" x14ac:dyDescent="0.25">
      <c r="A1825" s="10">
        <v>46017</v>
      </c>
      <c r="B1825" s="2" t="str">
        <f t="shared" si="56"/>
        <v>Dec-2025</v>
      </c>
      <c r="C1825" s="2" t="str">
        <f t="shared" si="57"/>
        <v>Q3</v>
      </c>
      <c r="D1825" s="2" t="s">
        <v>28</v>
      </c>
      <c r="E1825" s="11" t="s">
        <v>400</v>
      </c>
      <c r="F1825" s="11" t="s">
        <v>399</v>
      </c>
      <c r="G1825" s="11" t="s">
        <v>505</v>
      </c>
      <c r="H1825" s="11" t="s">
        <v>167</v>
      </c>
      <c r="I1825" s="12">
        <v>1</v>
      </c>
      <c r="J1825" s="12">
        <v>180</v>
      </c>
      <c r="K1825" s="12">
        <v>91.27</v>
      </c>
      <c r="L1825" s="12">
        <v>16428.599999999999</v>
      </c>
      <c r="M1825" s="12">
        <v>-1493.36</v>
      </c>
      <c r="N1825" s="12">
        <v>0</v>
      </c>
      <c r="O1825" s="12">
        <v>1941.5810060000001</v>
      </c>
      <c r="P1825" s="12">
        <v>16876.821005999998</v>
      </c>
    </row>
    <row r="1826" spans="1:16" ht="14.5" x14ac:dyDescent="0.25">
      <c r="A1826" s="10">
        <v>46017</v>
      </c>
      <c r="B1826" s="2" t="str">
        <f t="shared" si="56"/>
        <v>Dec-2025</v>
      </c>
      <c r="C1826" s="2" t="str">
        <f t="shared" si="57"/>
        <v>Q3</v>
      </c>
      <c r="D1826" s="2" t="s">
        <v>28</v>
      </c>
      <c r="E1826" s="11" t="s">
        <v>400</v>
      </c>
      <c r="F1826" s="11" t="s">
        <v>399</v>
      </c>
      <c r="G1826" s="11" t="s">
        <v>505</v>
      </c>
      <c r="H1826" s="11" t="s">
        <v>43</v>
      </c>
      <c r="I1826" s="12">
        <v>2</v>
      </c>
      <c r="J1826" s="12">
        <v>80</v>
      </c>
      <c r="K1826" s="12">
        <v>283.94</v>
      </c>
      <c r="L1826" s="12">
        <v>22715.199999999997</v>
      </c>
      <c r="M1826" s="12">
        <v>-2064.81</v>
      </c>
      <c r="N1826" s="12">
        <v>0</v>
      </c>
      <c r="O1826" s="12">
        <v>2684.550432</v>
      </c>
      <c r="P1826" s="12">
        <v>23334.940431999999</v>
      </c>
    </row>
    <row r="1827" spans="1:16" ht="14.5" x14ac:dyDescent="0.25">
      <c r="A1827" s="10">
        <v>46017</v>
      </c>
      <c r="B1827" s="2" t="str">
        <f t="shared" ref="B1827:B1890" si="58">+TEXT(A1827,"MMM-yyy")</f>
        <v>Dec-2025</v>
      </c>
      <c r="C1827" s="2" t="str">
        <f t="shared" ref="C1827:C1890" si="59">"Q" &amp; CHOOSE(MONTH(A1827),4,4,4,1,1,1,2,2,2,3,3,3)</f>
        <v>Q3</v>
      </c>
      <c r="D1827" s="2" t="s">
        <v>28</v>
      </c>
      <c r="E1827" s="11" t="s">
        <v>400</v>
      </c>
      <c r="F1827" s="11" t="s">
        <v>399</v>
      </c>
      <c r="G1827" s="11" t="s">
        <v>505</v>
      </c>
      <c r="H1827" s="11" t="s">
        <v>55</v>
      </c>
      <c r="I1827" s="12">
        <v>2</v>
      </c>
      <c r="J1827" s="12">
        <v>240</v>
      </c>
      <c r="K1827" s="12">
        <v>152.11000000000001</v>
      </c>
      <c r="L1827" s="12">
        <v>36506.400000000001</v>
      </c>
      <c r="M1827" s="12">
        <v>-3318.43</v>
      </c>
      <c r="N1827" s="12">
        <v>0</v>
      </c>
      <c r="O1827" s="12">
        <v>4314.4356690000004</v>
      </c>
      <c r="P1827" s="12">
        <v>37502.405669</v>
      </c>
    </row>
    <row r="1828" spans="1:16" ht="14.5" x14ac:dyDescent="0.25">
      <c r="A1828" s="10">
        <v>46017</v>
      </c>
      <c r="B1828" s="2" t="str">
        <f t="shared" si="58"/>
        <v>Dec-2025</v>
      </c>
      <c r="C1828" s="2" t="str">
        <f t="shared" si="59"/>
        <v>Q3</v>
      </c>
      <c r="D1828" s="2" t="s">
        <v>28</v>
      </c>
      <c r="E1828" s="11" t="s">
        <v>400</v>
      </c>
      <c r="F1828" s="11" t="s">
        <v>399</v>
      </c>
      <c r="G1828" s="11" t="s">
        <v>505</v>
      </c>
      <c r="H1828" s="11" t="s">
        <v>50</v>
      </c>
      <c r="I1828" s="12">
        <v>1</v>
      </c>
      <c r="J1828" s="12">
        <v>80</v>
      </c>
      <c r="K1828" s="12">
        <v>169.01</v>
      </c>
      <c r="L1828" s="12">
        <v>13520.8</v>
      </c>
      <c r="M1828" s="12">
        <v>-1229.04</v>
      </c>
      <c r="N1828" s="12">
        <v>0</v>
      </c>
      <c r="O1828" s="12">
        <v>1597.928641</v>
      </c>
      <c r="P1828" s="12">
        <v>13889.688641000001</v>
      </c>
    </row>
    <row r="1829" spans="1:16" ht="14.5" x14ac:dyDescent="0.25">
      <c r="A1829" s="10">
        <v>46017</v>
      </c>
      <c r="B1829" s="2" t="str">
        <f t="shared" si="58"/>
        <v>Dec-2025</v>
      </c>
      <c r="C1829" s="2" t="str">
        <f t="shared" si="59"/>
        <v>Q3</v>
      </c>
      <c r="D1829" s="2" t="s">
        <v>28</v>
      </c>
      <c r="E1829" s="11" t="s">
        <v>401</v>
      </c>
      <c r="F1829" s="11" t="s">
        <v>399</v>
      </c>
      <c r="G1829" s="11" t="s">
        <v>503</v>
      </c>
      <c r="H1829" s="11" t="s">
        <v>166</v>
      </c>
      <c r="I1829" s="12">
        <v>1</v>
      </c>
      <c r="J1829" s="12">
        <v>120</v>
      </c>
      <c r="K1829" s="12">
        <v>64.23</v>
      </c>
      <c r="L1829" s="12">
        <v>7707.5999999999995</v>
      </c>
      <c r="M1829" s="12">
        <v>-700.62</v>
      </c>
      <c r="N1829" s="12">
        <v>0</v>
      </c>
      <c r="O1829" s="12">
        <v>910.90751399999999</v>
      </c>
      <c r="P1829" s="12">
        <v>7917.887514</v>
      </c>
    </row>
    <row r="1830" spans="1:16" ht="14.5" x14ac:dyDescent="0.25">
      <c r="A1830" s="10">
        <v>46017</v>
      </c>
      <c r="B1830" s="2" t="str">
        <f t="shared" si="58"/>
        <v>Dec-2025</v>
      </c>
      <c r="C1830" s="2" t="str">
        <f t="shared" si="59"/>
        <v>Q3</v>
      </c>
      <c r="D1830" s="2" t="s">
        <v>28</v>
      </c>
      <c r="E1830" s="11" t="s">
        <v>401</v>
      </c>
      <c r="F1830" s="11" t="s">
        <v>399</v>
      </c>
      <c r="G1830" s="11" t="s">
        <v>503</v>
      </c>
      <c r="H1830" s="11" t="s">
        <v>87</v>
      </c>
      <c r="I1830" s="12">
        <v>1</v>
      </c>
      <c r="J1830" s="12">
        <v>180</v>
      </c>
      <c r="K1830" s="12">
        <v>114.93</v>
      </c>
      <c r="L1830" s="12">
        <v>20687.400000000001</v>
      </c>
      <c r="M1830" s="12">
        <v>-1880.48</v>
      </c>
      <c r="N1830" s="12">
        <v>0</v>
      </c>
      <c r="O1830" s="12">
        <v>2444.8999060000001</v>
      </c>
      <c r="P1830" s="12">
        <v>21251.819906000001</v>
      </c>
    </row>
    <row r="1831" spans="1:16" ht="14.5" x14ac:dyDescent="0.25">
      <c r="A1831" s="10">
        <v>46017</v>
      </c>
      <c r="B1831" s="2" t="str">
        <f t="shared" si="58"/>
        <v>Dec-2025</v>
      </c>
      <c r="C1831" s="2" t="str">
        <f t="shared" si="59"/>
        <v>Q3</v>
      </c>
      <c r="D1831" s="2" t="s">
        <v>28</v>
      </c>
      <c r="E1831" s="11" t="s">
        <v>401</v>
      </c>
      <c r="F1831" s="11" t="s">
        <v>399</v>
      </c>
      <c r="G1831" s="11" t="s">
        <v>503</v>
      </c>
      <c r="H1831" s="11" t="s">
        <v>89</v>
      </c>
      <c r="I1831" s="12">
        <v>1</v>
      </c>
      <c r="J1831" s="12">
        <v>120</v>
      </c>
      <c r="K1831" s="12">
        <v>114.93</v>
      </c>
      <c r="L1831" s="12">
        <v>13791.6</v>
      </c>
      <c r="M1831" s="12">
        <v>-1253.6600000000001</v>
      </c>
      <c r="N1831" s="12">
        <v>0</v>
      </c>
      <c r="O1831" s="12">
        <v>1629.9324040000001</v>
      </c>
      <c r="P1831" s="12">
        <v>14167.872404</v>
      </c>
    </row>
    <row r="1832" spans="1:16" ht="14.5" x14ac:dyDescent="0.25">
      <c r="A1832" s="10">
        <v>46017</v>
      </c>
      <c r="B1832" s="2" t="str">
        <f t="shared" si="58"/>
        <v>Dec-2025</v>
      </c>
      <c r="C1832" s="2" t="str">
        <f t="shared" si="59"/>
        <v>Q3</v>
      </c>
      <c r="D1832" s="2" t="s">
        <v>28</v>
      </c>
      <c r="E1832" s="11" t="s">
        <v>401</v>
      </c>
      <c r="F1832" s="11" t="s">
        <v>399</v>
      </c>
      <c r="G1832" s="11" t="s">
        <v>503</v>
      </c>
      <c r="H1832" s="11" t="s">
        <v>41</v>
      </c>
      <c r="I1832" s="12">
        <v>1</v>
      </c>
      <c r="J1832" s="12">
        <v>180</v>
      </c>
      <c r="K1832" s="12">
        <v>60.84</v>
      </c>
      <c r="L1832" s="12">
        <v>10951.199999999999</v>
      </c>
      <c r="M1832" s="12">
        <v>-995.46</v>
      </c>
      <c r="N1832" s="12">
        <v>0</v>
      </c>
      <c r="O1832" s="12">
        <v>1294.2463620000001</v>
      </c>
      <c r="P1832" s="12">
        <v>11249.986362</v>
      </c>
    </row>
    <row r="1833" spans="1:16" ht="14.5" x14ac:dyDescent="0.25">
      <c r="A1833" s="10">
        <v>46017</v>
      </c>
      <c r="B1833" s="2" t="str">
        <f t="shared" si="58"/>
        <v>Dec-2025</v>
      </c>
      <c r="C1833" s="2" t="str">
        <f t="shared" si="59"/>
        <v>Q3</v>
      </c>
      <c r="D1833" s="2" t="s">
        <v>28</v>
      </c>
      <c r="E1833" s="11" t="s">
        <v>401</v>
      </c>
      <c r="F1833" s="11" t="s">
        <v>399</v>
      </c>
      <c r="G1833" s="11" t="s">
        <v>503</v>
      </c>
      <c r="H1833" s="11" t="s">
        <v>51</v>
      </c>
      <c r="I1833" s="12">
        <v>1</v>
      </c>
      <c r="J1833" s="12">
        <v>180</v>
      </c>
      <c r="K1833" s="12">
        <v>62.21</v>
      </c>
      <c r="L1833" s="12">
        <v>11197.8</v>
      </c>
      <c r="M1833" s="12">
        <v>-1017.88</v>
      </c>
      <c r="N1833" s="12">
        <v>0</v>
      </c>
      <c r="O1833" s="12">
        <v>1323.389766</v>
      </c>
      <c r="P1833" s="12">
        <v>11503.309766</v>
      </c>
    </row>
    <row r="1834" spans="1:16" ht="14.5" x14ac:dyDescent="0.25">
      <c r="A1834" s="10">
        <v>46017</v>
      </c>
      <c r="B1834" s="2" t="str">
        <f t="shared" si="58"/>
        <v>Dec-2025</v>
      </c>
      <c r="C1834" s="2" t="str">
        <f t="shared" si="59"/>
        <v>Q3</v>
      </c>
      <c r="D1834" s="2" t="s">
        <v>28</v>
      </c>
      <c r="E1834" s="11" t="s">
        <v>401</v>
      </c>
      <c r="F1834" s="11" t="s">
        <v>399</v>
      </c>
      <c r="G1834" s="11" t="s">
        <v>503</v>
      </c>
      <c r="H1834" s="11" t="s">
        <v>59</v>
      </c>
      <c r="I1834" s="12">
        <v>1</v>
      </c>
      <c r="J1834" s="12">
        <v>180</v>
      </c>
      <c r="K1834" s="12">
        <v>62.21</v>
      </c>
      <c r="L1834" s="12">
        <v>11197.8</v>
      </c>
      <c r="M1834" s="12">
        <v>-1017.88</v>
      </c>
      <c r="N1834" s="12">
        <v>0</v>
      </c>
      <c r="O1834" s="12">
        <v>1323.389766</v>
      </c>
      <c r="P1834" s="12">
        <v>11503.309766</v>
      </c>
    </row>
    <row r="1835" spans="1:16" ht="14.5" x14ac:dyDescent="0.25">
      <c r="A1835" s="10">
        <v>46017</v>
      </c>
      <c r="B1835" s="2" t="str">
        <f t="shared" si="58"/>
        <v>Dec-2025</v>
      </c>
      <c r="C1835" s="2" t="str">
        <f t="shared" si="59"/>
        <v>Q3</v>
      </c>
      <c r="D1835" s="2" t="s">
        <v>28</v>
      </c>
      <c r="E1835" s="11" t="s">
        <v>401</v>
      </c>
      <c r="F1835" s="11" t="s">
        <v>399</v>
      </c>
      <c r="G1835" s="11" t="s">
        <v>503</v>
      </c>
      <c r="H1835" s="11" t="s">
        <v>46</v>
      </c>
      <c r="I1835" s="12">
        <v>1</v>
      </c>
      <c r="J1835" s="12">
        <v>120</v>
      </c>
      <c r="K1835" s="12">
        <v>118.3</v>
      </c>
      <c r="L1835" s="12">
        <v>14195.999999999998</v>
      </c>
      <c r="M1835" s="12">
        <v>-1290.4199999999998</v>
      </c>
      <c r="N1835" s="12">
        <v>0</v>
      </c>
      <c r="O1835" s="12">
        <v>1677.72561</v>
      </c>
      <c r="P1835" s="12">
        <v>14583.305609999999</v>
      </c>
    </row>
    <row r="1836" spans="1:16" ht="14.5" x14ac:dyDescent="0.25">
      <c r="A1836" s="10">
        <v>46017</v>
      </c>
      <c r="B1836" s="2" t="str">
        <f t="shared" si="58"/>
        <v>Dec-2025</v>
      </c>
      <c r="C1836" s="2" t="str">
        <f t="shared" si="59"/>
        <v>Q3</v>
      </c>
      <c r="D1836" s="2" t="s">
        <v>28</v>
      </c>
      <c r="E1836" s="11" t="s">
        <v>401</v>
      </c>
      <c r="F1836" s="11" t="s">
        <v>399</v>
      </c>
      <c r="G1836" s="11" t="s">
        <v>503</v>
      </c>
      <c r="H1836" s="11" t="s">
        <v>47</v>
      </c>
      <c r="I1836" s="12">
        <v>1</v>
      </c>
      <c r="J1836" s="12">
        <v>120</v>
      </c>
      <c r="K1836" s="12">
        <v>118.3</v>
      </c>
      <c r="L1836" s="12">
        <v>14195.999999999998</v>
      </c>
      <c r="M1836" s="12">
        <v>-1290.4199999999998</v>
      </c>
      <c r="N1836" s="12">
        <v>0</v>
      </c>
      <c r="O1836" s="12">
        <v>1677.72561</v>
      </c>
      <c r="P1836" s="12">
        <v>14583.305609999999</v>
      </c>
    </row>
    <row r="1837" spans="1:16" ht="14.5" x14ac:dyDescent="0.25">
      <c r="A1837" s="10">
        <v>46017</v>
      </c>
      <c r="B1837" s="2" t="str">
        <f t="shared" si="58"/>
        <v>Dec-2025</v>
      </c>
      <c r="C1837" s="2" t="str">
        <f t="shared" si="59"/>
        <v>Q3</v>
      </c>
      <c r="D1837" s="2" t="s">
        <v>28</v>
      </c>
      <c r="E1837" s="11" t="s">
        <v>401</v>
      </c>
      <c r="F1837" s="11" t="s">
        <v>399</v>
      </c>
      <c r="G1837" s="11" t="s">
        <v>503</v>
      </c>
      <c r="H1837" s="11" t="s">
        <v>48</v>
      </c>
      <c r="I1837" s="12">
        <v>1</v>
      </c>
      <c r="J1837" s="12">
        <v>180</v>
      </c>
      <c r="K1837" s="12">
        <v>135.21</v>
      </c>
      <c r="L1837" s="12">
        <v>24337.8</v>
      </c>
      <c r="M1837" s="12">
        <v>-2212.31</v>
      </c>
      <c r="N1837" s="12">
        <v>0</v>
      </c>
      <c r="O1837" s="12">
        <v>2876.3140600000002</v>
      </c>
      <c r="P1837" s="12">
        <v>25001.804059999999</v>
      </c>
    </row>
    <row r="1838" spans="1:16" ht="14.5" x14ac:dyDescent="0.25">
      <c r="A1838" s="10">
        <v>46017</v>
      </c>
      <c r="B1838" s="2" t="str">
        <f t="shared" si="58"/>
        <v>Dec-2025</v>
      </c>
      <c r="C1838" s="2" t="str">
        <f t="shared" si="59"/>
        <v>Q3</v>
      </c>
      <c r="D1838" s="2" t="s">
        <v>28</v>
      </c>
      <c r="E1838" s="11" t="s">
        <v>401</v>
      </c>
      <c r="F1838" s="11" t="s">
        <v>399</v>
      </c>
      <c r="G1838" s="11" t="s">
        <v>503</v>
      </c>
      <c r="H1838" s="11" t="s">
        <v>42</v>
      </c>
      <c r="I1838" s="12">
        <v>1</v>
      </c>
      <c r="J1838" s="12">
        <v>120</v>
      </c>
      <c r="K1838" s="12">
        <v>148.72999999999999</v>
      </c>
      <c r="L1838" s="12">
        <v>17847.600000000002</v>
      </c>
      <c r="M1838" s="12">
        <v>-1622.3500000000001</v>
      </c>
      <c r="N1838" s="12">
        <v>0</v>
      </c>
      <c r="O1838" s="12">
        <v>2109.282764</v>
      </c>
      <c r="P1838" s="12">
        <v>18334.532764</v>
      </c>
    </row>
    <row r="1839" spans="1:16" ht="14.5" x14ac:dyDescent="0.25">
      <c r="A1839" s="10">
        <v>46017</v>
      </c>
      <c r="B1839" s="2" t="str">
        <f t="shared" si="58"/>
        <v>Dec-2025</v>
      </c>
      <c r="C1839" s="2" t="str">
        <f t="shared" si="59"/>
        <v>Q3</v>
      </c>
      <c r="D1839" s="2" t="s">
        <v>28</v>
      </c>
      <c r="E1839" s="11" t="s">
        <v>401</v>
      </c>
      <c r="F1839" s="11" t="s">
        <v>399</v>
      </c>
      <c r="G1839" s="11" t="s">
        <v>503</v>
      </c>
      <c r="H1839" s="11" t="s">
        <v>177</v>
      </c>
      <c r="I1839" s="12">
        <v>1</v>
      </c>
      <c r="J1839" s="12">
        <v>120</v>
      </c>
      <c r="K1839" s="12">
        <v>94.65</v>
      </c>
      <c r="L1839" s="12">
        <v>11358</v>
      </c>
      <c r="M1839" s="12">
        <v>-1032.44</v>
      </c>
      <c r="N1839" s="12">
        <v>0</v>
      </c>
      <c r="O1839" s="12">
        <v>1342.3229679999999</v>
      </c>
      <c r="P1839" s="12">
        <v>11667.882968</v>
      </c>
    </row>
    <row r="1840" spans="1:16" ht="14.5" x14ac:dyDescent="0.25">
      <c r="A1840" s="10">
        <v>46017</v>
      </c>
      <c r="B1840" s="2" t="str">
        <f t="shared" si="58"/>
        <v>Dec-2025</v>
      </c>
      <c r="C1840" s="2" t="str">
        <f t="shared" si="59"/>
        <v>Q3</v>
      </c>
      <c r="D1840" s="2" t="s">
        <v>28</v>
      </c>
      <c r="E1840" s="11" t="s">
        <v>401</v>
      </c>
      <c r="F1840" s="11" t="s">
        <v>399</v>
      </c>
      <c r="G1840" s="11" t="s">
        <v>503</v>
      </c>
      <c r="H1840" s="11" t="s">
        <v>52</v>
      </c>
      <c r="I1840" s="12">
        <v>1</v>
      </c>
      <c r="J1840" s="12">
        <v>180</v>
      </c>
      <c r="K1840" s="12">
        <v>70.989999999999995</v>
      </c>
      <c r="L1840" s="12">
        <v>12778.2</v>
      </c>
      <c r="M1840" s="12">
        <v>-1161.54</v>
      </c>
      <c r="N1840" s="12">
        <v>0</v>
      </c>
      <c r="O1840" s="12">
        <v>1510.1659890000001</v>
      </c>
      <c r="P1840" s="12">
        <v>13126.825989000001</v>
      </c>
    </row>
    <row r="1841" spans="1:16" ht="14.5" x14ac:dyDescent="0.25">
      <c r="A1841" s="10">
        <v>46017</v>
      </c>
      <c r="B1841" s="2" t="str">
        <f t="shared" si="58"/>
        <v>Dec-2025</v>
      </c>
      <c r="C1841" s="2" t="str">
        <f t="shared" si="59"/>
        <v>Q3</v>
      </c>
      <c r="D1841" s="2" t="s">
        <v>28</v>
      </c>
      <c r="E1841" s="11" t="s">
        <v>401</v>
      </c>
      <c r="F1841" s="11" t="s">
        <v>399</v>
      </c>
      <c r="G1841" s="11" t="s">
        <v>503</v>
      </c>
      <c r="H1841" s="11" t="s">
        <v>45</v>
      </c>
      <c r="I1841" s="12">
        <v>1</v>
      </c>
      <c r="J1841" s="12">
        <v>180</v>
      </c>
      <c r="K1841" s="12">
        <v>62.21</v>
      </c>
      <c r="L1841" s="12">
        <v>11197.8</v>
      </c>
      <c r="M1841" s="12">
        <v>-1017.88</v>
      </c>
      <c r="N1841" s="12">
        <v>0</v>
      </c>
      <c r="O1841" s="12">
        <v>1323.389766</v>
      </c>
      <c r="P1841" s="12">
        <v>11503.309766</v>
      </c>
    </row>
    <row r="1842" spans="1:16" ht="14.5" x14ac:dyDescent="0.25">
      <c r="A1842" s="10">
        <v>46017</v>
      </c>
      <c r="B1842" s="2" t="str">
        <f t="shared" si="58"/>
        <v>Dec-2025</v>
      </c>
      <c r="C1842" s="2" t="str">
        <f t="shared" si="59"/>
        <v>Q3</v>
      </c>
      <c r="D1842" s="2" t="s">
        <v>28</v>
      </c>
      <c r="E1842" s="11" t="s">
        <v>401</v>
      </c>
      <c r="F1842" s="11" t="s">
        <v>399</v>
      </c>
      <c r="G1842" s="11" t="s">
        <v>507</v>
      </c>
      <c r="H1842" s="11" t="s">
        <v>60</v>
      </c>
      <c r="I1842" s="12">
        <v>5</v>
      </c>
      <c r="J1842" s="12">
        <v>300</v>
      </c>
      <c r="K1842" s="12">
        <v>98.03</v>
      </c>
      <c r="L1842" s="12">
        <v>29409.000000000004</v>
      </c>
      <c r="M1842" s="12">
        <v>-2673.28</v>
      </c>
      <c r="N1842" s="12">
        <v>0</v>
      </c>
      <c r="O1842" s="12">
        <v>3475.6440350000003</v>
      </c>
      <c r="P1842" s="12">
        <v>30211.364034999999</v>
      </c>
    </row>
    <row r="1843" spans="1:16" ht="14.5" x14ac:dyDescent="0.25">
      <c r="A1843" s="10">
        <v>46017</v>
      </c>
      <c r="B1843" s="2" t="str">
        <f t="shared" si="58"/>
        <v>Dec-2025</v>
      </c>
      <c r="C1843" s="2" t="str">
        <f t="shared" si="59"/>
        <v>Q3</v>
      </c>
      <c r="D1843" s="2" t="s">
        <v>28</v>
      </c>
      <c r="E1843" s="11" t="s">
        <v>401</v>
      </c>
      <c r="F1843" s="11" t="s">
        <v>399</v>
      </c>
      <c r="G1843" s="11" t="s">
        <v>503</v>
      </c>
      <c r="H1843" s="11" t="s">
        <v>57</v>
      </c>
      <c r="I1843" s="12">
        <v>1</v>
      </c>
      <c r="J1843" s="12">
        <v>180</v>
      </c>
      <c r="K1843" s="12">
        <v>118.3</v>
      </c>
      <c r="L1843" s="12">
        <v>21294</v>
      </c>
      <c r="M1843" s="12">
        <v>-1935.62</v>
      </c>
      <c r="N1843" s="12">
        <v>0</v>
      </c>
      <c r="O1843" s="12">
        <v>2516.5897150000001</v>
      </c>
      <c r="P1843" s="12">
        <v>21874.969714999999</v>
      </c>
    </row>
    <row r="1844" spans="1:16" ht="14.5" x14ac:dyDescent="0.25">
      <c r="A1844" s="10">
        <v>46017</v>
      </c>
      <c r="B1844" s="2" t="str">
        <f t="shared" si="58"/>
        <v>Dec-2025</v>
      </c>
      <c r="C1844" s="2" t="str">
        <f t="shared" si="59"/>
        <v>Q3</v>
      </c>
      <c r="D1844" s="2" t="s">
        <v>28</v>
      </c>
      <c r="E1844" s="11" t="s">
        <v>401</v>
      </c>
      <c r="F1844" s="11" t="s">
        <v>399</v>
      </c>
      <c r="G1844" s="11" t="s">
        <v>507</v>
      </c>
      <c r="H1844" s="11" t="s">
        <v>90</v>
      </c>
      <c r="I1844" s="12">
        <v>1.61</v>
      </c>
      <c r="J1844" s="12">
        <v>193</v>
      </c>
      <c r="K1844" s="12">
        <v>57.46</v>
      </c>
      <c r="L1844" s="12">
        <v>11089.78</v>
      </c>
      <c r="M1844" s="12">
        <v>-1008.06</v>
      </c>
      <c r="N1844" s="12">
        <v>0</v>
      </c>
      <c r="O1844" s="12">
        <v>1310.6237639999999</v>
      </c>
      <c r="P1844" s="12">
        <v>11392.343763999999</v>
      </c>
    </row>
    <row r="1845" spans="1:16" ht="14.5" x14ac:dyDescent="0.25">
      <c r="A1845" s="10">
        <v>46017</v>
      </c>
      <c r="B1845" s="2" t="str">
        <f t="shared" si="58"/>
        <v>Dec-2025</v>
      </c>
      <c r="C1845" s="2" t="str">
        <f t="shared" si="59"/>
        <v>Q3</v>
      </c>
      <c r="D1845" s="2" t="s">
        <v>28</v>
      </c>
      <c r="E1845" s="11" t="s">
        <v>402</v>
      </c>
      <c r="F1845" s="11" t="s">
        <v>236</v>
      </c>
      <c r="G1845" s="11" t="s">
        <v>503</v>
      </c>
      <c r="H1845" s="11" t="s">
        <v>177</v>
      </c>
      <c r="I1845" s="12">
        <v>0.42</v>
      </c>
      <c r="J1845" s="12">
        <v>50</v>
      </c>
      <c r="K1845" s="12">
        <v>94.65</v>
      </c>
      <c r="L1845" s="12">
        <v>4732.5</v>
      </c>
      <c r="M1845" s="12">
        <v>-430.18</v>
      </c>
      <c r="N1845" s="12">
        <v>0</v>
      </c>
      <c r="O1845" s="12">
        <v>559.30158800000004</v>
      </c>
      <c r="P1845" s="12">
        <v>4861.621588</v>
      </c>
    </row>
    <row r="1846" spans="1:16" ht="14.5" x14ac:dyDescent="0.25">
      <c r="A1846" s="10">
        <v>46017</v>
      </c>
      <c r="B1846" s="2" t="str">
        <f t="shared" si="58"/>
        <v>Dec-2025</v>
      </c>
      <c r="C1846" s="2" t="str">
        <f t="shared" si="59"/>
        <v>Q3</v>
      </c>
      <c r="D1846" s="2" t="s">
        <v>28</v>
      </c>
      <c r="E1846" s="11" t="s">
        <v>402</v>
      </c>
      <c r="F1846" s="11" t="s">
        <v>236</v>
      </c>
      <c r="G1846" s="11" t="s">
        <v>506</v>
      </c>
      <c r="H1846" s="11" t="s">
        <v>58</v>
      </c>
      <c r="I1846" s="12">
        <v>1</v>
      </c>
      <c r="J1846" s="12">
        <v>72</v>
      </c>
      <c r="K1846" s="12">
        <v>148.72999999999999</v>
      </c>
      <c r="L1846" s="12">
        <v>10708.56</v>
      </c>
      <c r="M1846" s="12">
        <v>-973.41</v>
      </c>
      <c r="N1846" s="12">
        <v>0</v>
      </c>
      <c r="O1846" s="12">
        <v>1265.5694719999999</v>
      </c>
      <c r="P1846" s="12">
        <v>11000.719472000001</v>
      </c>
    </row>
    <row r="1847" spans="1:16" ht="14.5" x14ac:dyDescent="0.25">
      <c r="A1847" s="10">
        <v>46017</v>
      </c>
      <c r="B1847" s="2" t="str">
        <f t="shared" si="58"/>
        <v>Dec-2025</v>
      </c>
      <c r="C1847" s="2" t="str">
        <f t="shared" si="59"/>
        <v>Q3</v>
      </c>
      <c r="D1847" s="2" t="s">
        <v>28</v>
      </c>
      <c r="E1847" s="11" t="s">
        <v>402</v>
      </c>
      <c r="F1847" s="11" t="s">
        <v>236</v>
      </c>
      <c r="G1847" s="11" t="s">
        <v>505</v>
      </c>
      <c r="H1847" s="11" t="s">
        <v>55</v>
      </c>
      <c r="I1847" s="12">
        <v>1</v>
      </c>
      <c r="J1847" s="12">
        <v>120</v>
      </c>
      <c r="K1847" s="12">
        <v>152.11000000000001</v>
      </c>
      <c r="L1847" s="12">
        <v>18253.2</v>
      </c>
      <c r="M1847" s="12">
        <v>-1659.2199999999998</v>
      </c>
      <c r="N1847" s="12">
        <v>0</v>
      </c>
      <c r="O1847" s="12">
        <v>2157.217353</v>
      </c>
      <c r="P1847" s="12">
        <v>18751.197353</v>
      </c>
    </row>
    <row r="1848" spans="1:16" ht="14.5" x14ac:dyDescent="0.25">
      <c r="A1848" s="10">
        <v>46017</v>
      </c>
      <c r="B1848" s="2" t="str">
        <f t="shared" si="58"/>
        <v>Dec-2025</v>
      </c>
      <c r="C1848" s="2" t="str">
        <f t="shared" si="59"/>
        <v>Q3</v>
      </c>
      <c r="D1848" s="2" t="s">
        <v>28</v>
      </c>
      <c r="E1848" s="11" t="s">
        <v>402</v>
      </c>
      <c r="F1848" s="11" t="s">
        <v>236</v>
      </c>
      <c r="G1848" s="11" t="s">
        <v>503</v>
      </c>
      <c r="H1848" s="11" t="s">
        <v>190</v>
      </c>
      <c r="I1848" s="12">
        <v>0.33</v>
      </c>
      <c r="J1848" s="12">
        <v>60</v>
      </c>
      <c r="K1848" s="12">
        <v>81.13</v>
      </c>
      <c r="L1848" s="12">
        <v>4867.8</v>
      </c>
      <c r="M1848" s="12">
        <v>-442.48</v>
      </c>
      <c r="N1848" s="12">
        <v>0</v>
      </c>
      <c r="O1848" s="12">
        <v>575.29158699999994</v>
      </c>
      <c r="P1848" s="12">
        <v>5000.6115870000003</v>
      </c>
    </row>
    <row r="1849" spans="1:16" ht="14.5" x14ac:dyDescent="0.25">
      <c r="A1849" s="10">
        <v>46017</v>
      </c>
      <c r="B1849" s="2" t="str">
        <f t="shared" si="58"/>
        <v>Dec-2025</v>
      </c>
      <c r="C1849" s="2" t="str">
        <f t="shared" si="59"/>
        <v>Q3</v>
      </c>
      <c r="D1849" s="2" t="s">
        <v>28</v>
      </c>
      <c r="E1849" s="11" t="s">
        <v>403</v>
      </c>
      <c r="F1849" s="11" t="s">
        <v>236</v>
      </c>
      <c r="G1849" s="11" t="s">
        <v>504</v>
      </c>
      <c r="H1849" s="11" t="s">
        <v>53</v>
      </c>
      <c r="I1849" s="12">
        <v>0.5</v>
      </c>
      <c r="J1849" s="12">
        <v>50</v>
      </c>
      <c r="K1849" s="12">
        <v>137.5</v>
      </c>
      <c r="L1849" s="12">
        <v>6875</v>
      </c>
      <c r="M1849" s="12">
        <v>-624.94000000000005</v>
      </c>
      <c r="N1849" s="12">
        <v>0</v>
      </c>
      <c r="O1849" s="12">
        <v>0</v>
      </c>
      <c r="P1849" s="12">
        <v>6250.06</v>
      </c>
    </row>
    <row r="1850" spans="1:16" ht="14.5" x14ac:dyDescent="0.25">
      <c r="A1850" s="10">
        <v>46017</v>
      </c>
      <c r="B1850" s="2" t="str">
        <f t="shared" si="58"/>
        <v>Dec-2025</v>
      </c>
      <c r="C1850" s="2" t="str">
        <f t="shared" si="59"/>
        <v>Q3</v>
      </c>
      <c r="D1850" s="2" t="s">
        <v>28</v>
      </c>
      <c r="E1850" s="11" t="s">
        <v>403</v>
      </c>
      <c r="F1850" s="11" t="s">
        <v>236</v>
      </c>
      <c r="G1850" s="11" t="s">
        <v>504</v>
      </c>
      <c r="H1850" s="11" t="s">
        <v>61</v>
      </c>
      <c r="I1850" s="12">
        <v>0.5</v>
      </c>
      <c r="J1850" s="12">
        <v>20</v>
      </c>
      <c r="K1850" s="12">
        <v>336.13</v>
      </c>
      <c r="L1850" s="12">
        <v>6722.5999999999995</v>
      </c>
      <c r="M1850" s="12">
        <v>-611.08000000000004</v>
      </c>
      <c r="N1850" s="12">
        <v>0</v>
      </c>
      <c r="O1850" s="12">
        <v>0</v>
      </c>
      <c r="P1850" s="12">
        <v>6111.52</v>
      </c>
    </row>
    <row r="1851" spans="1:16" ht="14.5" x14ac:dyDescent="0.25">
      <c r="A1851" s="10">
        <v>46020</v>
      </c>
      <c r="B1851" s="2" t="str">
        <f t="shared" si="58"/>
        <v>Dec-2025</v>
      </c>
      <c r="C1851" s="2" t="str">
        <f t="shared" si="59"/>
        <v>Q3</v>
      </c>
      <c r="D1851" s="2" t="s">
        <v>28</v>
      </c>
      <c r="E1851" s="11" t="s">
        <v>404</v>
      </c>
      <c r="F1851" s="11" t="s">
        <v>14</v>
      </c>
      <c r="G1851" s="11" t="s">
        <v>505</v>
      </c>
      <c r="H1851" s="11" t="s">
        <v>43</v>
      </c>
      <c r="I1851" s="12">
        <v>1</v>
      </c>
      <c r="J1851" s="12">
        <v>40</v>
      </c>
      <c r="K1851" s="12">
        <v>283.94</v>
      </c>
      <c r="L1851" s="12">
        <v>11357.599999999999</v>
      </c>
      <c r="M1851" s="12">
        <v>-1032.4099999999999</v>
      </c>
      <c r="N1851" s="12">
        <v>0</v>
      </c>
      <c r="O1851" s="12">
        <v>1342.2749650000001</v>
      </c>
      <c r="P1851" s="12">
        <v>11667.464964999999</v>
      </c>
    </row>
    <row r="1852" spans="1:16" ht="14.5" x14ac:dyDescent="0.25">
      <c r="A1852" s="10">
        <v>46020</v>
      </c>
      <c r="B1852" s="2" t="str">
        <f t="shared" si="58"/>
        <v>Dec-2025</v>
      </c>
      <c r="C1852" s="2" t="str">
        <f t="shared" si="59"/>
        <v>Q3</v>
      </c>
      <c r="D1852" s="2" t="s">
        <v>28</v>
      </c>
      <c r="E1852" s="11" t="s">
        <v>404</v>
      </c>
      <c r="F1852" s="11" t="s">
        <v>14</v>
      </c>
      <c r="G1852" s="11" t="s">
        <v>503</v>
      </c>
      <c r="H1852" s="11" t="s">
        <v>51</v>
      </c>
      <c r="I1852" s="12">
        <v>1</v>
      </c>
      <c r="J1852" s="12">
        <v>180</v>
      </c>
      <c r="K1852" s="12">
        <v>64.23</v>
      </c>
      <c r="L1852" s="12">
        <v>11561.4</v>
      </c>
      <c r="M1852" s="12">
        <v>-1050.9299999999998</v>
      </c>
      <c r="N1852" s="12">
        <v>0</v>
      </c>
      <c r="O1852" s="12">
        <v>1366.3613700000001</v>
      </c>
      <c r="P1852" s="12">
        <v>11876.83137</v>
      </c>
    </row>
    <row r="1853" spans="1:16" ht="14.5" x14ac:dyDescent="0.25">
      <c r="A1853" s="10">
        <v>46020</v>
      </c>
      <c r="B1853" s="2" t="str">
        <f t="shared" si="58"/>
        <v>Dec-2025</v>
      </c>
      <c r="C1853" s="2" t="str">
        <f t="shared" si="59"/>
        <v>Q3</v>
      </c>
      <c r="D1853" s="2" t="s">
        <v>28</v>
      </c>
      <c r="E1853" s="11" t="s">
        <v>404</v>
      </c>
      <c r="F1853" s="11" t="s">
        <v>14</v>
      </c>
      <c r="G1853" s="11" t="s">
        <v>503</v>
      </c>
      <c r="H1853" s="11" t="s">
        <v>59</v>
      </c>
      <c r="I1853" s="12">
        <v>1</v>
      </c>
      <c r="J1853" s="12">
        <v>180</v>
      </c>
      <c r="K1853" s="12">
        <v>64.23</v>
      </c>
      <c r="L1853" s="12">
        <v>11561.4</v>
      </c>
      <c r="M1853" s="12">
        <v>-1050.9299999999998</v>
      </c>
      <c r="N1853" s="12">
        <v>0</v>
      </c>
      <c r="O1853" s="12">
        <v>1366.3613700000001</v>
      </c>
      <c r="P1853" s="12">
        <v>11876.83137</v>
      </c>
    </row>
    <row r="1854" spans="1:16" ht="14.5" x14ac:dyDescent="0.25">
      <c r="A1854" s="10">
        <v>46020</v>
      </c>
      <c r="B1854" s="2" t="str">
        <f t="shared" si="58"/>
        <v>Dec-2025</v>
      </c>
      <c r="C1854" s="2" t="str">
        <f t="shared" si="59"/>
        <v>Q3</v>
      </c>
      <c r="D1854" s="2" t="s">
        <v>28</v>
      </c>
      <c r="E1854" s="11" t="s">
        <v>404</v>
      </c>
      <c r="F1854" s="11" t="s">
        <v>14</v>
      </c>
      <c r="G1854" s="11" t="s">
        <v>505</v>
      </c>
      <c r="H1854" s="11" t="s">
        <v>49</v>
      </c>
      <c r="I1854" s="12">
        <v>1</v>
      </c>
      <c r="J1854" s="12">
        <v>180</v>
      </c>
      <c r="K1854" s="12">
        <v>182.53</v>
      </c>
      <c r="L1854" s="12">
        <v>32855.4</v>
      </c>
      <c r="M1854" s="12">
        <v>-2986.56</v>
      </c>
      <c r="N1854" s="12">
        <v>0</v>
      </c>
      <c r="O1854" s="12">
        <v>3882.949967</v>
      </c>
      <c r="P1854" s="12">
        <v>33751.789966999997</v>
      </c>
    </row>
    <row r="1855" spans="1:16" ht="14.5" x14ac:dyDescent="0.25">
      <c r="A1855" s="10">
        <v>46020</v>
      </c>
      <c r="B1855" s="2" t="str">
        <f t="shared" si="58"/>
        <v>Dec-2025</v>
      </c>
      <c r="C1855" s="2" t="str">
        <f t="shared" si="59"/>
        <v>Q3</v>
      </c>
      <c r="D1855" s="2" t="s">
        <v>28</v>
      </c>
      <c r="E1855" s="11" t="s">
        <v>404</v>
      </c>
      <c r="F1855" s="11" t="s">
        <v>14</v>
      </c>
      <c r="G1855" s="11" t="s">
        <v>503</v>
      </c>
      <c r="H1855" s="11" t="s">
        <v>172</v>
      </c>
      <c r="I1855" s="12">
        <v>1</v>
      </c>
      <c r="J1855" s="12">
        <v>180</v>
      </c>
      <c r="K1855" s="12">
        <v>98.03</v>
      </c>
      <c r="L1855" s="12">
        <v>17645.400000000001</v>
      </c>
      <c r="M1855" s="12">
        <v>-1603.97</v>
      </c>
      <c r="N1855" s="12">
        <v>0</v>
      </c>
      <c r="O1855" s="12">
        <v>2085.3863120000001</v>
      </c>
      <c r="P1855" s="12">
        <v>18126.816311999999</v>
      </c>
    </row>
    <row r="1856" spans="1:16" ht="14.5" x14ac:dyDescent="0.25">
      <c r="A1856" s="10">
        <v>46020</v>
      </c>
      <c r="B1856" s="2" t="str">
        <f t="shared" si="58"/>
        <v>Dec-2025</v>
      </c>
      <c r="C1856" s="2" t="str">
        <f t="shared" si="59"/>
        <v>Q3</v>
      </c>
      <c r="D1856" s="2" t="s">
        <v>28</v>
      </c>
      <c r="E1856" s="11" t="s">
        <v>404</v>
      </c>
      <c r="F1856" s="11" t="s">
        <v>14</v>
      </c>
      <c r="G1856" s="11" t="s">
        <v>504</v>
      </c>
      <c r="H1856" s="11" t="s">
        <v>69</v>
      </c>
      <c r="I1856" s="12">
        <v>1</v>
      </c>
      <c r="J1856" s="12">
        <v>100</v>
      </c>
      <c r="K1856" s="12">
        <v>162.26</v>
      </c>
      <c r="L1856" s="12">
        <v>16226</v>
      </c>
      <c r="M1856" s="12">
        <v>-1474.94</v>
      </c>
      <c r="N1856" s="12">
        <v>0</v>
      </c>
      <c r="O1856" s="12">
        <v>1917.6381789999998</v>
      </c>
      <c r="P1856" s="12">
        <v>16668.698178999999</v>
      </c>
    </row>
    <row r="1857" spans="1:16" ht="14.5" x14ac:dyDescent="0.25">
      <c r="A1857" s="10">
        <v>46020</v>
      </c>
      <c r="B1857" s="2" t="str">
        <f t="shared" si="58"/>
        <v>Dec-2025</v>
      </c>
      <c r="C1857" s="2" t="str">
        <f t="shared" si="59"/>
        <v>Q3</v>
      </c>
      <c r="D1857" s="2" t="s">
        <v>28</v>
      </c>
      <c r="E1857" s="11" t="s">
        <v>404</v>
      </c>
      <c r="F1857" s="11" t="s">
        <v>14</v>
      </c>
      <c r="G1857" s="11" t="s">
        <v>503</v>
      </c>
      <c r="H1857" s="11" t="s">
        <v>57</v>
      </c>
      <c r="I1857" s="12">
        <v>1</v>
      </c>
      <c r="J1857" s="12">
        <v>180</v>
      </c>
      <c r="K1857" s="12">
        <v>118.3</v>
      </c>
      <c r="L1857" s="12">
        <v>21294</v>
      </c>
      <c r="M1857" s="12">
        <v>-1935.62</v>
      </c>
      <c r="N1857" s="12">
        <v>0</v>
      </c>
      <c r="O1857" s="12">
        <v>2516.5898969999998</v>
      </c>
      <c r="P1857" s="12">
        <v>21874.969896999999</v>
      </c>
    </row>
    <row r="1858" spans="1:16" ht="14.5" x14ac:dyDescent="0.25">
      <c r="A1858" s="10">
        <v>46020</v>
      </c>
      <c r="B1858" s="2" t="str">
        <f t="shared" si="58"/>
        <v>Dec-2025</v>
      </c>
      <c r="C1858" s="2" t="str">
        <f t="shared" si="59"/>
        <v>Q3</v>
      </c>
      <c r="D1858" s="2" t="s">
        <v>28</v>
      </c>
      <c r="E1858" s="11" t="s">
        <v>404</v>
      </c>
      <c r="F1858" s="11" t="s">
        <v>14</v>
      </c>
      <c r="G1858" s="11" t="s">
        <v>503</v>
      </c>
      <c r="H1858" s="11" t="s">
        <v>45</v>
      </c>
      <c r="I1858" s="12">
        <v>1</v>
      </c>
      <c r="J1858" s="12">
        <v>180</v>
      </c>
      <c r="K1858" s="12">
        <v>64.23</v>
      </c>
      <c r="L1858" s="12">
        <v>11561.4</v>
      </c>
      <c r="M1858" s="12">
        <v>-1050.9299999999998</v>
      </c>
      <c r="N1858" s="12">
        <v>0</v>
      </c>
      <c r="O1858" s="12">
        <v>1366.3613700000001</v>
      </c>
      <c r="P1858" s="12">
        <v>11876.83137</v>
      </c>
    </row>
    <row r="1859" spans="1:16" ht="14.5" x14ac:dyDescent="0.25">
      <c r="A1859" s="10">
        <v>46020</v>
      </c>
      <c r="B1859" s="2" t="str">
        <f t="shared" si="58"/>
        <v>Dec-2025</v>
      </c>
      <c r="C1859" s="2" t="str">
        <f t="shared" si="59"/>
        <v>Q3</v>
      </c>
      <c r="D1859" s="2" t="s">
        <v>28</v>
      </c>
      <c r="E1859" s="11" t="s">
        <v>404</v>
      </c>
      <c r="F1859" s="11" t="s">
        <v>14</v>
      </c>
      <c r="G1859" s="11" t="s">
        <v>506</v>
      </c>
      <c r="H1859" s="11" t="s">
        <v>58</v>
      </c>
      <c r="I1859" s="12">
        <v>1</v>
      </c>
      <c r="J1859" s="12">
        <v>72</v>
      </c>
      <c r="K1859" s="12">
        <v>148.72999999999999</v>
      </c>
      <c r="L1859" s="12">
        <v>10708.56</v>
      </c>
      <c r="M1859" s="12">
        <v>-973.41</v>
      </c>
      <c r="N1859" s="12">
        <v>0</v>
      </c>
      <c r="O1859" s="12">
        <v>1265.5697500000001</v>
      </c>
      <c r="P1859" s="12">
        <v>11000.71975</v>
      </c>
    </row>
    <row r="1860" spans="1:16" ht="14.5" x14ac:dyDescent="0.25">
      <c r="A1860" s="10">
        <v>46020</v>
      </c>
      <c r="B1860" s="2" t="str">
        <f t="shared" si="58"/>
        <v>Dec-2025</v>
      </c>
      <c r="C1860" s="2" t="str">
        <f t="shared" si="59"/>
        <v>Q3</v>
      </c>
      <c r="D1860" s="2" t="s">
        <v>28</v>
      </c>
      <c r="E1860" s="11" t="s">
        <v>404</v>
      </c>
      <c r="F1860" s="11" t="s">
        <v>14</v>
      </c>
      <c r="G1860" s="11" t="s">
        <v>505</v>
      </c>
      <c r="H1860" s="11" t="s">
        <v>55</v>
      </c>
      <c r="I1860" s="12">
        <v>1</v>
      </c>
      <c r="J1860" s="12">
        <v>120</v>
      </c>
      <c r="K1860" s="12">
        <v>148.74</v>
      </c>
      <c r="L1860" s="12">
        <v>17848.8</v>
      </c>
      <c r="M1860" s="12">
        <v>-1622.46</v>
      </c>
      <c r="N1860" s="12">
        <v>0</v>
      </c>
      <c r="O1860" s="12">
        <v>2109.4246170000001</v>
      </c>
      <c r="P1860" s="12">
        <v>18335.764617000001</v>
      </c>
    </row>
    <row r="1861" spans="1:16" ht="14.5" x14ac:dyDescent="0.25">
      <c r="A1861" s="10">
        <v>46020</v>
      </c>
      <c r="B1861" s="2" t="str">
        <f t="shared" si="58"/>
        <v>Dec-2025</v>
      </c>
      <c r="C1861" s="2" t="str">
        <f t="shared" si="59"/>
        <v>Q3</v>
      </c>
      <c r="D1861" s="2" t="s">
        <v>28</v>
      </c>
      <c r="E1861" s="11" t="s">
        <v>404</v>
      </c>
      <c r="F1861" s="11" t="s">
        <v>14</v>
      </c>
      <c r="G1861" s="11" t="s">
        <v>507</v>
      </c>
      <c r="H1861" s="11" t="s">
        <v>60</v>
      </c>
      <c r="I1861" s="12">
        <v>2</v>
      </c>
      <c r="J1861" s="12">
        <v>120</v>
      </c>
      <c r="K1861" s="12">
        <v>98.03</v>
      </c>
      <c r="L1861" s="12">
        <v>11763.6</v>
      </c>
      <c r="M1861" s="12">
        <v>-1069.3100000000002</v>
      </c>
      <c r="N1861" s="12">
        <v>0</v>
      </c>
      <c r="O1861" s="12">
        <v>1390.2579750000002</v>
      </c>
      <c r="P1861" s="12">
        <v>12084.547974999999</v>
      </c>
    </row>
    <row r="1862" spans="1:16" ht="14.5" x14ac:dyDescent="0.25">
      <c r="A1862" s="10">
        <v>46020</v>
      </c>
      <c r="B1862" s="2" t="str">
        <f t="shared" si="58"/>
        <v>Dec-2025</v>
      </c>
      <c r="C1862" s="2" t="str">
        <f t="shared" si="59"/>
        <v>Q3</v>
      </c>
      <c r="D1862" s="2" t="s">
        <v>28</v>
      </c>
      <c r="E1862" s="11" t="s">
        <v>404</v>
      </c>
      <c r="F1862" s="11" t="s">
        <v>14</v>
      </c>
      <c r="G1862" s="11" t="s">
        <v>505</v>
      </c>
      <c r="H1862" s="11" t="s">
        <v>168</v>
      </c>
      <c r="I1862" s="12">
        <v>1</v>
      </c>
      <c r="J1862" s="12">
        <v>80</v>
      </c>
      <c r="K1862" s="12">
        <v>229.86</v>
      </c>
      <c r="L1862" s="12">
        <v>18388.8</v>
      </c>
      <c r="M1862" s="12">
        <v>-1671.54</v>
      </c>
      <c r="N1862" s="12">
        <v>0</v>
      </c>
      <c r="O1862" s="12">
        <v>2173.2442289999999</v>
      </c>
      <c r="P1862" s="12">
        <v>18890.504228999998</v>
      </c>
    </row>
    <row r="1863" spans="1:16" ht="14.5" x14ac:dyDescent="0.25">
      <c r="A1863" s="10">
        <v>46020</v>
      </c>
      <c r="B1863" s="2" t="str">
        <f t="shared" si="58"/>
        <v>Dec-2025</v>
      </c>
      <c r="C1863" s="2" t="str">
        <f t="shared" si="59"/>
        <v>Q3</v>
      </c>
      <c r="D1863" s="2" t="s">
        <v>28</v>
      </c>
      <c r="E1863" s="11" t="s">
        <v>405</v>
      </c>
      <c r="F1863" s="11" t="s">
        <v>14</v>
      </c>
      <c r="G1863" s="11" t="s">
        <v>504</v>
      </c>
      <c r="H1863" s="11" t="s">
        <v>53</v>
      </c>
      <c r="I1863" s="12">
        <v>1</v>
      </c>
      <c r="J1863" s="12">
        <v>100</v>
      </c>
      <c r="K1863" s="12">
        <v>137.5</v>
      </c>
      <c r="L1863" s="12">
        <v>13750</v>
      </c>
      <c r="M1863" s="12">
        <v>-1249.8800000000001</v>
      </c>
      <c r="N1863" s="12">
        <v>0</v>
      </c>
      <c r="O1863" s="12">
        <v>0</v>
      </c>
      <c r="P1863" s="12">
        <v>12500.12</v>
      </c>
    </row>
    <row r="1864" spans="1:16" ht="14.5" x14ac:dyDescent="0.25">
      <c r="A1864" s="10">
        <v>46020</v>
      </c>
      <c r="B1864" s="2" t="str">
        <f t="shared" si="58"/>
        <v>Dec-2025</v>
      </c>
      <c r="C1864" s="2" t="str">
        <f t="shared" si="59"/>
        <v>Q3</v>
      </c>
      <c r="D1864" s="2" t="s">
        <v>28</v>
      </c>
      <c r="E1864" s="11" t="s">
        <v>406</v>
      </c>
      <c r="F1864" s="11" t="s">
        <v>337</v>
      </c>
      <c r="G1864" s="11" t="s">
        <v>505</v>
      </c>
      <c r="H1864" s="11" t="s">
        <v>55</v>
      </c>
      <c r="I1864" s="12">
        <v>0.25</v>
      </c>
      <c r="J1864" s="12">
        <v>30</v>
      </c>
      <c r="K1864" s="12">
        <v>152.11000000000001</v>
      </c>
      <c r="L1864" s="12">
        <v>4563.3</v>
      </c>
      <c r="M1864" s="12">
        <v>-414.8</v>
      </c>
      <c r="N1864" s="12">
        <v>0</v>
      </c>
      <c r="O1864" s="12">
        <v>539.30508999999995</v>
      </c>
      <c r="P1864" s="12">
        <v>4687.8050899999998</v>
      </c>
    </row>
    <row r="1865" spans="1:16" ht="14.5" x14ac:dyDescent="0.25">
      <c r="A1865" s="10">
        <v>46020</v>
      </c>
      <c r="B1865" s="2" t="str">
        <f t="shared" si="58"/>
        <v>Dec-2025</v>
      </c>
      <c r="C1865" s="2" t="str">
        <f t="shared" si="59"/>
        <v>Q3</v>
      </c>
      <c r="D1865" s="2" t="s">
        <v>28</v>
      </c>
      <c r="E1865" s="11" t="s">
        <v>406</v>
      </c>
      <c r="F1865" s="11" t="s">
        <v>337</v>
      </c>
      <c r="G1865" s="11" t="s">
        <v>503</v>
      </c>
      <c r="H1865" s="11" t="s">
        <v>170</v>
      </c>
      <c r="I1865" s="12">
        <v>0.25</v>
      </c>
      <c r="J1865" s="12">
        <v>20</v>
      </c>
      <c r="K1865" s="12">
        <v>169.01</v>
      </c>
      <c r="L1865" s="12">
        <v>3380.2</v>
      </c>
      <c r="M1865" s="12">
        <v>-307.26</v>
      </c>
      <c r="N1865" s="12">
        <v>0</v>
      </c>
      <c r="O1865" s="12">
        <v>399.48226700000004</v>
      </c>
      <c r="P1865" s="12">
        <v>3472.4222669999999</v>
      </c>
    </row>
    <row r="1866" spans="1:16" ht="14.5" x14ac:dyDescent="0.25">
      <c r="A1866" s="10">
        <v>46020</v>
      </c>
      <c r="B1866" s="2" t="str">
        <f t="shared" si="58"/>
        <v>Dec-2025</v>
      </c>
      <c r="C1866" s="2" t="str">
        <f t="shared" si="59"/>
        <v>Q3</v>
      </c>
      <c r="D1866" s="2" t="s">
        <v>28</v>
      </c>
      <c r="E1866" s="11" t="s">
        <v>406</v>
      </c>
      <c r="F1866" s="11" t="s">
        <v>337</v>
      </c>
      <c r="G1866" s="11" t="s">
        <v>503</v>
      </c>
      <c r="H1866" s="11" t="s">
        <v>180</v>
      </c>
      <c r="I1866" s="12">
        <v>0.13</v>
      </c>
      <c r="J1866" s="12">
        <v>10</v>
      </c>
      <c r="K1866" s="12">
        <v>141.97</v>
      </c>
      <c r="L1866" s="12">
        <v>1419.6999999999998</v>
      </c>
      <c r="M1866" s="12">
        <v>-129.05000000000001</v>
      </c>
      <c r="N1866" s="12">
        <v>0</v>
      </c>
      <c r="O1866" s="12">
        <v>167.78452799999999</v>
      </c>
      <c r="P1866" s="12">
        <v>1458.434528</v>
      </c>
    </row>
    <row r="1867" spans="1:16" ht="14.5" x14ac:dyDescent="0.25">
      <c r="A1867" s="10">
        <v>46020</v>
      </c>
      <c r="B1867" s="2" t="str">
        <f t="shared" si="58"/>
        <v>Dec-2025</v>
      </c>
      <c r="C1867" s="2" t="str">
        <f t="shared" si="59"/>
        <v>Q3</v>
      </c>
      <c r="D1867" s="2" t="s">
        <v>28</v>
      </c>
      <c r="E1867" s="11" t="s">
        <v>406</v>
      </c>
      <c r="F1867" s="11" t="s">
        <v>337</v>
      </c>
      <c r="G1867" s="11" t="s">
        <v>503</v>
      </c>
      <c r="H1867" s="11" t="s">
        <v>177</v>
      </c>
      <c r="I1867" s="12">
        <v>0.17</v>
      </c>
      <c r="J1867" s="12">
        <v>20</v>
      </c>
      <c r="K1867" s="12">
        <v>94.65</v>
      </c>
      <c r="L1867" s="12">
        <v>1893</v>
      </c>
      <c r="M1867" s="12">
        <v>-172.07</v>
      </c>
      <c r="N1867" s="12">
        <v>0</v>
      </c>
      <c r="O1867" s="12">
        <v>223.72093699999999</v>
      </c>
      <c r="P1867" s="12">
        <v>1944.6509370000001</v>
      </c>
    </row>
    <row r="1868" spans="1:16" ht="14.5" x14ac:dyDescent="0.25">
      <c r="A1868" s="10">
        <v>46020</v>
      </c>
      <c r="B1868" s="2" t="str">
        <f t="shared" si="58"/>
        <v>Dec-2025</v>
      </c>
      <c r="C1868" s="2" t="str">
        <f t="shared" si="59"/>
        <v>Q3</v>
      </c>
      <c r="D1868" s="2" t="s">
        <v>28</v>
      </c>
      <c r="E1868" s="11" t="s">
        <v>406</v>
      </c>
      <c r="F1868" s="11" t="s">
        <v>337</v>
      </c>
      <c r="G1868" s="11" t="s">
        <v>503</v>
      </c>
      <c r="H1868" s="11" t="s">
        <v>52</v>
      </c>
      <c r="I1868" s="12">
        <v>0.22</v>
      </c>
      <c r="J1868" s="12">
        <v>40</v>
      </c>
      <c r="K1868" s="12">
        <v>70.989999999999995</v>
      </c>
      <c r="L1868" s="12">
        <v>2839.6</v>
      </c>
      <c r="M1868" s="12">
        <v>-258.12</v>
      </c>
      <c r="N1868" s="12">
        <v>0</v>
      </c>
      <c r="O1868" s="12">
        <v>335.59245599999997</v>
      </c>
      <c r="P1868" s="12">
        <v>2917.0724559999999</v>
      </c>
    </row>
    <row r="1869" spans="1:16" ht="14.5" x14ac:dyDescent="0.25">
      <c r="A1869" s="10">
        <v>46020</v>
      </c>
      <c r="B1869" s="2" t="str">
        <f t="shared" si="58"/>
        <v>Dec-2025</v>
      </c>
      <c r="C1869" s="2" t="str">
        <f t="shared" si="59"/>
        <v>Q3</v>
      </c>
      <c r="D1869" s="2" t="s">
        <v>28</v>
      </c>
      <c r="E1869" s="11" t="s">
        <v>406</v>
      </c>
      <c r="F1869" s="11" t="s">
        <v>337</v>
      </c>
      <c r="G1869" s="11" t="s">
        <v>503</v>
      </c>
      <c r="H1869" s="11" t="s">
        <v>166</v>
      </c>
      <c r="I1869" s="12">
        <v>0.17</v>
      </c>
      <c r="J1869" s="12">
        <v>20</v>
      </c>
      <c r="K1869" s="12">
        <v>64.23</v>
      </c>
      <c r="L1869" s="12">
        <v>1284.5999999999999</v>
      </c>
      <c r="M1869" s="12">
        <v>-116.77</v>
      </c>
      <c r="N1869" s="12">
        <v>0</v>
      </c>
      <c r="O1869" s="12">
        <v>151.817925</v>
      </c>
      <c r="P1869" s="12">
        <v>1319.647925</v>
      </c>
    </row>
    <row r="1870" spans="1:16" ht="14.5" x14ac:dyDescent="0.25">
      <c r="A1870" s="10">
        <v>46020</v>
      </c>
      <c r="B1870" s="2" t="str">
        <f t="shared" si="58"/>
        <v>Dec-2025</v>
      </c>
      <c r="C1870" s="2" t="str">
        <f t="shared" si="59"/>
        <v>Q3</v>
      </c>
      <c r="D1870" s="2" t="s">
        <v>28</v>
      </c>
      <c r="E1870" s="11" t="s">
        <v>406</v>
      </c>
      <c r="F1870" s="11" t="s">
        <v>337</v>
      </c>
      <c r="G1870" s="11" t="s">
        <v>503</v>
      </c>
      <c r="H1870" s="11" t="s">
        <v>45</v>
      </c>
      <c r="I1870" s="12">
        <v>0.22</v>
      </c>
      <c r="J1870" s="12">
        <v>40</v>
      </c>
      <c r="K1870" s="12">
        <v>64.23</v>
      </c>
      <c r="L1870" s="12">
        <v>2569.1999999999998</v>
      </c>
      <c r="M1870" s="12">
        <v>-233.54</v>
      </c>
      <c r="N1870" s="12">
        <v>0</v>
      </c>
      <c r="O1870" s="12">
        <v>303.635851</v>
      </c>
      <c r="P1870" s="12">
        <v>2639.2958509999999</v>
      </c>
    </row>
    <row r="1871" spans="1:16" ht="14.5" x14ac:dyDescent="0.25">
      <c r="A1871" s="10">
        <v>46020</v>
      </c>
      <c r="B1871" s="2" t="str">
        <f t="shared" si="58"/>
        <v>Dec-2025</v>
      </c>
      <c r="C1871" s="2" t="str">
        <f t="shared" si="59"/>
        <v>Q3</v>
      </c>
      <c r="D1871" s="2" t="s">
        <v>28</v>
      </c>
      <c r="E1871" s="11" t="s">
        <v>406</v>
      </c>
      <c r="F1871" s="11" t="s">
        <v>337</v>
      </c>
      <c r="G1871" s="11" t="s">
        <v>505</v>
      </c>
      <c r="H1871" s="11" t="s">
        <v>167</v>
      </c>
      <c r="I1871" s="12">
        <v>0.17</v>
      </c>
      <c r="J1871" s="12">
        <v>30</v>
      </c>
      <c r="K1871" s="12">
        <v>91.27</v>
      </c>
      <c r="L1871" s="12">
        <v>2738.1</v>
      </c>
      <c r="M1871" s="12">
        <v>-248.89</v>
      </c>
      <c r="N1871" s="12">
        <v>0</v>
      </c>
      <c r="O1871" s="12">
        <v>323.59735400000005</v>
      </c>
      <c r="P1871" s="12">
        <v>2812.807354</v>
      </c>
    </row>
    <row r="1872" spans="1:16" ht="14.5" x14ac:dyDescent="0.25">
      <c r="A1872" s="10">
        <v>46020</v>
      </c>
      <c r="B1872" s="2" t="str">
        <f t="shared" si="58"/>
        <v>Dec-2025</v>
      </c>
      <c r="C1872" s="2" t="str">
        <f t="shared" si="59"/>
        <v>Q3</v>
      </c>
      <c r="D1872" s="2" t="s">
        <v>28</v>
      </c>
      <c r="E1872" s="11" t="s">
        <v>406</v>
      </c>
      <c r="F1872" s="11" t="s">
        <v>337</v>
      </c>
      <c r="G1872" s="11" t="s">
        <v>503</v>
      </c>
      <c r="H1872" s="11" t="s">
        <v>173</v>
      </c>
      <c r="I1872" s="12">
        <v>0.08</v>
      </c>
      <c r="J1872" s="12">
        <v>10</v>
      </c>
      <c r="K1872" s="12">
        <v>84.51</v>
      </c>
      <c r="L1872" s="12">
        <v>845.1</v>
      </c>
      <c r="M1872" s="12">
        <v>-76.819999999999993</v>
      </c>
      <c r="N1872" s="12">
        <v>0</v>
      </c>
      <c r="O1872" s="12">
        <v>99.876416999999989</v>
      </c>
      <c r="P1872" s="12">
        <v>868.15641700000003</v>
      </c>
    </row>
    <row r="1873" spans="1:16" ht="14.5" x14ac:dyDescent="0.25">
      <c r="A1873" s="10">
        <v>46020</v>
      </c>
      <c r="B1873" s="2" t="str">
        <f t="shared" si="58"/>
        <v>Dec-2025</v>
      </c>
      <c r="C1873" s="2" t="str">
        <f t="shared" si="59"/>
        <v>Q3</v>
      </c>
      <c r="D1873" s="2" t="s">
        <v>28</v>
      </c>
      <c r="E1873" s="11" t="s">
        <v>406</v>
      </c>
      <c r="F1873" s="11" t="s">
        <v>337</v>
      </c>
      <c r="G1873" s="11" t="s">
        <v>505</v>
      </c>
      <c r="H1873" s="11" t="s">
        <v>168</v>
      </c>
      <c r="I1873" s="12">
        <v>0.13</v>
      </c>
      <c r="J1873" s="12">
        <v>10</v>
      </c>
      <c r="K1873" s="12">
        <v>229.86</v>
      </c>
      <c r="L1873" s="12">
        <v>2298.6</v>
      </c>
      <c r="M1873" s="12">
        <v>-208.94</v>
      </c>
      <c r="N1873" s="12">
        <v>0</v>
      </c>
      <c r="O1873" s="12">
        <v>271.655846</v>
      </c>
      <c r="P1873" s="12">
        <v>2361.315846</v>
      </c>
    </row>
    <row r="1874" spans="1:16" ht="14.5" x14ac:dyDescent="0.25">
      <c r="A1874" s="10">
        <v>46020</v>
      </c>
      <c r="B1874" s="2" t="str">
        <f t="shared" si="58"/>
        <v>Dec-2025</v>
      </c>
      <c r="C1874" s="2" t="str">
        <f t="shared" si="59"/>
        <v>Q3</v>
      </c>
      <c r="D1874" s="2" t="s">
        <v>28</v>
      </c>
      <c r="E1874" s="11" t="s">
        <v>406</v>
      </c>
      <c r="F1874" s="11" t="s">
        <v>337</v>
      </c>
      <c r="G1874" s="11" t="s">
        <v>503</v>
      </c>
      <c r="H1874" s="11" t="s">
        <v>174</v>
      </c>
      <c r="I1874" s="12">
        <v>0.23</v>
      </c>
      <c r="J1874" s="12">
        <v>40</v>
      </c>
      <c r="K1874" s="12">
        <v>83.82</v>
      </c>
      <c r="L1874" s="12">
        <v>3352.9</v>
      </c>
      <c r="M1874" s="12">
        <v>-304.77999999999997</v>
      </c>
      <c r="N1874" s="12">
        <v>0</v>
      </c>
      <c r="O1874" s="12">
        <v>396.25566600000002</v>
      </c>
      <c r="P1874" s="12">
        <v>3444.3756659999999</v>
      </c>
    </row>
    <row r="1875" spans="1:16" ht="14.5" x14ac:dyDescent="0.25">
      <c r="A1875" s="10">
        <v>46020</v>
      </c>
      <c r="B1875" s="2" t="str">
        <f t="shared" si="58"/>
        <v>Dec-2025</v>
      </c>
      <c r="C1875" s="2" t="str">
        <f t="shared" si="59"/>
        <v>Q3</v>
      </c>
      <c r="D1875" s="2" t="s">
        <v>28</v>
      </c>
      <c r="E1875" s="11" t="s">
        <v>406</v>
      </c>
      <c r="F1875" s="11" t="s">
        <v>337</v>
      </c>
      <c r="G1875" s="11" t="s">
        <v>503</v>
      </c>
      <c r="H1875" s="11" t="s">
        <v>171</v>
      </c>
      <c r="I1875" s="12">
        <v>0.25</v>
      </c>
      <c r="J1875" s="12">
        <v>20</v>
      </c>
      <c r="K1875" s="12">
        <v>155.49</v>
      </c>
      <c r="L1875" s="12">
        <v>3109.7999999999997</v>
      </c>
      <c r="M1875" s="12">
        <v>-282.68</v>
      </c>
      <c r="N1875" s="12">
        <v>0</v>
      </c>
      <c r="O1875" s="12">
        <v>367.52566200000001</v>
      </c>
      <c r="P1875" s="12">
        <v>3194.6456619999999</v>
      </c>
    </row>
    <row r="1876" spans="1:16" ht="14.5" x14ac:dyDescent="0.25">
      <c r="A1876" s="10">
        <v>46021</v>
      </c>
      <c r="B1876" s="2" t="str">
        <f t="shared" si="58"/>
        <v>Dec-2025</v>
      </c>
      <c r="C1876" s="2" t="str">
        <f t="shared" si="59"/>
        <v>Q3</v>
      </c>
      <c r="D1876" s="2" t="s">
        <v>28</v>
      </c>
      <c r="E1876" s="11" t="s">
        <v>407</v>
      </c>
      <c r="F1876" s="11" t="s">
        <v>21</v>
      </c>
      <c r="G1876" s="11" t="s">
        <v>506</v>
      </c>
      <c r="H1876" s="11" t="s">
        <v>58</v>
      </c>
      <c r="I1876" s="12">
        <v>1.33</v>
      </c>
      <c r="J1876" s="12">
        <v>96</v>
      </c>
      <c r="K1876" s="12">
        <v>140.18</v>
      </c>
      <c r="L1876" s="12">
        <v>13457.28</v>
      </c>
      <c r="M1876" s="12">
        <v>0</v>
      </c>
      <c r="N1876" s="12">
        <v>0</v>
      </c>
      <c r="O1876" s="12">
        <v>1749.4488939999999</v>
      </c>
      <c r="P1876" s="12">
        <v>15206.728894</v>
      </c>
    </row>
    <row r="1877" spans="1:16" ht="14.5" x14ac:dyDescent="0.25">
      <c r="A1877" s="10">
        <v>46021</v>
      </c>
      <c r="B1877" s="2" t="str">
        <f t="shared" si="58"/>
        <v>Dec-2025</v>
      </c>
      <c r="C1877" s="2" t="str">
        <f t="shared" si="59"/>
        <v>Q3</v>
      </c>
      <c r="D1877" s="2" t="s">
        <v>28</v>
      </c>
      <c r="E1877" s="11" t="s">
        <v>407</v>
      </c>
      <c r="F1877" s="11" t="s">
        <v>21</v>
      </c>
      <c r="G1877" s="11" t="s">
        <v>506</v>
      </c>
      <c r="H1877" s="11" t="s">
        <v>39</v>
      </c>
      <c r="I1877" s="12">
        <v>0.67</v>
      </c>
      <c r="J1877" s="12">
        <v>48</v>
      </c>
      <c r="K1877" s="12">
        <v>124.25</v>
      </c>
      <c r="L1877" s="12">
        <v>5964</v>
      </c>
      <c r="M1877" s="12">
        <v>0</v>
      </c>
      <c r="N1877" s="12">
        <v>0</v>
      </c>
      <c r="O1877" s="12">
        <v>775.3211060000001</v>
      </c>
      <c r="P1877" s="12">
        <v>6739.3211060000003</v>
      </c>
    </row>
    <row r="1878" spans="1:16" ht="14.5" x14ac:dyDescent="0.25">
      <c r="A1878" s="10">
        <v>46021</v>
      </c>
      <c r="B1878" s="2" t="str">
        <f t="shared" si="58"/>
        <v>Dec-2025</v>
      </c>
      <c r="C1878" s="2" t="str">
        <f t="shared" si="59"/>
        <v>Q3</v>
      </c>
      <c r="D1878" s="2" t="s">
        <v>28</v>
      </c>
      <c r="E1878" s="11" t="s">
        <v>408</v>
      </c>
      <c r="F1878" s="11" t="s">
        <v>337</v>
      </c>
      <c r="G1878" s="11" t="s">
        <v>505</v>
      </c>
      <c r="H1878" s="11" t="s">
        <v>40</v>
      </c>
      <c r="I1878" s="12">
        <v>0.17</v>
      </c>
      <c r="J1878" s="12">
        <v>30</v>
      </c>
      <c r="K1878" s="12">
        <v>94.65</v>
      </c>
      <c r="L1878" s="12">
        <v>2839.5</v>
      </c>
      <c r="M1878" s="12">
        <v>-258.11</v>
      </c>
      <c r="N1878" s="12">
        <v>0</v>
      </c>
      <c r="O1878" s="12">
        <v>335.58</v>
      </c>
      <c r="P1878" s="12">
        <v>2916.97</v>
      </c>
    </row>
    <row r="1879" spans="1:16" ht="14.5" x14ac:dyDescent="0.25">
      <c r="A1879" s="10">
        <v>46021</v>
      </c>
      <c r="B1879" s="2" t="str">
        <f t="shared" si="58"/>
        <v>Dec-2025</v>
      </c>
      <c r="C1879" s="2" t="str">
        <f t="shared" si="59"/>
        <v>Q3</v>
      </c>
      <c r="D1879" s="2" t="s">
        <v>28</v>
      </c>
      <c r="E1879" s="11" t="s">
        <v>409</v>
      </c>
      <c r="F1879" s="11" t="s">
        <v>38</v>
      </c>
      <c r="G1879" s="11" t="s">
        <v>503</v>
      </c>
      <c r="H1879" s="11" t="s">
        <v>179</v>
      </c>
      <c r="I1879" s="12">
        <v>0.01</v>
      </c>
      <c r="J1879" s="12">
        <v>1</v>
      </c>
      <c r="K1879" s="12">
        <v>128.44999999999999</v>
      </c>
      <c r="L1879" s="12">
        <v>128.44999999999999</v>
      </c>
      <c r="M1879" s="12">
        <v>-11.68</v>
      </c>
      <c r="N1879" s="12">
        <v>0</v>
      </c>
      <c r="O1879" s="12">
        <v>15.180720000000001</v>
      </c>
      <c r="P1879" s="12">
        <v>131.95071999999999</v>
      </c>
    </row>
    <row r="1880" spans="1:16" ht="14.5" x14ac:dyDescent="0.25">
      <c r="A1880" s="10">
        <v>46021</v>
      </c>
      <c r="B1880" s="2" t="str">
        <f t="shared" si="58"/>
        <v>Dec-2025</v>
      </c>
      <c r="C1880" s="2" t="str">
        <f t="shared" si="59"/>
        <v>Q3</v>
      </c>
      <c r="D1880" s="2" t="s">
        <v>28</v>
      </c>
      <c r="E1880" s="11" t="s">
        <v>409</v>
      </c>
      <c r="F1880" s="11" t="s">
        <v>38</v>
      </c>
      <c r="G1880" s="11" t="s">
        <v>503</v>
      </c>
      <c r="H1880" s="11" t="s">
        <v>63</v>
      </c>
      <c r="I1880" s="12">
        <v>0.01</v>
      </c>
      <c r="J1880" s="12">
        <v>1</v>
      </c>
      <c r="K1880" s="12">
        <v>185.92</v>
      </c>
      <c r="L1880" s="12">
        <v>185.92</v>
      </c>
      <c r="M1880" s="12">
        <v>-16.899999999999999</v>
      </c>
      <c r="N1880" s="12">
        <v>0</v>
      </c>
      <c r="O1880" s="12">
        <v>21.973496999999998</v>
      </c>
      <c r="P1880" s="12">
        <v>190.99349699999999</v>
      </c>
    </row>
    <row r="1881" spans="1:16" ht="14.5" x14ac:dyDescent="0.25">
      <c r="A1881" s="10">
        <v>46021</v>
      </c>
      <c r="B1881" s="2" t="str">
        <f t="shared" si="58"/>
        <v>Dec-2025</v>
      </c>
      <c r="C1881" s="2" t="str">
        <f t="shared" si="59"/>
        <v>Q3</v>
      </c>
      <c r="D1881" s="2" t="s">
        <v>28</v>
      </c>
      <c r="E1881" s="11" t="s">
        <v>409</v>
      </c>
      <c r="F1881" s="11" t="s">
        <v>38</v>
      </c>
      <c r="G1881" s="11" t="s">
        <v>503</v>
      </c>
      <c r="H1881" s="11" t="s">
        <v>176</v>
      </c>
      <c r="I1881" s="12">
        <v>0.01</v>
      </c>
      <c r="J1881" s="12">
        <v>1</v>
      </c>
      <c r="K1881" s="12">
        <v>162.25</v>
      </c>
      <c r="L1881" s="12">
        <v>162.25</v>
      </c>
      <c r="M1881" s="12">
        <v>-14.75</v>
      </c>
      <c r="N1881" s="12">
        <v>0</v>
      </c>
      <c r="O1881" s="12">
        <v>19.175782999999999</v>
      </c>
      <c r="P1881" s="12">
        <v>166.675783</v>
      </c>
    </row>
    <row r="1882" spans="1:16" ht="14.5" x14ac:dyDescent="0.25">
      <c r="A1882" s="10">
        <v>46022</v>
      </c>
      <c r="B1882" s="2" t="str">
        <f t="shared" si="58"/>
        <v>Dec-2025</v>
      </c>
      <c r="C1882" s="2" t="str">
        <f t="shared" si="59"/>
        <v>Q3</v>
      </c>
      <c r="D1882" s="2" t="s">
        <v>28</v>
      </c>
      <c r="E1882" s="11" t="s">
        <v>410</v>
      </c>
      <c r="F1882" s="11" t="s">
        <v>411</v>
      </c>
      <c r="G1882" s="11" t="s">
        <v>504</v>
      </c>
      <c r="H1882" s="11" t="s">
        <v>61</v>
      </c>
      <c r="I1882" s="12">
        <v>5</v>
      </c>
      <c r="J1882" s="12">
        <v>200</v>
      </c>
      <c r="K1882" s="12">
        <v>330</v>
      </c>
      <c r="L1882" s="12">
        <v>66000</v>
      </c>
      <c r="M1882" s="12" t="s">
        <v>113</v>
      </c>
      <c r="N1882" s="12" t="s">
        <v>113</v>
      </c>
      <c r="O1882" s="12" t="s">
        <v>113</v>
      </c>
      <c r="P1882" s="12">
        <v>66000</v>
      </c>
    </row>
    <row r="1883" spans="1:16" ht="14.5" x14ac:dyDescent="0.25">
      <c r="A1883" s="10">
        <v>46022</v>
      </c>
      <c r="B1883" s="2" t="str">
        <f t="shared" si="58"/>
        <v>Dec-2025</v>
      </c>
      <c r="C1883" s="2" t="str">
        <f t="shared" si="59"/>
        <v>Q3</v>
      </c>
      <c r="D1883" s="2" t="s">
        <v>28</v>
      </c>
      <c r="E1883" s="11" t="s">
        <v>410</v>
      </c>
      <c r="F1883" s="11" t="s">
        <v>411</v>
      </c>
      <c r="G1883" s="11" t="s">
        <v>504</v>
      </c>
      <c r="H1883" s="11" t="s">
        <v>53</v>
      </c>
      <c r="I1883" s="12">
        <v>4</v>
      </c>
      <c r="J1883" s="12">
        <v>400</v>
      </c>
      <c r="K1883" s="12">
        <v>135</v>
      </c>
      <c r="L1883" s="12">
        <v>54000.000000000007</v>
      </c>
      <c r="M1883" s="12" t="s">
        <v>113</v>
      </c>
      <c r="N1883" s="12" t="s">
        <v>113</v>
      </c>
      <c r="O1883" s="12" t="s">
        <v>113</v>
      </c>
      <c r="P1883" s="12">
        <v>54000</v>
      </c>
    </row>
    <row r="1884" spans="1:16" ht="14.5" x14ac:dyDescent="0.25">
      <c r="A1884" s="10">
        <v>46022</v>
      </c>
      <c r="B1884" s="2" t="str">
        <f t="shared" si="58"/>
        <v>Dec-2025</v>
      </c>
      <c r="C1884" s="2" t="str">
        <f t="shared" si="59"/>
        <v>Q3</v>
      </c>
      <c r="D1884" s="2" t="s">
        <v>28</v>
      </c>
      <c r="E1884" s="11" t="s">
        <v>412</v>
      </c>
      <c r="F1884" s="11" t="s">
        <v>411</v>
      </c>
      <c r="G1884" s="11" t="s">
        <v>503</v>
      </c>
      <c r="H1884" s="11" t="s">
        <v>63</v>
      </c>
      <c r="I1884" s="12">
        <v>1</v>
      </c>
      <c r="J1884" s="12">
        <v>80</v>
      </c>
      <c r="K1884" s="12">
        <v>182.52</v>
      </c>
      <c r="L1884" s="12">
        <v>14601.6</v>
      </c>
      <c r="M1884" s="12">
        <v>0</v>
      </c>
      <c r="N1884" s="12">
        <v>0</v>
      </c>
      <c r="O1884" s="12">
        <v>1898.2081209999999</v>
      </c>
      <c r="P1884" s="12">
        <v>16499.808120999998</v>
      </c>
    </row>
    <row r="1885" spans="1:16" ht="14.5" x14ac:dyDescent="0.25">
      <c r="A1885" s="10">
        <v>46022</v>
      </c>
      <c r="B1885" s="2" t="str">
        <f t="shared" si="58"/>
        <v>Dec-2025</v>
      </c>
      <c r="C1885" s="2" t="str">
        <f t="shared" si="59"/>
        <v>Q3</v>
      </c>
      <c r="D1885" s="2" t="s">
        <v>28</v>
      </c>
      <c r="E1885" s="11" t="s">
        <v>412</v>
      </c>
      <c r="F1885" s="11" t="s">
        <v>411</v>
      </c>
      <c r="G1885" s="11" t="s">
        <v>503</v>
      </c>
      <c r="H1885" s="11" t="s">
        <v>87</v>
      </c>
      <c r="I1885" s="12">
        <v>3</v>
      </c>
      <c r="J1885" s="12">
        <v>540</v>
      </c>
      <c r="K1885" s="12">
        <v>112.83</v>
      </c>
      <c r="L1885" s="12">
        <v>60928.2</v>
      </c>
      <c r="M1885" s="12">
        <v>0</v>
      </c>
      <c r="N1885" s="12">
        <v>0</v>
      </c>
      <c r="O1885" s="12">
        <v>7920.6665060000005</v>
      </c>
      <c r="P1885" s="12">
        <v>68848.866506000006</v>
      </c>
    </row>
    <row r="1886" spans="1:16" ht="14.5" x14ac:dyDescent="0.25">
      <c r="A1886" s="10">
        <v>46022</v>
      </c>
      <c r="B1886" s="2" t="str">
        <f t="shared" si="58"/>
        <v>Dec-2025</v>
      </c>
      <c r="C1886" s="2" t="str">
        <f t="shared" si="59"/>
        <v>Q3</v>
      </c>
      <c r="D1886" s="2" t="s">
        <v>28</v>
      </c>
      <c r="E1886" s="11" t="s">
        <v>412</v>
      </c>
      <c r="F1886" s="11" t="s">
        <v>411</v>
      </c>
      <c r="G1886" s="11" t="s">
        <v>504</v>
      </c>
      <c r="H1886" s="11" t="s">
        <v>67</v>
      </c>
      <c r="I1886" s="12">
        <v>5</v>
      </c>
      <c r="J1886" s="12">
        <v>200</v>
      </c>
      <c r="K1886" s="12">
        <v>386.28</v>
      </c>
      <c r="L1886" s="12">
        <v>77256</v>
      </c>
      <c r="M1886" s="12">
        <v>0</v>
      </c>
      <c r="N1886" s="12">
        <v>0</v>
      </c>
      <c r="O1886" s="12">
        <v>10043.280642</v>
      </c>
      <c r="P1886" s="12">
        <v>87299.280641999998</v>
      </c>
    </row>
    <row r="1887" spans="1:16" ht="14.5" x14ac:dyDescent="0.25">
      <c r="A1887" s="10">
        <v>46022</v>
      </c>
      <c r="B1887" s="2" t="str">
        <f t="shared" si="58"/>
        <v>Dec-2025</v>
      </c>
      <c r="C1887" s="2" t="str">
        <f t="shared" si="59"/>
        <v>Q3</v>
      </c>
      <c r="D1887" s="2" t="s">
        <v>28</v>
      </c>
      <c r="E1887" s="11" t="s">
        <v>412</v>
      </c>
      <c r="F1887" s="11" t="s">
        <v>411</v>
      </c>
      <c r="G1887" s="11" t="s">
        <v>503</v>
      </c>
      <c r="H1887" s="11" t="s">
        <v>180</v>
      </c>
      <c r="I1887" s="12">
        <v>1</v>
      </c>
      <c r="J1887" s="12">
        <v>80</v>
      </c>
      <c r="K1887" s="12">
        <v>139.38</v>
      </c>
      <c r="L1887" s="12">
        <v>11150.4</v>
      </c>
      <c r="M1887" s="12">
        <v>0</v>
      </c>
      <c r="N1887" s="12">
        <v>0</v>
      </c>
      <c r="O1887" s="12">
        <v>1449.552093</v>
      </c>
      <c r="P1887" s="12">
        <v>12599.952093</v>
      </c>
    </row>
    <row r="1888" spans="1:16" ht="14.5" x14ac:dyDescent="0.25">
      <c r="A1888" s="10">
        <v>46022</v>
      </c>
      <c r="B1888" s="2" t="str">
        <f t="shared" si="58"/>
        <v>Dec-2025</v>
      </c>
      <c r="C1888" s="2" t="str">
        <f t="shared" si="59"/>
        <v>Q3</v>
      </c>
      <c r="D1888" s="2" t="s">
        <v>28</v>
      </c>
      <c r="E1888" s="11" t="s">
        <v>412</v>
      </c>
      <c r="F1888" s="11" t="s">
        <v>411</v>
      </c>
      <c r="G1888" s="11" t="s">
        <v>503</v>
      </c>
      <c r="H1888" s="11" t="s">
        <v>41</v>
      </c>
      <c r="I1888" s="12">
        <v>3</v>
      </c>
      <c r="J1888" s="12">
        <v>540</v>
      </c>
      <c r="K1888" s="12">
        <v>59.73</v>
      </c>
      <c r="L1888" s="12">
        <v>32254.2</v>
      </c>
      <c r="M1888" s="12">
        <v>0</v>
      </c>
      <c r="N1888" s="12">
        <v>0</v>
      </c>
      <c r="O1888" s="12">
        <v>4193.0462680000001</v>
      </c>
      <c r="P1888" s="12">
        <v>36447.246268000003</v>
      </c>
    </row>
    <row r="1889" spans="1:16" ht="14.5" x14ac:dyDescent="0.25">
      <c r="A1889" s="10">
        <v>46022</v>
      </c>
      <c r="B1889" s="2" t="str">
        <f t="shared" si="58"/>
        <v>Dec-2025</v>
      </c>
      <c r="C1889" s="2" t="str">
        <f t="shared" si="59"/>
        <v>Q3</v>
      </c>
      <c r="D1889" s="2" t="s">
        <v>28</v>
      </c>
      <c r="E1889" s="11" t="s">
        <v>412</v>
      </c>
      <c r="F1889" s="11" t="s">
        <v>411</v>
      </c>
      <c r="G1889" s="11" t="s">
        <v>505</v>
      </c>
      <c r="H1889" s="11" t="s">
        <v>168</v>
      </c>
      <c r="I1889" s="12">
        <v>1</v>
      </c>
      <c r="J1889" s="12">
        <v>80</v>
      </c>
      <c r="K1889" s="12">
        <v>225.66</v>
      </c>
      <c r="L1889" s="12">
        <v>18052.8</v>
      </c>
      <c r="M1889" s="12">
        <v>0</v>
      </c>
      <c r="N1889" s="12">
        <v>0</v>
      </c>
      <c r="O1889" s="12">
        <v>2346.8641499999999</v>
      </c>
      <c r="P1889" s="12">
        <v>20399.664150000001</v>
      </c>
    </row>
    <row r="1890" spans="1:16" ht="14.5" x14ac:dyDescent="0.25">
      <c r="A1890" s="10">
        <v>46022</v>
      </c>
      <c r="B1890" s="2" t="str">
        <f t="shared" si="58"/>
        <v>Dec-2025</v>
      </c>
      <c r="C1890" s="2" t="str">
        <f t="shared" si="59"/>
        <v>Q3</v>
      </c>
      <c r="D1890" s="2" t="s">
        <v>28</v>
      </c>
      <c r="E1890" s="11" t="s">
        <v>412</v>
      </c>
      <c r="F1890" s="11" t="s">
        <v>411</v>
      </c>
      <c r="G1890" s="11" t="s">
        <v>503</v>
      </c>
      <c r="H1890" s="11" t="s">
        <v>175</v>
      </c>
      <c r="I1890" s="12">
        <v>1</v>
      </c>
      <c r="J1890" s="12">
        <v>120</v>
      </c>
      <c r="K1890" s="12">
        <v>76.33</v>
      </c>
      <c r="L1890" s="12">
        <v>9159.6</v>
      </c>
      <c r="M1890" s="12">
        <v>0</v>
      </c>
      <c r="N1890" s="12">
        <v>0</v>
      </c>
      <c r="O1890" s="12">
        <v>1190.7480760000001</v>
      </c>
      <c r="P1890" s="12">
        <v>10350.348076</v>
      </c>
    </row>
    <row r="1891" spans="1:16" ht="14.5" x14ac:dyDescent="0.25">
      <c r="A1891" s="10">
        <v>46022</v>
      </c>
      <c r="B1891" s="2" t="str">
        <f t="shared" ref="B1891:B1954" si="60">+TEXT(A1891,"MMM-yyy")</f>
        <v>Dec-2025</v>
      </c>
      <c r="C1891" s="2" t="str">
        <f t="shared" ref="C1891:C1954" si="61">"Q" &amp; CHOOSE(MONTH(A1891),4,4,4,1,1,1,2,2,2,3,3,3)</f>
        <v>Q3</v>
      </c>
      <c r="D1891" s="2" t="s">
        <v>28</v>
      </c>
      <c r="E1891" s="11" t="s">
        <v>412</v>
      </c>
      <c r="F1891" s="11" t="s">
        <v>411</v>
      </c>
      <c r="G1891" s="11" t="s">
        <v>505</v>
      </c>
      <c r="H1891" s="11" t="s">
        <v>62</v>
      </c>
      <c r="I1891" s="12">
        <v>1</v>
      </c>
      <c r="J1891" s="12">
        <v>40</v>
      </c>
      <c r="K1891" s="12">
        <v>431.42</v>
      </c>
      <c r="L1891" s="12">
        <v>17256.8</v>
      </c>
      <c r="M1891" s="12">
        <v>0</v>
      </c>
      <c r="N1891" s="12">
        <v>0</v>
      </c>
      <c r="O1891" s="12">
        <v>2243.3841430000002</v>
      </c>
      <c r="P1891" s="12">
        <v>19500.184142999999</v>
      </c>
    </row>
    <row r="1892" spans="1:16" ht="14.5" x14ac:dyDescent="0.25">
      <c r="A1892" s="10">
        <v>46022</v>
      </c>
      <c r="B1892" s="2" t="str">
        <f t="shared" si="60"/>
        <v>Dec-2025</v>
      </c>
      <c r="C1892" s="2" t="str">
        <f t="shared" si="61"/>
        <v>Q3</v>
      </c>
      <c r="D1892" s="2" t="s">
        <v>28</v>
      </c>
      <c r="E1892" s="11" t="s">
        <v>413</v>
      </c>
      <c r="F1892" s="11" t="s">
        <v>411</v>
      </c>
      <c r="G1892" s="11" t="s">
        <v>508</v>
      </c>
      <c r="H1892" s="11" t="s">
        <v>178</v>
      </c>
      <c r="I1892" s="12">
        <v>5</v>
      </c>
      <c r="J1892" s="12">
        <v>300</v>
      </c>
      <c r="K1892" s="12">
        <v>146.02000000000001</v>
      </c>
      <c r="L1892" s="12">
        <v>43805.999999999993</v>
      </c>
      <c r="M1892" s="12">
        <v>0</v>
      </c>
      <c r="N1892" s="12">
        <v>0</v>
      </c>
      <c r="O1892" s="12">
        <v>5694.7801340000005</v>
      </c>
      <c r="P1892" s="12">
        <v>49500.780134000001</v>
      </c>
    </row>
    <row r="1893" spans="1:16" ht="14.5" x14ac:dyDescent="0.25">
      <c r="A1893" s="10">
        <v>46022</v>
      </c>
      <c r="B1893" s="2" t="str">
        <f t="shared" si="60"/>
        <v>Dec-2025</v>
      </c>
      <c r="C1893" s="2" t="str">
        <f t="shared" si="61"/>
        <v>Q3</v>
      </c>
      <c r="D1893" s="2" t="s">
        <v>28</v>
      </c>
      <c r="E1893" s="11" t="s">
        <v>413</v>
      </c>
      <c r="F1893" s="11" t="s">
        <v>411</v>
      </c>
      <c r="G1893" s="11" t="s">
        <v>503</v>
      </c>
      <c r="H1893" s="11" t="s">
        <v>179</v>
      </c>
      <c r="I1893" s="12">
        <v>2</v>
      </c>
      <c r="J1893" s="12">
        <v>360</v>
      </c>
      <c r="K1893" s="12">
        <v>126.11</v>
      </c>
      <c r="L1893" s="12">
        <v>45399.6</v>
      </c>
      <c r="M1893" s="12">
        <v>0</v>
      </c>
      <c r="N1893" s="12">
        <v>0</v>
      </c>
      <c r="O1893" s="12">
        <v>5901.9481389999992</v>
      </c>
      <c r="P1893" s="12">
        <v>51301.548138999999</v>
      </c>
    </row>
    <row r="1894" spans="1:16" ht="14.5" x14ac:dyDescent="0.25">
      <c r="A1894" s="10">
        <v>46022</v>
      </c>
      <c r="B1894" s="2" t="str">
        <f t="shared" si="60"/>
        <v>Dec-2025</v>
      </c>
      <c r="C1894" s="2" t="str">
        <f t="shared" si="61"/>
        <v>Q3</v>
      </c>
      <c r="D1894" s="2" t="s">
        <v>28</v>
      </c>
      <c r="E1894" s="11" t="s">
        <v>413</v>
      </c>
      <c r="F1894" s="11" t="s">
        <v>411</v>
      </c>
      <c r="G1894" s="11" t="s">
        <v>506</v>
      </c>
      <c r="H1894" s="11" t="s">
        <v>58</v>
      </c>
      <c r="I1894" s="12">
        <v>3</v>
      </c>
      <c r="J1894" s="12">
        <v>216</v>
      </c>
      <c r="K1894" s="12">
        <v>146.02000000000001</v>
      </c>
      <c r="L1894" s="12">
        <v>31540.32</v>
      </c>
      <c r="M1894" s="12">
        <v>0</v>
      </c>
      <c r="N1894" s="12">
        <v>0</v>
      </c>
      <c r="O1894" s="12">
        <v>4100.2416970000004</v>
      </c>
      <c r="P1894" s="12">
        <v>35640.561696999997</v>
      </c>
    </row>
    <row r="1895" spans="1:16" ht="14.5" x14ac:dyDescent="0.25">
      <c r="A1895" s="10">
        <v>46022</v>
      </c>
      <c r="B1895" s="2" t="str">
        <f t="shared" si="60"/>
        <v>Dec-2025</v>
      </c>
      <c r="C1895" s="2" t="str">
        <f t="shared" si="61"/>
        <v>Q3</v>
      </c>
      <c r="D1895" s="2" t="s">
        <v>28</v>
      </c>
      <c r="E1895" s="11" t="s">
        <v>413</v>
      </c>
      <c r="F1895" s="11" t="s">
        <v>411</v>
      </c>
      <c r="G1895" s="11" t="s">
        <v>506</v>
      </c>
      <c r="H1895" s="11" t="s">
        <v>181</v>
      </c>
      <c r="I1895" s="12">
        <v>1</v>
      </c>
      <c r="J1895" s="12">
        <v>100</v>
      </c>
      <c r="K1895" s="12">
        <v>96.24</v>
      </c>
      <c r="L1895" s="12">
        <v>9624</v>
      </c>
      <c r="M1895" s="12">
        <v>0</v>
      </c>
      <c r="N1895" s="12">
        <v>0</v>
      </c>
      <c r="O1895" s="12">
        <v>1251.12003</v>
      </c>
      <c r="P1895" s="12">
        <v>10875.12003</v>
      </c>
    </row>
    <row r="1896" spans="1:16" ht="14.5" x14ac:dyDescent="0.25">
      <c r="A1896" s="10">
        <v>46022</v>
      </c>
      <c r="B1896" s="2" t="str">
        <f t="shared" si="60"/>
        <v>Dec-2025</v>
      </c>
      <c r="C1896" s="2" t="str">
        <f t="shared" si="61"/>
        <v>Q3</v>
      </c>
      <c r="D1896" s="2" t="s">
        <v>28</v>
      </c>
      <c r="E1896" s="11" t="s">
        <v>413</v>
      </c>
      <c r="F1896" s="11" t="s">
        <v>411</v>
      </c>
      <c r="G1896" s="11" t="s">
        <v>505</v>
      </c>
      <c r="H1896" s="11" t="s">
        <v>40</v>
      </c>
      <c r="I1896" s="12">
        <v>5</v>
      </c>
      <c r="J1896" s="12">
        <v>900</v>
      </c>
      <c r="K1896" s="12">
        <v>79.650000000000006</v>
      </c>
      <c r="L1896" s="12">
        <v>71685</v>
      </c>
      <c r="M1896" s="12">
        <v>0</v>
      </c>
      <c r="N1896" s="12">
        <v>0</v>
      </c>
      <c r="O1896" s="12">
        <v>9319.050220000001</v>
      </c>
      <c r="P1896" s="12">
        <v>81004.050220000005</v>
      </c>
    </row>
    <row r="1897" spans="1:16" ht="14.5" x14ac:dyDescent="0.25">
      <c r="A1897" s="10">
        <v>46022</v>
      </c>
      <c r="B1897" s="2" t="str">
        <f t="shared" si="60"/>
        <v>Dec-2025</v>
      </c>
      <c r="C1897" s="2" t="str">
        <f t="shared" si="61"/>
        <v>Q3</v>
      </c>
      <c r="D1897" s="2" t="s">
        <v>28</v>
      </c>
      <c r="E1897" s="11" t="s">
        <v>413</v>
      </c>
      <c r="F1897" s="11" t="s">
        <v>411</v>
      </c>
      <c r="G1897" s="11" t="s">
        <v>503</v>
      </c>
      <c r="H1897" s="11" t="s">
        <v>44</v>
      </c>
      <c r="I1897" s="12">
        <v>2</v>
      </c>
      <c r="J1897" s="12">
        <v>360</v>
      </c>
      <c r="K1897" s="12">
        <v>152.65</v>
      </c>
      <c r="L1897" s="12">
        <v>54954</v>
      </c>
      <c r="M1897" s="12">
        <v>0</v>
      </c>
      <c r="N1897" s="12">
        <v>0</v>
      </c>
      <c r="O1897" s="12">
        <v>7144.020168</v>
      </c>
      <c r="P1897" s="12">
        <v>62098.020168000003</v>
      </c>
    </row>
    <row r="1898" spans="1:16" ht="14.5" x14ac:dyDescent="0.25">
      <c r="A1898" s="10">
        <v>46022</v>
      </c>
      <c r="B1898" s="2" t="str">
        <f t="shared" si="60"/>
        <v>Dec-2025</v>
      </c>
      <c r="C1898" s="2" t="str">
        <f t="shared" si="61"/>
        <v>Q3</v>
      </c>
      <c r="D1898" s="2" t="s">
        <v>28</v>
      </c>
      <c r="E1898" s="11" t="s">
        <v>413</v>
      </c>
      <c r="F1898" s="11" t="s">
        <v>411</v>
      </c>
      <c r="G1898" s="11" t="s">
        <v>503</v>
      </c>
      <c r="H1898" s="11" t="s">
        <v>57</v>
      </c>
      <c r="I1898" s="12">
        <v>5</v>
      </c>
      <c r="J1898" s="12">
        <v>900</v>
      </c>
      <c r="K1898" s="12">
        <v>116.15</v>
      </c>
      <c r="L1898" s="12">
        <v>104535</v>
      </c>
      <c r="M1898" s="12">
        <v>0</v>
      </c>
      <c r="N1898" s="12">
        <v>0</v>
      </c>
      <c r="O1898" s="12">
        <v>13589.550321000001</v>
      </c>
      <c r="P1898" s="12">
        <v>118124.550321</v>
      </c>
    </row>
    <row r="1899" spans="1:16" ht="14.5" x14ac:dyDescent="0.25">
      <c r="A1899" s="10">
        <v>46022</v>
      </c>
      <c r="B1899" s="2" t="str">
        <f t="shared" si="60"/>
        <v>Dec-2025</v>
      </c>
      <c r="C1899" s="2" t="str">
        <f t="shared" si="61"/>
        <v>Q3</v>
      </c>
      <c r="D1899" s="2" t="s">
        <v>28</v>
      </c>
      <c r="E1899" s="11" t="s">
        <v>413</v>
      </c>
      <c r="F1899" s="11" t="s">
        <v>411</v>
      </c>
      <c r="G1899" s="11" t="s">
        <v>503</v>
      </c>
      <c r="H1899" s="11" t="s">
        <v>89</v>
      </c>
      <c r="I1899" s="12">
        <v>3</v>
      </c>
      <c r="J1899" s="12">
        <v>360</v>
      </c>
      <c r="K1899" s="12">
        <v>112.83</v>
      </c>
      <c r="L1899" s="12">
        <v>40618.799999999996</v>
      </c>
      <c r="M1899" s="12">
        <v>0</v>
      </c>
      <c r="N1899" s="12">
        <v>0</v>
      </c>
      <c r="O1899" s="12">
        <v>5280.444125</v>
      </c>
      <c r="P1899" s="12">
        <v>45899.244124999997</v>
      </c>
    </row>
    <row r="1900" spans="1:16" ht="14.5" x14ac:dyDescent="0.25">
      <c r="A1900" s="10">
        <v>46022</v>
      </c>
      <c r="B1900" s="2" t="str">
        <f t="shared" si="60"/>
        <v>Dec-2025</v>
      </c>
      <c r="C1900" s="2" t="str">
        <f t="shared" si="61"/>
        <v>Q3</v>
      </c>
      <c r="D1900" s="2" t="s">
        <v>28</v>
      </c>
      <c r="E1900" s="11" t="s">
        <v>413</v>
      </c>
      <c r="F1900" s="11" t="s">
        <v>411</v>
      </c>
      <c r="G1900" s="11" t="s">
        <v>503</v>
      </c>
      <c r="H1900" s="11" t="s">
        <v>173</v>
      </c>
      <c r="I1900" s="12">
        <v>2</v>
      </c>
      <c r="J1900" s="12">
        <v>240</v>
      </c>
      <c r="K1900" s="12">
        <v>82.96</v>
      </c>
      <c r="L1900" s="12">
        <v>19910.400000000001</v>
      </c>
      <c r="M1900" s="12">
        <v>0</v>
      </c>
      <c r="N1900" s="12">
        <v>0</v>
      </c>
      <c r="O1900" s="12">
        <v>2588.352061</v>
      </c>
      <c r="P1900" s="12">
        <v>22498.752060999999</v>
      </c>
    </row>
    <row r="1901" spans="1:16" ht="14.5" x14ac:dyDescent="0.25">
      <c r="A1901" s="10">
        <v>46022</v>
      </c>
      <c r="B1901" s="2" t="str">
        <f t="shared" si="60"/>
        <v>Dec-2025</v>
      </c>
      <c r="C1901" s="2" t="str">
        <f t="shared" si="61"/>
        <v>Q3</v>
      </c>
      <c r="D1901" s="2" t="s">
        <v>28</v>
      </c>
      <c r="E1901" s="11" t="s">
        <v>413</v>
      </c>
      <c r="F1901" s="11" t="s">
        <v>411</v>
      </c>
      <c r="G1901" s="11" t="s">
        <v>503</v>
      </c>
      <c r="H1901" s="11" t="s">
        <v>170</v>
      </c>
      <c r="I1901" s="12">
        <v>1</v>
      </c>
      <c r="J1901" s="12">
        <v>80</v>
      </c>
      <c r="K1901" s="12">
        <v>165.93</v>
      </c>
      <c r="L1901" s="12">
        <v>13274.4</v>
      </c>
      <c r="M1901" s="12">
        <v>0</v>
      </c>
      <c r="N1901" s="12">
        <v>0</v>
      </c>
      <c r="O1901" s="12">
        <v>1725.672041</v>
      </c>
      <c r="P1901" s="12">
        <v>15000.072040999999</v>
      </c>
    </row>
    <row r="1902" spans="1:16" ht="14.5" x14ac:dyDescent="0.25">
      <c r="A1902" s="10">
        <v>46022</v>
      </c>
      <c r="B1902" s="2" t="str">
        <f t="shared" si="60"/>
        <v>Dec-2025</v>
      </c>
      <c r="C1902" s="2" t="str">
        <f t="shared" si="61"/>
        <v>Q3</v>
      </c>
      <c r="D1902" s="2" t="s">
        <v>28</v>
      </c>
      <c r="E1902" s="11" t="s">
        <v>413</v>
      </c>
      <c r="F1902" s="11" t="s">
        <v>411</v>
      </c>
      <c r="G1902" s="11" t="s">
        <v>505</v>
      </c>
      <c r="H1902" s="11" t="s">
        <v>56</v>
      </c>
      <c r="I1902" s="12">
        <v>3</v>
      </c>
      <c r="J1902" s="12">
        <v>360</v>
      </c>
      <c r="K1902" s="12">
        <v>49.78</v>
      </c>
      <c r="L1902" s="12">
        <v>17920.8</v>
      </c>
      <c r="M1902" s="12">
        <v>0</v>
      </c>
      <c r="N1902" s="12">
        <v>0</v>
      </c>
      <c r="O1902" s="12">
        <v>2329.7040550000002</v>
      </c>
      <c r="P1902" s="12">
        <v>20250.504055000001</v>
      </c>
    </row>
    <row r="1903" spans="1:16" ht="14.5" x14ac:dyDescent="0.25">
      <c r="A1903" s="10">
        <v>46022</v>
      </c>
      <c r="B1903" s="2" t="str">
        <f t="shared" si="60"/>
        <v>Dec-2025</v>
      </c>
      <c r="C1903" s="2" t="str">
        <f t="shared" si="61"/>
        <v>Q3</v>
      </c>
      <c r="D1903" s="2" t="s">
        <v>28</v>
      </c>
      <c r="E1903" s="11" t="s">
        <v>413</v>
      </c>
      <c r="F1903" s="11" t="s">
        <v>411</v>
      </c>
      <c r="G1903" s="11" t="s">
        <v>503</v>
      </c>
      <c r="H1903" s="11" t="s">
        <v>171</v>
      </c>
      <c r="I1903" s="12">
        <v>2</v>
      </c>
      <c r="J1903" s="12">
        <v>160</v>
      </c>
      <c r="K1903" s="12">
        <v>152.65</v>
      </c>
      <c r="L1903" s="12">
        <v>24423.999999999996</v>
      </c>
      <c r="M1903" s="12">
        <v>0</v>
      </c>
      <c r="N1903" s="12">
        <v>0</v>
      </c>
      <c r="O1903" s="12">
        <v>3175.1200749999998</v>
      </c>
      <c r="P1903" s="12">
        <v>27599.120074999999</v>
      </c>
    </row>
    <row r="1904" spans="1:16" ht="14.5" x14ac:dyDescent="0.25">
      <c r="A1904" s="10">
        <v>46022</v>
      </c>
      <c r="B1904" s="2" t="str">
        <f t="shared" si="60"/>
        <v>Dec-2025</v>
      </c>
      <c r="C1904" s="2" t="str">
        <f t="shared" si="61"/>
        <v>Q3</v>
      </c>
      <c r="D1904" s="2" t="s">
        <v>28</v>
      </c>
      <c r="E1904" s="11" t="s">
        <v>413</v>
      </c>
      <c r="F1904" s="11" t="s">
        <v>411</v>
      </c>
      <c r="G1904" s="11" t="s">
        <v>505</v>
      </c>
      <c r="H1904" s="11" t="s">
        <v>49</v>
      </c>
      <c r="I1904" s="12">
        <v>5</v>
      </c>
      <c r="J1904" s="12">
        <v>900</v>
      </c>
      <c r="K1904" s="12">
        <v>155.97</v>
      </c>
      <c r="L1904" s="12">
        <v>140373</v>
      </c>
      <c r="M1904" s="12">
        <v>0</v>
      </c>
      <c r="N1904" s="12">
        <v>0</v>
      </c>
      <c r="O1904" s="12">
        <v>18248.490430000002</v>
      </c>
      <c r="P1904" s="12">
        <v>158621.49043000001</v>
      </c>
    </row>
    <row r="1905" spans="1:16" ht="14.5" x14ac:dyDescent="0.25">
      <c r="A1905" s="10">
        <v>46022</v>
      </c>
      <c r="B1905" s="2" t="str">
        <f t="shared" si="60"/>
        <v>Dec-2025</v>
      </c>
      <c r="C1905" s="2" t="str">
        <f t="shared" si="61"/>
        <v>Q3</v>
      </c>
      <c r="D1905" s="2" t="s">
        <v>28</v>
      </c>
      <c r="E1905" s="11" t="s">
        <v>413</v>
      </c>
      <c r="F1905" s="11" t="s">
        <v>411</v>
      </c>
      <c r="G1905" s="11" t="s">
        <v>504</v>
      </c>
      <c r="H1905" s="11" t="s">
        <v>69</v>
      </c>
      <c r="I1905" s="12">
        <v>4</v>
      </c>
      <c r="J1905" s="12">
        <v>400</v>
      </c>
      <c r="K1905" s="12">
        <v>159.29</v>
      </c>
      <c r="L1905" s="12">
        <v>63716</v>
      </c>
      <c r="M1905" s="12">
        <v>0</v>
      </c>
      <c r="N1905" s="12">
        <v>0</v>
      </c>
      <c r="O1905" s="12">
        <v>8283.0801950000005</v>
      </c>
      <c r="P1905" s="12">
        <v>71999.080195000002</v>
      </c>
    </row>
    <row r="1906" spans="1:16" ht="14.5" x14ac:dyDescent="0.25">
      <c r="A1906" s="10">
        <v>46022</v>
      </c>
      <c r="B1906" s="2" t="str">
        <f t="shared" si="60"/>
        <v>Dec-2025</v>
      </c>
      <c r="C1906" s="2" t="str">
        <f t="shared" si="61"/>
        <v>Q3</v>
      </c>
      <c r="D1906" s="2" t="s">
        <v>28</v>
      </c>
      <c r="E1906" s="11" t="s">
        <v>413</v>
      </c>
      <c r="F1906" s="11" t="s">
        <v>411</v>
      </c>
      <c r="G1906" s="11" t="s">
        <v>503</v>
      </c>
      <c r="H1906" s="11" t="s">
        <v>45</v>
      </c>
      <c r="I1906" s="12">
        <v>5</v>
      </c>
      <c r="J1906" s="12">
        <v>900</v>
      </c>
      <c r="K1906" s="12">
        <v>61.06</v>
      </c>
      <c r="L1906" s="12">
        <v>54954</v>
      </c>
      <c r="M1906" s="12">
        <v>0</v>
      </c>
      <c r="N1906" s="12">
        <v>0</v>
      </c>
      <c r="O1906" s="12">
        <v>7144.020168</v>
      </c>
      <c r="P1906" s="12">
        <v>62098.020168000003</v>
      </c>
    </row>
    <row r="1907" spans="1:16" ht="14.5" x14ac:dyDescent="0.25">
      <c r="A1907" s="10">
        <v>46022</v>
      </c>
      <c r="B1907" s="2" t="str">
        <f t="shared" si="60"/>
        <v>Dec-2025</v>
      </c>
      <c r="C1907" s="2" t="str">
        <f t="shared" si="61"/>
        <v>Q3</v>
      </c>
      <c r="D1907" s="2" t="s">
        <v>28</v>
      </c>
      <c r="E1907" s="11" t="s">
        <v>413</v>
      </c>
      <c r="F1907" s="11" t="s">
        <v>411</v>
      </c>
      <c r="G1907" s="11" t="s">
        <v>503</v>
      </c>
      <c r="H1907" s="11" t="s">
        <v>190</v>
      </c>
      <c r="I1907" s="12">
        <v>2</v>
      </c>
      <c r="J1907" s="12">
        <v>360</v>
      </c>
      <c r="K1907" s="12">
        <v>79.650000000000006</v>
      </c>
      <c r="L1907" s="12">
        <v>28674</v>
      </c>
      <c r="M1907" s="12">
        <v>0</v>
      </c>
      <c r="N1907" s="12">
        <v>0</v>
      </c>
      <c r="O1907" s="12">
        <v>3727.6200880000001</v>
      </c>
      <c r="P1907" s="12">
        <v>32401.620088</v>
      </c>
    </row>
    <row r="1908" spans="1:16" ht="14.5" x14ac:dyDescent="0.25">
      <c r="A1908" s="10">
        <v>46022</v>
      </c>
      <c r="B1908" s="2" t="str">
        <f t="shared" si="60"/>
        <v>Dec-2025</v>
      </c>
      <c r="C1908" s="2" t="str">
        <f t="shared" si="61"/>
        <v>Q3</v>
      </c>
      <c r="D1908" s="2" t="s">
        <v>28</v>
      </c>
      <c r="E1908" s="11" t="s">
        <v>413</v>
      </c>
      <c r="F1908" s="11" t="s">
        <v>411</v>
      </c>
      <c r="G1908" s="11" t="s">
        <v>503</v>
      </c>
      <c r="H1908" s="11" t="s">
        <v>172</v>
      </c>
      <c r="I1908" s="12">
        <v>1</v>
      </c>
      <c r="J1908" s="12">
        <v>180</v>
      </c>
      <c r="K1908" s="12">
        <v>96.24</v>
      </c>
      <c r="L1908" s="12">
        <v>17323.2</v>
      </c>
      <c r="M1908" s="12">
        <v>0</v>
      </c>
      <c r="N1908" s="12">
        <v>0</v>
      </c>
      <c r="O1908" s="12">
        <v>2252.0160529999998</v>
      </c>
      <c r="P1908" s="12">
        <v>19575.216053</v>
      </c>
    </row>
    <row r="1909" spans="1:16" ht="14.5" x14ac:dyDescent="0.25">
      <c r="A1909" s="10">
        <v>46022</v>
      </c>
      <c r="B1909" s="2" t="str">
        <f t="shared" si="60"/>
        <v>Dec-2025</v>
      </c>
      <c r="C1909" s="2" t="str">
        <f t="shared" si="61"/>
        <v>Q3</v>
      </c>
      <c r="D1909" s="2" t="s">
        <v>28</v>
      </c>
      <c r="E1909" s="11" t="s">
        <v>414</v>
      </c>
      <c r="F1909" s="11" t="s">
        <v>411</v>
      </c>
      <c r="G1909" s="11" t="s">
        <v>503</v>
      </c>
      <c r="H1909" s="11" t="s">
        <v>59</v>
      </c>
      <c r="I1909" s="12">
        <v>5</v>
      </c>
      <c r="J1909" s="12">
        <v>900</v>
      </c>
      <c r="K1909" s="12">
        <v>63.05</v>
      </c>
      <c r="L1909" s="12">
        <v>56745</v>
      </c>
      <c r="M1909" s="12">
        <v>0</v>
      </c>
      <c r="N1909" s="12">
        <v>0</v>
      </c>
      <c r="O1909" s="12">
        <v>7376.8500360000007</v>
      </c>
      <c r="P1909" s="12">
        <v>64121.850036000003</v>
      </c>
    </row>
    <row r="1910" spans="1:16" ht="14.5" x14ac:dyDescent="0.25">
      <c r="A1910" s="10">
        <v>46022</v>
      </c>
      <c r="B1910" s="2" t="str">
        <f t="shared" si="60"/>
        <v>Dec-2025</v>
      </c>
      <c r="C1910" s="2" t="str">
        <f t="shared" si="61"/>
        <v>Q3</v>
      </c>
      <c r="D1910" s="2" t="s">
        <v>28</v>
      </c>
      <c r="E1910" s="11" t="s">
        <v>414</v>
      </c>
      <c r="F1910" s="11" t="s">
        <v>411</v>
      </c>
      <c r="G1910" s="11" t="s">
        <v>504</v>
      </c>
      <c r="H1910" s="11" t="s">
        <v>68</v>
      </c>
      <c r="I1910" s="12">
        <v>3</v>
      </c>
      <c r="J1910" s="12">
        <v>120</v>
      </c>
      <c r="K1910" s="12">
        <v>255.53</v>
      </c>
      <c r="L1910" s="12">
        <v>30663.600000000002</v>
      </c>
      <c r="M1910" s="12">
        <v>0</v>
      </c>
      <c r="N1910" s="12">
        <v>0</v>
      </c>
      <c r="O1910" s="12">
        <v>3986.2680190000001</v>
      </c>
      <c r="P1910" s="12">
        <v>34649.868019000001</v>
      </c>
    </row>
    <row r="1911" spans="1:16" ht="14.5" x14ac:dyDescent="0.25">
      <c r="A1911" s="10">
        <v>46022</v>
      </c>
      <c r="B1911" s="2" t="str">
        <f t="shared" si="60"/>
        <v>Dec-2025</v>
      </c>
      <c r="C1911" s="2" t="str">
        <f t="shared" si="61"/>
        <v>Q3</v>
      </c>
      <c r="D1911" s="2" t="s">
        <v>28</v>
      </c>
      <c r="E1911" s="11" t="s">
        <v>414</v>
      </c>
      <c r="F1911" s="11" t="s">
        <v>411</v>
      </c>
      <c r="G1911" s="11" t="s">
        <v>503</v>
      </c>
      <c r="H1911" s="11" t="s">
        <v>48</v>
      </c>
      <c r="I1911" s="12">
        <v>5</v>
      </c>
      <c r="J1911" s="12">
        <v>900</v>
      </c>
      <c r="K1911" s="12">
        <v>132.74</v>
      </c>
      <c r="L1911" s="12">
        <v>119466</v>
      </c>
      <c r="M1911" s="12">
        <v>0</v>
      </c>
      <c r="N1911" s="12">
        <v>0</v>
      </c>
      <c r="O1911" s="12">
        <v>15530.580075</v>
      </c>
      <c r="P1911" s="12">
        <v>134996.58007500001</v>
      </c>
    </row>
    <row r="1912" spans="1:16" ht="14.5" x14ac:dyDescent="0.25">
      <c r="A1912" s="10">
        <v>46022</v>
      </c>
      <c r="B1912" s="2" t="str">
        <f t="shared" si="60"/>
        <v>Dec-2025</v>
      </c>
      <c r="C1912" s="2" t="str">
        <f t="shared" si="61"/>
        <v>Q3</v>
      </c>
      <c r="D1912" s="2" t="s">
        <v>28</v>
      </c>
      <c r="E1912" s="11" t="s">
        <v>414</v>
      </c>
      <c r="F1912" s="11" t="s">
        <v>411</v>
      </c>
      <c r="G1912" s="11" t="s">
        <v>506</v>
      </c>
      <c r="H1912" s="11" t="s">
        <v>39</v>
      </c>
      <c r="I1912" s="12">
        <v>3</v>
      </c>
      <c r="J1912" s="12">
        <v>216</v>
      </c>
      <c r="K1912" s="12">
        <v>129.41999999999999</v>
      </c>
      <c r="L1912" s="12">
        <v>27954.719999999998</v>
      </c>
      <c r="M1912" s="12">
        <v>0</v>
      </c>
      <c r="N1912" s="12">
        <v>0</v>
      </c>
      <c r="O1912" s="12">
        <v>3634.1136179999999</v>
      </c>
      <c r="P1912" s="12">
        <v>31588.833618000001</v>
      </c>
    </row>
    <row r="1913" spans="1:16" ht="14.5" x14ac:dyDescent="0.25">
      <c r="A1913" s="10">
        <v>46022</v>
      </c>
      <c r="B1913" s="2" t="str">
        <f t="shared" si="60"/>
        <v>Dec-2025</v>
      </c>
      <c r="C1913" s="2" t="str">
        <f t="shared" si="61"/>
        <v>Q3</v>
      </c>
      <c r="D1913" s="2" t="s">
        <v>28</v>
      </c>
      <c r="E1913" s="11" t="s">
        <v>414</v>
      </c>
      <c r="F1913" s="11" t="s">
        <v>411</v>
      </c>
      <c r="G1913" s="11" t="s">
        <v>503</v>
      </c>
      <c r="H1913" s="11" t="s">
        <v>46</v>
      </c>
      <c r="I1913" s="12">
        <v>3</v>
      </c>
      <c r="J1913" s="12">
        <v>360</v>
      </c>
      <c r="K1913" s="12">
        <v>116.15</v>
      </c>
      <c r="L1913" s="12">
        <v>41814</v>
      </c>
      <c r="M1913" s="12">
        <v>0</v>
      </c>
      <c r="N1913" s="12">
        <v>0</v>
      </c>
      <c r="O1913" s="12">
        <v>5435.8200260000003</v>
      </c>
      <c r="P1913" s="12">
        <v>47249.820026000001</v>
      </c>
    </row>
    <row r="1914" spans="1:16" ht="14.5" x14ac:dyDescent="0.25">
      <c r="A1914" s="10">
        <v>46022</v>
      </c>
      <c r="B1914" s="2" t="str">
        <f t="shared" si="60"/>
        <v>Dec-2025</v>
      </c>
      <c r="C1914" s="2" t="str">
        <f t="shared" si="61"/>
        <v>Q3</v>
      </c>
      <c r="D1914" s="2" t="s">
        <v>28</v>
      </c>
      <c r="E1914" s="11" t="s">
        <v>414</v>
      </c>
      <c r="F1914" s="11" t="s">
        <v>411</v>
      </c>
      <c r="G1914" s="11" t="s">
        <v>505</v>
      </c>
      <c r="H1914" s="11" t="s">
        <v>50</v>
      </c>
      <c r="I1914" s="12">
        <v>1</v>
      </c>
      <c r="J1914" s="12">
        <v>80</v>
      </c>
      <c r="K1914" s="12">
        <v>165.93</v>
      </c>
      <c r="L1914" s="12">
        <v>13274.4</v>
      </c>
      <c r="M1914" s="12">
        <v>0</v>
      </c>
      <c r="N1914" s="12">
        <v>0</v>
      </c>
      <c r="O1914" s="12">
        <v>1725.672008</v>
      </c>
      <c r="P1914" s="12">
        <v>15000.072007999999</v>
      </c>
    </row>
    <row r="1915" spans="1:16" ht="14.5" x14ac:dyDescent="0.25">
      <c r="A1915" s="10">
        <v>46022</v>
      </c>
      <c r="B1915" s="2" t="str">
        <f t="shared" si="60"/>
        <v>Dec-2025</v>
      </c>
      <c r="C1915" s="2" t="str">
        <f t="shared" si="61"/>
        <v>Q3</v>
      </c>
      <c r="D1915" s="2" t="s">
        <v>28</v>
      </c>
      <c r="E1915" s="11" t="s">
        <v>414</v>
      </c>
      <c r="F1915" s="11" t="s">
        <v>411</v>
      </c>
      <c r="G1915" s="11" t="s">
        <v>503</v>
      </c>
      <c r="H1915" s="11" t="s">
        <v>42</v>
      </c>
      <c r="I1915" s="12">
        <v>1</v>
      </c>
      <c r="J1915" s="12">
        <v>120</v>
      </c>
      <c r="K1915" s="12">
        <v>146.02000000000001</v>
      </c>
      <c r="L1915" s="12">
        <v>17522.400000000001</v>
      </c>
      <c r="M1915" s="12">
        <v>0</v>
      </c>
      <c r="N1915" s="12">
        <v>0</v>
      </c>
      <c r="O1915" s="12">
        <v>2277.9120109999999</v>
      </c>
      <c r="P1915" s="12">
        <v>19800.312011000002</v>
      </c>
    </row>
    <row r="1916" spans="1:16" ht="14.5" x14ac:dyDescent="0.25">
      <c r="A1916" s="10">
        <v>46022</v>
      </c>
      <c r="B1916" s="2" t="str">
        <f t="shared" si="60"/>
        <v>Dec-2025</v>
      </c>
      <c r="C1916" s="2" t="str">
        <f t="shared" si="61"/>
        <v>Q3</v>
      </c>
      <c r="D1916" s="2" t="s">
        <v>28</v>
      </c>
      <c r="E1916" s="11" t="s">
        <v>414</v>
      </c>
      <c r="F1916" s="11" t="s">
        <v>411</v>
      </c>
      <c r="G1916" s="11" t="s">
        <v>503</v>
      </c>
      <c r="H1916" s="11" t="s">
        <v>52</v>
      </c>
      <c r="I1916" s="12">
        <v>5</v>
      </c>
      <c r="J1916" s="12">
        <v>900</v>
      </c>
      <c r="K1916" s="12">
        <v>69.69</v>
      </c>
      <c r="L1916" s="12">
        <v>62721</v>
      </c>
      <c r="M1916" s="12">
        <v>0</v>
      </c>
      <c r="N1916" s="12">
        <v>0</v>
      </c>
      <c r="O1916" s="12">
        <v>8153.730039</v>
      </c>
      <c r="P1916" s="12">
        <v>70874.730039000002</v>
      </c>
    </row>
    <row r="1917" spans="1:16" ht="14.5" x14ac:dyDescent="0.25">
      <c r="A1917" s="10">
        <v>46022</v>
      </c>
      <c r="B1917" s="2" t="str">
        <f t="shared" si="60"/>
        <v>Dec-2025</v>
      </c>
      <c r="C1917" s="2" t="str">
        <f t="shared" si="61"/>
        <v>Q3</v>
      </c>
      <c r="D1917" s="2" t="s">
        <v>28</v>
      </c>
      <c r="E1917" s="11" t="s">
        <v>414</v>
      </c>
      <c r="F1917" s="11" t="s">
        <v>411</v>
      </c>
      <c r="G1917" s="11" t="s">
        <v>503</v>
      </c>
      <c r="H1917" s="11" t="s">
        <v>176</v>
      </c>
      <c r="I1917" s="12">
        <v>1</v>
      </c>
      <c r="J1917" s="12">
        <v>120</v>
      </c>
      <c r="K1917" s="12">
        <v>155.97</v>
      </c>
      <c r="L1917" s="12">
        <v>18716.400000000001</v>
      </c>
      <c r="M1917" s="12">
        <v>0</v>
      </c>
      <c r="N1917" s="12">
        <v>0</v>
      </c>
      <c r="O1917" s="12">
        <v>2433.132012</v>
      </c>
      <c r="P1917" s="12">
        <v>21149.532012</v>
      </c>
    </row>
    <row r="1918" spans="1:16" ht="14.5" x14ac:dyDescent="0.25">
      <c r="A1918" s="10">
        <v>46022</v>
      </c>
      <c r="B1918" s="2" t="str">
        <f t="shared" si="60"/>
        <v>Dec-2025</v>
      </c>
      <c r="C1918" s="2" t="str">
        <f t="shared" si="61"/>
        <v>Q3</v>
      </c>
      <c r="D1918" s="2" t="s">
        <v>28</v>
      </c>
      <c r="E1918" s="11" t="s">
        <v>414</v>
      </c>
      <c r="F1918" s="11" t="s">
        <v>411</v>
      </c>
      <c r="G1918" s="11" t="s">
        <v>505</v>
      </c>
      <c r="H1918" s="11" t="s">
        <v>43</v>
      </c>
      <c r="I1918" s="12">
        <v>3</v>
      </c>
      <c r="J1918" s="12">
        <v>120</v>
      </c>
      <c r="K1918" s="12">
        <v>278.76</v>
      </c>
      <c r="L1918" s="12">
        <v>33451.200000000004</v>
      </c>
      <c r="M1918" s="12">
        <v>0</v>
      </c>
      <c r="N1918" s="12">
        <v>0</v>
      </c>
      <c r="O1918" s="12">
        <v>4348.6560209999998</v>
      </c>
      <c r="P1918" s="12">
        <v>37799.856021</v>
      </c>
    </row>
    <row r="1919" spans="1:16" ht="14.5" x14ac:dyDescent="0.25">
      <c r="A1919" s="10">
        <v>46022</v>
      </c>
      <c r="B1919" s="2" t="str">
        <f t="shared" si="60"/>
        <v>Dec-2025</v>
      </c>
      <c r="C1919" s="2" t="str">
        <f t="shared" si="61"/>
        <v>Q3</v>
      </c>
      <c r="D1919" s="2" t="s">
        <v>28</v>
      </c>
      <c r="E1919" s="11" t="s">
        <v>414</v>
      </c>
      <c r="F1919" s="11" t="s">
        <v>411</v>
      </c>
      <c r="G1919" s="11" t="s">
        <v>503</v>
      </c>
      <c r="H1919" s="11" t="s">
        <v>177</v>
      </c>
      <c r="I1919" s="12">
        <v>1</v>
      </c>
      <c r="J1919" s="12">
        <v>120</v>
      </c>
      <c r="K1919" s="12">
        <v>92.92</v>
      </c>
      <c r="L1919" s="12">
        <v>11150.4</v>
      </c>
      <c r="M1919" s="12">
        <v>0</v>
      </c>
      <c r="N1919" s="12">
        <v>0</v>
      </c>
      <c r="O1919" s="12">
        <v>1449.552007</v>
      </c>
      <c r="P1919" s="12">
        <v>12599.952007</v>
      </c>
    </row>
    <row r="1920" spans="1:16" ht="14.5" x14ac:dyDescent="0.25">
      <c r="A1920" s="10">
        <v>46022</v>
      </c>
      <c r="B1920" s="2" t="str">
        <f t="shared" si="60"/>
        <v>Dec-2025</v>
      </c>
      <c r="C1920" s="2" t="str">
        <f t="shared" si="61"/>
        <v>Q3</v>
      </c>
      <c r="D1920" s="2" t="s">
        <v>28</v>
      </c>
      <c r="E1920" s="11" t="s">
        <v>414</v>
      </c>
      <c r="F1920" s="11" t="s">
        <v>411</v>
      </c>
      <c r="G1920" s="11" t="s">
        <v>503</v>
      </c>
      <c r="H1920" s="11" t="s">
        <v>51</v>
      </c>
      <c r="I1920" s="12">
        <v>3</v>
      </c>
      <c r="J1920" s="12">
        <v>540</v>
      </c>
      <c r="K1920" s="12">
        <v>61.06</v>
      </c>
      <c r="L1920" s="12">
        <v>32972.400000000001</v>
      </c>
      <c r="M1920" s="12">
        <v>0</v>
      </c>
      <c r="N1920" s="12">
        <v>0</v>
      </c>
      <c r="O1920" s="12">
        <v>4286.4120210000001</v>
      </c>
      <c r="P1920" s="12">
        <v>37258.812020999998</v>
      </c>
    </row>
    <row r="1921" spans="1:16" ht="14.5" x14ac:dyDescent="0.25">
      <c r="A1921" s="10">
        <v>46022</v>
      </c>
      <c r="B1921" s="2" t="str">
        <f t="shared" si="60"/>
        <v>Dec-2025</v>
      </c>
      <c r="C1921" s="2" t="str">
        <f t="shared" si="61"/>
        <v>Q3</v>
      </c>
      <c r="D1921" s="2" t="s">
        <v>28</v>
      </c>
      <c r="E1921" s="11" t="s">
        <v>414</v>
      </c>
      <c r="F1921" s="11" t="s">
        <v>411</v>
      </c>
      <c r="G1921" s="11" t="s">
        <v>505</v>
      </c>
      <c r="H1921" s="11" t="s">
        <v>167</v>
      </c>
      <c r="I1921" s="12">
        <v>1</v>
      </c>
      <c r="J1921" s="12">
        <v>180</v>
      </c>
      <c r="K1921" s="12">
        <v>89.6</v>
      </c>
      <c r="L1921" s="12">
        <v>16128</v>
      </c>
      <c r="M1921" s="12">
        <v>0</v>
      </c>
      <c r="N1921" s="12">
        <v>0</v>
      </c>
      <c r="O1921" s="12">
        <v>2096.6400100000001</v>
      </c>
      <c r="P1921" s="12">
        <v>18224.640009999999</v>
      </c>
    </row>
    <row r="1922" spans="1:16" ht="14.5" x14ac:dyDescent="0.25">
      <c r="A1922" s="10">
        <v>46022</v>
      </c>
      <c r="B1922" s="2" t="str">
        <f t="shared" si="60"/>
        <v>Dec-2025</v>
      </c>
      <c r="C1922" s="2" t="str">
        <f t="shared" si="61"/>
        <v>Q3</v>
      </c>
      <c r="D1922" s="2" t="s">
        <v>28</v>
      </c>
      <c r="E1922" s="11" t="s">
        <v>414</v>
      </c>
      <c r="F1922" s="11" t="s">
        <v>411</v>
      </c>
      <c r="G1922" s="11" t="s">
        <v>507</v>
      </c>
      <c r="H1922" s="11" t="s">
        <v>60</v>
      </c>
      <c r="I1922" s="12">
        <v>6</v>
      </c>
      <c r="J1922" s="12">
        <v>360</v>
      </c>
      <c r="K1922" s="12">
        <v>96.24</v>
      </c>
      <c r="L1922" s="12">
        <v>34646.400000000001</v>
      </c>
      <c r="M1922" s="12">
        <v>0</v>
      </c>
      <c r="N1922" s="12">
        <v>0</v>
      </c>
      <c r="O1922" s="12">
        <v>4504.0320220000003</v>
      </c>
      <c r="P1922" s="12">
        <v>39150.432022000001</v>
      </c>
    </row>
    <row r="1923" spans="1:16" ht="14.5" x14ac:dyDescent="0.25">
      <c r="A1923" s="10">
        <v>46022</v>
      </c>
      <c r="B1923" s="2" t="str">
        <f t="shared" si="60"/>
        <v>Dec-2025</v>
      </c>
      <c r="C1923" s="2" t="str">
        <f t="shared" si="61"/>
        <v>Q3</v>
      </c>
      <c r="D1923" s="2" t="s">
        <v>28</v>
      </c>
      <c r="E1923" s="11" t="s">
        <v>414</v>
      </c>
      <c r="F1923" s="11" t="s">
        <v>411</v>
      </c>
      <c r="G1923" s="11" t="s">
        <v>506</v>
      </c>
      <c r="H1923" s="11" t="s">
        <v>189</v>
      </c>
      <c r="I1923" s="12">
        <v>2</v>
      </c>
      <c r="J1923" s="12">
        <v>200</v>
      </c>
      <c r="K1923" s="12">
        <v>69.69</v>
      </c>
      <c r="L1923" s="12">
        <v>13938</v>
      </c>
      <c r="M1923" s="12">
        <v>0</v>
      </c>
      <c r="N1923" s="12">
        <v>0</v>
      </c>
      <c r="O1923" s="12">
        <v>1811.9400089999999</v>
      </c>
      <c r="P1923" s="12">
        <v>15749.940009</v>
      </c>
    </row>
    <row r="1924" spans="1:16" ht="14.5" x14ac:dyDescent="0.25">
      <c r="A1924" s="10">
        <v>46022</v>
      </c>
      <c r="B1924" s="2" t="str">
        <f t="shared" si="60"/>
        <v>Dec-2025</v>
      </c>
      <c r="C1924" s="2" t="str">
        <f t="shared" si="61"/>
        <v>Q3</v>
      </c>
      <c r="D1924" s="2" t="s">
        <v>28</v>
      </c>
      <c r="E1924" s="11" t="s">
        <v>414</v>
      </c>
      <c r="F1924" s="11" t="s">
        <v>411</v>
      </c>
      <c r="G1924" s="11" t="s">
        <v>504</v>
      </c>
      <c r="H1924" s="11" t="s">
        <v>66</v>
      </c>
      <c r="I1924" s="12">
        <v>2</v>
      </c>
      <c r="J1924" s="12">
        <v>200</v>
      </c>
      <c r="K1924" s="12">
        <v>106.19</v>
      </c>
      <c r="L1924" s="12">
        <v>21238</v>
      </c>
      <c r="M1924" s="12">
        <v>0</v>
      </c>
      <c r="N1924" s="12">
        <v>0</v>
      </c>
      <c r="O1924" s="12">
        <v>2760.9400129999999</v>
      </c>
      <c r="P1924" s="12">
        <v>23998.940012999999</v>
      </c>
    </row>
    <row r="1925" spans="1:16" ht="14.5" x14ac:dyDescent="0.25">
      <c r="A1925" s="10">
        <v>46022</v>
      </c>
      <c r="B1925" s="2" t="str">
        <f t="shared" si="60"/>
        <v>Dec-2025</v>
      </c>
      <c r="C1925" s="2" t="str">
        <f t="shared" si="61"/>
        <v>Q3</v>
      </c>
      <c r="D1925" s="2" t="s">
        <v>28</v>
      </c>
      <c r="E1925" s="11" t="s">
        <v>414</v>
      </c>
      <c r="F1925" s="11" t="s">
        <v>411</v>
      </c>
      <c r="G1925" s="11" t="s">
        <v>503</v>
      </c>
      <c r="H1925" s="11" t="s">
        <v>174</v>
      </c>
      <c r="I1925" s="12">
        <v>1</v>
      </c>
      <c r="J1925" s="12">
        <v>180</v>
      </c>
      <c r="K1925" s="12">
        <v>82.3</v>
      </c>
      <c r="L1925" s="12">
        <v>14814</v>
      </c>
      <c r="M1925" s="12">
        <v>0</v>
      </c>
      <c r="N1925" s="12">
        <v>0</v>
      </c>
      <c r="O1925" s="12">
        <v>1925.820009</v>
      </c>
      <c r="P1925" s="12">
        <v>16739.820008999999</v>
      </c>
    </row>
    <row r="1926" spans="1:16" ht="14.5" x14ac:dyDescent="0.25">
      <c r="A1926" s="10">
        <v>46022</v>
      </c>
      <c r="B1926" s="2" t="str">
        <f t="shared" si="60"/>
        <v>Dec-2025</v>
      </c>
      <c r="C1926" s="2" t="str">
        <f t="shared" si="61"/>
        <v>Q3</v>
      </c>
      <c r="D1926" s="2" t="s">
        <v>28</v>
      </c>
      <c r="E1926" s="11" t="s">
        <v>414</v>
      </c>
      <c r="F1926" s="11" t="s">
        <v>411</v>
      </c>
      <c r="G1926" s="11" t="s">
        <v>503</v>
      </c>
      <c r="H1926" s="11" t="s">
        <v>47</v>
      </c>
      <c r="I1926" s="12">
        <v>5</v>
      </c>
      <c r="J1926" s="12">
        <v>600</v>
      </c>
      <c r="K1926" s="12">
        <v>116.15</v>
      </c>
      <c r="L1926" s="12">
        <v>69690</v>
      </c>
      <c r="M1926" s="12">
        <v>0</v>
      </c>
      <c r="N1926" s="12">
        <v>0</v>
      </c>
      <c r="O1926" s="12">
        <v>9059.7000439999993</v>
      </c>
      <c r="P1926" s="12">
        <v>78749.700043999997</v>
      </c>
    </row>
    <row r="1927" spans="1:16" ht="14.5" x14ac:dyDescent="0.25">
      <c r="A1927" s="10">
        <v>46022</v>
      </c>
      <c r="B1927" s="2" t="str">
        <f t="shared" si="60"/>
        <v>Dec-2025</v>
      </c>
      <c r="C1927" s="2" t="str">
        <f t="shared" si="61"/>
        <v>Q3</v>
      </c>
      <c r="D1927" s="2" t="s">
        <v>28</v>
      </c>
      <c r="E1927" s="11" t="s">
        <v>415</v>
      </c>
      <c r="F1927" s="11" t="s">
        <v>416</v>
      </c>
      <c r="G1927" s="11" t="s">
        <v>506</v>
      </c>
      <c r="H1927" s="11" t="s">
        <v>39</v>
      </c>
      <c r="I1927" s="12">
        <v>2</v>
      </c>
      <c r="J1927" s="12">
        <v>144</v>
      </c>
      <c r="K1927" s="12">
        <v>131.83000000000001</v>
      </c>
      <c r="L1927" s="12">
        <v>18983.52</v>
      </c>
      <c r="M1927" s="12">
        <v>-1725.6</v>
      </c>
      <c r="N1927" s="12">
        <v>0</v>
      </c>
      <c r="O1927" s="12">
        <v>2243.5295449999999</v>
      </c>
      <c r="P1927" s="12">
        <v>19501.449544999999</v>
      </c>
    </row>
    <row r="1928" spans="1:16" ht="14.5" x14ac:dyDescent="0.25">
      <c r="A1928" s="10">
        <v>46022</v>
      </c>
      <c r="B1928" s="2" t="str">
        <f t="shared" si="60"/>
        <v>Dec-2025</v>
      </c>
      <c r="C1928" s="2" t="str">
        <f t="shared" si="61"/>
        <v>Q3</v>
      </c>
      <c r="D1928" s="2" t="s">
        <v>28</v>
      </c>
      <c r="E1928" s="11" t="s">
        <v>415</v>
      </c>
      <c r="F1928" s="11" t="s">
        <v>416</v>
      </c>
      <c r="G1928" s="11" t="s">
        <v>503</v>
      </c>
      <c r="H1928" s="11" t="s">
        <v>59</v>
      </c>
      <c r="I1928" s="12">
        <v>0.44</v>
      </c>
      <c r="J1928" s="12">
        <v>80</v>
      </c>
      <c r="K1928" s="12">
        <v>64.23</v>
      </c>
      <c r="L1928" s="12">
        <v>5138.3999999999996</v>
      </c>
      <c r="M1928" s="12">
        <v>-467.08</v>
      </c>
      <c r="N1928" s="12">
        <v>0</v>
      </c>
      <c r="O1928" s="12">
        <v>607.27158500000007</v>
      </c>
      <c r="P1928" s="12">
        <v>5278.5915850000001</v>
      </c>
    </row>
    <row r="1929" spans="1:16" ht="14.5" x14ac:dyDescent="0.25">
      <c r="A1929" s="10">
        <v>46022</v>
      </c>
      <c r="B1929" s="2" t="str">
        <f t="shared" si="60"/>
        <v>Dec-2025</v>
      </c>
      <c r="C1929" s="2" t="str">
        <f t="shared" si="61"/>
        <v>Q3</v>
      </c>
      <c r="D1929" s="2" t="s">
        <v>28</v>
      </c>
      <c r="E1929" s="11" t="s">
        <v>415</v>
      </c>
      <c r="F1929" s="11" t="s">
        <v>416</v>
      </c>
      <c r="G1929" s="11" t="s">
        <v>505</v>
      </c>
      <c r="H1929" s="11" t="s">
        <v>55</v>
      </c>
      <c r="I1929" s="12">
        <v>0.5</v>
      </c>
      <c r="J1929" s="12">
        <v>60</v>
      </c>
      <c r="K1929" s="12">
        <v>152.11000000000001</v>
      </c>
      <c r="L1929" s="12">
        <v>9126.6</v>
      </c>
      <c r="M1929" s="12">
        <v>-829.6099999999999</v>
      </c>
      <c r="N1929" s="12">
        <v>0</v>
      </c>
      <c r="O1929" s="12">
        <v>1078.608673</v>
      </c>
      <c r="P1929" s="12">
        <v>9375.5986730000004</v>
      </c>
    </row>
    <row r="1930" spans="1:16" ht="14.5" x14ac:dyDescent="0.25">
      <c r="A1930" s="10">
        <v>46022</v>
      </c>
      <c r="B1930" s="2" t="str">
        <f t="shared" si="60"/>
        <v>Dec-2025</v>
      </c>
      <c r="C1930" s="2" t="str">
        <f t="shared" si="61"/>
        <v>Q3</v>
      </c>
      <c r="D1930" s="2" t="s">
        <v>28</v>
      </c>
      <c r="E1930" s="11" t="s">
        <v>415</v>
      </c>
      <c r="F1930" s="11" t="s">
        <v>416</v>
      </c>
      <c r="G1930" s="11" t="s">
        <v>506</v>
      </c>
      <c r="H1930" s="11" t="s">
        <v>189</v>
      </c>
      <c r="I1930" s="12">
        <v>1</v>
      </c>
      <c r="J1930" s="12">
        <v>100</v>
      </c>
      <c r="K1930" s="12">
        <v>70.989999999999995</v>
      </c>
      <c r="L1930" s="12">
        <v>7099</v>
      </c>
      <c r="M1930" s="12">
        <v>-645.29999999999995</v>
      </c>
      <c r="N1930" s="12">
        <v>0</v>
      </c>
      <c r="O1930" s="12">
        <v>838.98097899999993</v>
      </c>
      <c r="P1930" s="12">
        <v>7292.6809789999998</v>
      </c>
    </row>
    <row r="1931" spans="1:16" ht="14.5" x14ac:dyDescent="0.25">
      <c r="A1931" s="10">
        <v>46022</v>
      </c>
      <c r="B1931" s="2" t="str">
        <f t="shared" si="60"/>
        <v>Dec-2025</v>
      </c>
      <c r="C1931" s="2" t="str">
        <f t="shared" si="61"/>
        <v>Q3</v>
      </c>
      <c r="D1931" s="2" t="s">
        <v>28</v>
      </c>
      <c r="E1931" s="11" t="s">
        <v>415</v>
      </c>
      <c r="F1931" s="11" t="s">
        <v>416</v>
      </c>
      <c r="G1931" s="11" t="s">
        <v>505</v>
      </c>
      <c r="H1931" s="11" t="s">
        <v>43</v>
      </c>
      <c r="I1931" s="12">
        <v>1</v>
      </c>
      <c r="J1931" s="12">
        <v>40</v>
      </c>
      <c r="K1931" s="12">
        <v>283.94</v>
      </c>
      <c r="L1931" s="12">
        <v>11357.599999999999</v>
      </c>
      <c r="M1931" s="12">
        <v>-1032.4099999999999</v>
      </c>
      <c r="N1931" s="12">
        <v>0</v>
      </c>
      <c r="O1931" s="12">
        <v>1342.2746669999999</v>
      </c>
      <c r="P1931" s="12">
        <v>11667.464667</v>
      </c>
    </row>
    <row r="1932" spans="1:16" ht="14.5" x14ac:dyDescent="0.25">
      <c r="A1932" s="10">
        <v>46022</v>
      </c>
      <c r="B1932" s="2" t="str">
        <f t="shared" si="60"/>
        <v>Dec-2025</v>
      </c>
      <c r="C1932" s="2" t="str">
        <f t="shared" si="61"/>
        <v>Q3</v>
      </c>
      <c r="D1932" s="2" t="s">
        <v>28</v>
      </c>
      <c r="E1932" s="11" t="s">
        <v>415</v>
      </c>
      <c r="F1932" s="11" t="s">
        <v>416</v>
      </c>
      <c r="G1932" s="11" t="s">
        <v>503</v>
      </c>
      <c r="H1932" s="11" t="s">
        <v>52</v>
      </c>
      <c r="I1932" s="12">
        <v>0.5</v>
      </c>
      <c r="J1932" s="12">
        <v>90</v>
      </c>
      <c r="K1932" s="12">
        <v>70.989999999999995</v>
      </c>
      <c r="L1932" s="12">
        <v>6389.1</v>
      </c>
      <c r="M1932" s="12">
        <v>-580.77</v>
      </c>
      <c r="N1932" s="12">
        <v>0</v>
      </c>
      <c r="O1932" s="12">
        <v>755.08288100000004</v>
      </c>
      <c r="P1932" s="12">
        <v>6563.4128810000002</v>
      </c>
    </row>
    <row r="1933" spans="1:16" ht="14.5" x14ac:dyDescent="0.25">
      <c r="A1933" s="10">
        <v>46022</v>
      </c>
      <c r="B1933" s="2" t="str">
        <f t="shared" si="60"/>
        <v>Dec-2025</v>
      </c>
      <c r="C1933" s="2" t="str">
        <f t="shared" si="61"/>
        <v>Q3</v>
      </c>
      <c r="D1933" s="2" t="s">
        <v>28</v>
      </c>
      <c r="E1933" s="11" t="s">
        <v>415</v>
      </c>
      <c r="F1933" s="11" t="s">
        <v>416</v>
      </c>
      <c r="G1933" s="11" t="s">
        <v>504</v>
      </c>
      <c r="H1933" s="11" t="s">
        <v>67</v>
      </c>
      <c r="I1933" s="12">
        <v>1</v>
      </c>
      <c r="J1933" s="12">
        <v>40</v>
      </c>
      <c r="K1933" s="12">
        <v>393.46</v>
      </c>
      <c r="L1933" s="12">
        <v>15738.4</v>
      </c>
      <c r="M1933" s="12">
        <v>-1430.6200000000001</v>
      </c>
      <c r="N1933" s="12">
        <v>0</v>
      </c>
      <c r="O1933" s="12">
        <v>1860.011354</v>
      </c>
      <c r="P1933" s="12">
        <v>16167.791354000001</v>
      </c>
    </row>
    <row r="1934" spans="1:16" ht="14.5" x14ac:dyDescent="0.25">
      <c r="A1934" s="10">
        <v>46022</v>
      </c>
      <c r="B1934" s="2" t="str">
        <f t="shared" si="60"/>
        <v>Dec-2025</v>
      </c>
      <c r="C1934" s="2" t="str">
        <f t="shared" si="61"/>
        <v>Q3</v>
      </c>
      <c r="D1934" s="2" t="s">
        <v>28</v>
      </c>
      <c r="E1934" s="11" t="s">
        <v>415</v>
      </c>
      <c r="F1934" s="11" t="s">
        <v>416</v>
      </c>
      <c r="G1934" s="11" t="s">
        <v>505</v>
      </c>
      <c r="H1934" s="11" t="s">
        <v>40</v>
      </c>
      <c r="I1934" s="12">
        <v>0.5</v>
      </c>
      <c r="J1934" s="12">
        <v>90</v>
      </c>
      <c r="K1934" s="12">
        <v>81.14</v>
      </c>
      <c r="L1934" s="12">
        <v>7302.5999999999995</v>
      </c>
      <c r="M1934" s="12">
        <v>-663.81</v>
      </c>
      <c r="N1934" s="12">
        <v>0</v>
      </c>
      <c r="O1934" s="12">
        <v>863.04267900000002</v>
      </c>
      <c r="P1934" s="12">
        <v>7501.8326790000001</v>
      </c>
    </row>
    <row r="1935" spans="1:16" ht="14.5" x14ac:dyDescent="0.25">
      <c r="A1935" s="10">
        <v>46022</v>
      </c>
      <c r="B1935" s="2" t="str">
        <f t="shared" si="60"/>
        <v>Dec-2025</v>
      </c>
      <c r="C1935" s="2" t="str">
        <f t="shared" si="61"/>
        <v>Q3</v>
      </c>
      <c r="D1935" s="2" t="s">
        <v>28</v>
      </c>
      <c r="E1935" s="11" t="s">
        <v>415</v>
      </c>
      <c r="F1935" s="11" t="s">
        <v>416</v>
      </c>
      <c r="G1935" s="11" t="s">
        <v>506</v>
      </c>
      <c r="H1935" s="11" t="s">
        <v>58</v>
      </c>
      <c r="I1935" s="12">
        <v>2</v>
      </c>
      <c r="J1935" s="12">
        <v>144</v>
      </c>
      <c r="K1935" s="12">
        <v>148.72999999999999</v>
      </c>
      <c r="L1935" s="12">
        <v>21417.119999999999</v>
      </c>
      <c r="M1935" s="12">
        <v>-1946.82</v>
      </c>
      <c r="N1935" s="12">
        <v>0</v>
      </c>
      <c r="O1935" s="12">
        <v>2531.1389380000001</v>
      </c>
      <c r="P1935" s="12">
        <v>22001.438937999999</v>
      </c>
    </row>
    <row r="1936" spans="1:16" ht="14.5" x14ac:dyDescent="0.25">
      <c r="A1936" s="10">
        <v>46022</v>
      </c>
      <c r="B1936" s="2" t="str">
        <f t="shared" si="60"/>
        <v>Dec-2025</v>
      </c>
      <c r="C1936" s="2" t="str">
        <f t="shared" si="61"/>
        <v>Q3</v>
      </c>
      <c r="D1936" s="2" t="s">
        <v>28</v>
      </c>
      <c r="E1936" s="11" t="s">
        <v>415</v>
      </c>
      <c r="F1936" s="11" t="s">
        <v>416</v>
      </c>
      <c r="G1936" s="11" t="s">
        <v>504</v>
      </c>
      <c r="H1936" s="11" t="s">
        <v>66</v>
      </c>
      <c r="I1936" s="12">
        <v>1</v>
      </c>
      <c r="J1936" s="12">
        <v>100</v>
      </c>
      <c r="K1936" s="12">
        <v>108.17</v>
      </c>
      <c r="L1936" s="12">
        <v>10817</v>
      </c>
      <c r="M1936" s="12">
        <v>-983.2700000000001</v>
      </c>
      <c r="N1936" s="12">
        <v>0</v>
      </c>
      <c r="O1936" s="12">
        <v>1278.384869</v>
      </c>
      <c r="P1936" s="12">
        <v>11112.114869000001</v>
      </c>
    </row>
    <row r="1937" spans="1:16" ht="14.5" x14ac:dyDescent="0.25">
      <c r="A1937" s="10">
        <v>46022</v>
      </c>
      <c r="B1937" s="2" t="str">
        <f t="shared" si="60"/>
        <v>Dec-2025</v>
      </c>
      <c r="C1937" s="2" t="str">
        <f t="shared" si="61"/>
        <v>Q3</v>
      </c>
      <c r="D1937" s="2" t="s">
        <v>28</v>
      </c>
      <c r="E1937" s="11" t="s">
        <v>415</v>
      </c>
      <c r="F1937" s="11" t="s">
        <v>416</v>
      </c>
      <c r="G1937" s="11" t="s">
        <v>505</v>
      </c>
      <c r="H1937" s="11" t="s">
        <v>56</v>
      </c>
      <c r="I1937" s="12">
        <v>0.5</v>
      </c>
      <c r="J1937" s="12">
        <v>60</v>
      </c>
      <c r="K1937" s="12">
        <v>50.7</v>
      </c>
      <c r="L1937" s="12">
        <v>3042</v>
      </c>
      <c r="M1937" s="12">
        <v>-276.52</v>
      </c>
      <c r="N1937" s="12">
        <v>0</v>
      </c>
      <c r="O1937" s="12">
        <v>359.51239099999998</v>
      </c>
      <c r="P1937" s="12">
        <v>3124.9923910000002</v>
      </c>
    </row>
    <row r="1938" spans="1:16" ht="14.5" x14ac:dyDescent="0.25">
      <c r="A1938" s="10">
        <v>46022</v>
      </c>
      <c r="B1938" s="2" t="str">
        <f t="shared" si="60"/>
        <v>Dec-2025</v>
      </c>
      <c r="C1938" s="2" t="str">
        <f t="shared" si="61"/>
        <v>Q3</v>
      </c>
      <c r="D1938" s="2" t="s">
        <v>28</v>
      </c>
      <c r="E1938" s="11" t="s">
        <v>415</v>
      </c>
      <c r="F1938" s="11" t="s">
        <v>416</v>
      </c>
      <c r="G1938" s="11" t="s">
        <v>503</v>
      </c>
      <c r="H1938" s="11" t="s">
        <v>45</v>
      </c>
      <c r="I1938" s="12">
        <v>0.5</v>
      </c>
      <c r="J1938" s="12">
        <v>90</v>
      </c>
      <c r="K1938" s="12">
        <v>64.23</v>
      </c>
      <c r="L1938" s="12">
        <v>5780.7</v>
      </c>
      <c r="M1938" s="12">
        <v>-525.47</v>
      </c>
      <c r="N1938" s="12">
        <v>0</v>
      </c>
      <c r="O1938" s="12">
        <v>683.17988300000002</v>
      </c>
      <c r="P1938" s="12">
        <v>5938.4098830000003</v>
      </c>
    </row>
    <row r="1939" spans="1:16" ht="14.5" x14ac:dyDescent="0.25">
      <c r="A1939" s="10">
        <v>46022</v>
      </c>
      <c r="B1939" s="2" t="str">
        <f t="shared" si="60"/>
        <v>Dec-2025</v>
      </c>
      <c r="C1939" s="2" t="str">
        <f t="shared" si="61"/>
        <v>Q3</v>
      </c>
      <c r="D1939" s="2" t="s">
        <v>28</v>
      </c>
      <c r="E1939" s="11" t="s">
        <v>415</v>
      </c>
      <c r="F1939" s="11" t="s">
        <v>416</v>
      </c>
      <c r="G1939" s="11" t="s">
        <v>504</v>
      </c>
      <c r="H1939" s="11" t="s">
        <v>68</v>
      </c>
      <c r="I1939" s="12">
        <v>1</v>
      </c>
      <c r="J1939" s="12">
        <v>40</v>
      </c>
      <c r="K1939" s="12">
        <v>260.27999999999997</v>
      </c>
      <c r="L1939" s="12">
        <v>10411.200000000001</v>
      </c>
      <c r="M1939" s="12">
        <v>-946.38</v>
      </c>
      <c r="N1939" s="12">
        <v>0</v>
      </c>
      <c r="O1939" s="12">
        <v>1230.4265700000001</v>
      </c>
      <c r="P1939" s="12">
        <v>10695.246569999999</v>
      </c>
    </row>
    <row r="1940" spans="1:16" ht="14.5" x14ac:dyDescent="0.25">
      <c r="A1940" s="10">
        <v>46022</v>
      </c>
      <c r="B1940" s="2" t="str">
        <f t="shared" si="60"/>
        <v>Dec-2025</v>
      </c>
      <c r="C1940" s="2" t="str">
        <f t="shared" si="61"/>
        <v>Q3</v>
      </c>
      <c r="D1940" s="2" t="s">
        <v>28</v>
      </c>
      <c r="E1940" s="11" t="s">
        <v>415</v>
      </c>
      <c r="F1940" s="11" t="s">
        <v>416</v>
      </c>
      <c r="G1940" s="11" t="s">
        <v>505</v>
      </c>
      <c r="H1940" s="11" t="s">
        <v>49</v>
      </c>
      <c r="I1940" s="12">
        <v>0.5</v>
      </c>
      <c r="J1940" s="12">
        <v>90</v>
      </c>
      <c r="K1940" s="12">
        <v>158.87</v>
      </c>
      <c r="L1940" s="12">
        <v>14298.3</v>
      </c>
      <c r="M1940" s="12">
        <v>-1299.72</v>
      </c>
      <c r="N1940" s="12">
        <v>0</v>
      </c>
      <c r="O1940" s="12">
        <v>1689.8153579999998</v>
      </c>
      <c r="P1940" s="12">
        <v>14688.395358</v>
      </c>
    </row>
    <row r="1941" spans="1:16" ht="14.5" x14ac:dyDescent="0.25">
      <c r="A1941" s="10">
        <v>46022</v>
      </c>
      <c r="B1941" s="2" t="str">
        <f t="shared" si="60"/>
        <v>Dec-2025</v>
      </c>
      <c r="C1941" s="2" t="str">
        <f t="shared" si="61"/>
        <v>Q3</v>
      </c>
      <c r="D1941" s="2" t="s">
        <v>28</v>
      </c>
      <c r="E1941" s="11" t="s">
        <v>415</v>
      </c>
      <c r="F1941" s="11" t="s">
        <v>416</v>
      </c>
      <c r="G1941" s="11" t="s">
        <v>504</v>
      </c>
      <c r="H1941" s="11" t="s">
        <v>69</v>
      </c>
      <c r="I1941" s="12">
        <v>1</v>
      </c>
      <c r="J1941" s="12">
        <v>100</v>
      </c>
      <c r="K1941" s="12">
        <v>162.26</v>
      </c>
      <c r="L1941" s="12">
        <v>16226</v>
      </c>
      <c r="M1941" s="12">
        <v>-1474.94</v>
      </c>
      <c r="N1941" s="12">
        <v>0</v>
      </c>
      <c r="O1941" s="12">
        <v>1917.637753</v>
      </c>
      <c r="P1941" s="12">
        <v>16668.697753</v>
      </c>
    </row>
    <row r="1942" spans="1:16" ht="14.5" x14ac:dyDescent="0.25">
      <c r="A1942" s="10">
        <v>46022</v>
      </c>
      <c r="B1942" s="2" t="str">
        <f t="shared" si="60"/>
        <v>Dec-2025</v>
      </c>
      <c r="C1942" s="2" t="str">
        <f t="shared" si="61"/>
        <v>Q3</v>
      </c>
      <c r="D1942" s="2" t="s">
        <v>28</v>
      </c>
      <c r="E1942" s="11" t="s">
        <v>415</v>
      </c>
      <c r="F1942" s="11" t="s">
        <v>416</v>
      </c>
      <c r="G1942" s="11" t="s">
        <v>503</v>
      </c>
      <c r="H1942" s="11" t="s">
        <v>42</v>
      </c>
      <c r="I1942" s="12">
        <v>0.5</v>
      </c>
      <c r="J1942" s="12">
        <v>60</v>
      </c>
      <c r="K1942" s="12">
        <v>148.72999999999999</v>
      </c>
      <c r="L1942" s="12">
        <v>8923.8000000000011</v>
      </c>
      <c r="M1942" s="12">
        <v>-811.17</v>
      </c>
      <c r="N1942" s="12">
        <v>0</v>
      </c>
      <c r="O1942" s="12">
        <v>1054.6418740000001</v>
      </c>
      <c r="P1942" s="12">
        <v>9167.271874</v>
      </c>
    </row>
    <row r="1943" spans="1:16" ht="14.5" x14ac:dyDescent="0.25">
      <c r="A1943" s="10">
        <v>46022</v>
      </c>
      <c r="B1943" s="2" t="str">
        <f t="shared" si="60"/>
        <v>Dec-2025</v>
      </c>
      <c r="C1943" s="2" t="str">
        <f t="shared" si="61"/>
        <v>Q3</v>
      </c>
      <c r="D1943" s="2" t="s">
        <v>28</v>
      </c>
      <c r="E1943" s="11" t="s">
        <v>417</v>
      </c>
      <c r="F1943" s="11" t="s">
        <v>416</v>
      </c>
      <c r="G1943" s="11" t="s">
        <v>504</v>
      </c>
      <c r="H1943" s="11" t="s">
        <v>53</v>
      </c>
      <c r="I1943" s="12">
        <v>1</v>
      </c>
      <c r="J1943" s="12">
        <v>100</v>
      </c>
      <c r="K1943" s="12">
        <v>137.5</v>
      </c>
      <c r="L1943" s="12">
        <v>13750</v>
      </c>
      <c r="M1943" s="12">
        <v>-1249.8800000000001</v>
      </c>
      <c r="N1943" s="12">
        <v>0</v>
      </c>
      <c r="O1943" s="12">
        <v>0</v>
      </c>
      <c r="P1943" s="12">
        <v>12500.12</v>
      </c>
    </row>
    <row r="1944" spans="1:16" ht="14.5" x14ac:dyDescent="0.25">
      <c r="A1944" s="10">
        <v>46022</v>
      </c>
      <c r="B1944" s="2" t="str">
        <f t="shared" si="60"/>
        <v>Dec-2025</v>
      </c>
      <c r="C1944" s="2" t="str">
        <f t="shared" si="61"/>
        <v>Q3</v>
      </c>
      <c r="D1944" s="2" t="s">
        <v>28</v>
      </c>
      <c r="E1944" s="11" t="s">
        <v>417</v>
      </c>
      <c r="F1944" s="11" t="s">
        <v>416</v>
      </c>
      <c r="G1944" s="11" t="s">
        <v>504</v>
      </c>
      <c r="H1944" s="11" t="s">
        <v>61</v>
      </c>
      <c r="I1944" s="12">
        <v>1</v>
      </c>
      <c r="J1944" s="12">
        <v>40</v>
      </c>
      <c r="K1944" s="12">
        <v>336.13</v>
      </c>
      <c r="L1944" s="12">
        <v>13445.199999999999</v>
      </c>
      <c r="M1944" s="12">
        <v>-1222.1699999999998</v>
      </c>
      <c r="N1944" s="12">
        <v>0</v>
      </c>
      <c r="O1944" s="12">
        <v>0</v>
      </c>
      <c r="P1944" s="12">
        <v>12223.03</v>
      </c>
    </row>
    <row r="1945" spans="1:16" ht="14.5" x14ac:dyDescent="0.25">
      <c r="A1945" s="10">
        <v>46026</v>
      </c>
      <c r="B1945" s="2" t="str">
        <f t="shared" si="60"/>
        <v>Jan-2026</v>
      </c>
      <c r="C1945" s="2" t="str">
        <f t="shared" si="61"/>
        <v>Q4</v>
      </c>
      <c r="D1945" s="2" t="s">
        <v>28</v>
      </c>
      <c r="E1945" s="11" t="s">
        <v>418</v>
      </c>
      <c r="F1945" s="11" t="s">
        <v>21</v>
      </c>
      <c r="G1945" s="11" t="s">
        <v>503</v>
      </c>
      <c r="H1945" s="11" t="s">
        <v>42</v>
      </c>
      <c r="I1945" s="12">
        <v>2.25</v>
      </c>
      <c r="J1945" s="12">
        <v>270</v>
      </c>
      <c r="K1945" s="12">
        <v>140.18</v>
      </c>
      <c r="L1945" s="12">
        <v>37848.6</v>
      </c>
      <c r="M1945" s="12">
        <v>0</v>
      </c>
      <c r="N1945" s="12">
        <v>0</v>
      </c>
      <c r="O1945" s="12">
        <v>4920.3179190000001</v>
      </c>
      <c r="P1945" s="12">
        <v>42768.917919</v>
      </c>
    </row>
    <row r="1946" spans="1:16" ht="14.5" x14ac:dyDescent="0.25">
      <c r="A1946" s="10">
        <v>46026</v>
      </c>
      <c r="B1946" s="2" t="str">
        <f t="shared" si="60"/>
        <v>Jan-2026</v>
      </c>
      <c r="C1946" s="2" t="str">
        <f t="shared" si="61"/>
        <v>Q4</v>
      </c>
      <c r="D1946" s="2" t="s">
        <v>28</v>
      </c>
      <c r="E1946" s="11" t="s">
        <v>418</v>
      </c>
      <c r="F1946" s="11" t="s">
        <v>21</v>
      </c>
      <c r="G1946" s="11" t="s">
        <v>503</v>
      </c>
      <c r="H1946" s="11" t="s">
        <v>177</v>
      </c>
      <c r="I1946" s="12">
        <v>2.25</v>
      </c>
      <c r="J1946" s="12">
        <v>270</v>
      </c>
      <c r="K1946" s="12">
        <v>89.2</v>
      </c>
      <c r="L1946" s="12">
        <v>24084</v>
      </c>
      <c r="M1946" s="12">
        <v>0</v>
      </c>
      <c r="N1946" s="12">
        <v>0</v>
      </c>
      <c r="O1946" s="12">
        <v>3130.9199480000002</v>
      </c>
      <c r="P1946" s="12">
        <v>27214.919947999999</v>
      </c>
    </row>
    <row r="1947" spans="1:16" ht="14.5" x14ac:dyDescent="0.25">
      <c r="A1947" s="10">
        <v>46026</v>
      </c>
      <c r="B1947" s="2" t="str">
        <f t="shared" si="60"/>
        <v>Jan-2026</v>
      </c>
      <c r="C1947" s="2" t="str">
        <f t="shared" si="61"/>
        <v>Q4</v>
      </c>
      <c r="D1947" s="2" t="s">
        <v>28</v>
      </c>
      <c r="E1947" s="11" t="s">
        <v>418</v>
      </c>
      <c r="F1947" s="11" t="s">
        <v>21</v>
      </c>
      <c r="G1947" s="11" t="s">
        <v>505</v>
      </c>
      <c r="H1947" s="11" t="s">
        <v>49</v>
      </c>
      <c r="I1947" s="12">
        <v>3</v>
      </c>
      <c r="J1947" s="12">
        <v>540</v>
      </c>
      <c r="K1947" s="12">
        <v>149.72999999999999</v>
      </c>
      <c r="L1947" s="12">
        <v>80854.200000000012</v>
      </c>
      <c r="M1947" s="12">
        <v>0</v>
      </c>
      <c r="N1947" s="12">
        <v>0</v>
      </c>
      <c r="O1947" s="12">
        <v>10511.045826000001</v>
      </c>
      <c r="P1947" s="12">
        <v>91365.245825999998</v>
      </c>
    </row>
    <row r="1948" spans="1:16" ht="14.5" x14ac:dyDescent="0.25">
      <c r="A1948" s="10">
        <v>46026</v>
      </c>
      <c r="B1948" s="2" t="str">
        <f t="shared" si="60"/>
        <v>Jan-2026</v>
      </c>
      <c r="C1948" s="2" t="str">
        <f t="shared" si="61"/>
        <v>Q4</v>
      </c>
      <c r="D1948" s="2" t="s">
        <v>28</v>
      </c>
      <c r="E1948" s="11" t="s">
        <v>418</v>
      </c>
      <c r="F1948" s="11" t="s">
        <v>21</v>
      </c>
      <c r="G1948" s="11" t="s">
        <v>503</v>
      </c>
      <c r="H1948" s="11" t="s">
        <v>87</v>
      </c>
      <c r="I1948" s="12">
        <v>1.5</v>
      </c>
      <c r="J1948" s="12">
        <v>270</v>
      </c>
      <c r="K1948" s="12">
        <v>108.32</v>
      </c>
      <c r="L1948" s="12">
        <v>29246.400000000001</v>
      </c>
      <c r="M1948" s="12">
        <v>0</v>
      </c>
      <c r="N1948" s="12">
        <v>0</v>
      </c>
      <c r="O1948" s="12">
        <v>3802.0319369999997</v>
      </c>
      <c r="P1948" s="12">
        <v>33048.431937000001</v>
      </c>
    </row>
    <row r="1949" spans="1:16" ht="14.5" x14ac:dyDescent="0.25">
      <c r="A1949" s="10">
        <v>46026</v>
      </c>
      <c r="B1949" s="2" t="str">
        <f t="shared" si="60"/>
        <v>Jan-2026</v>
      </c>
      <c r="C1949" s="2" t="str">
        <f t="shared" si="61"/>
        <v>Q4</v>
      </c>
      <c r="D1949" s="2" t="s">
        <v>28</v>
      </c>
      <c r="E1949" s="11" t="s">
        <v>418</v>
      </c>
      <c r="F1949" s="11" t="s">
        <v>21</v>
      </c>
      <c r="G1949" s="11" t="s">
        <v>503</v>
      </c>
      <c r="H1949" s="11" t="s">
        <v>63</v>
      </c>
      <c r="I1949" s="12">
        <v>3.38</v>
      </c>
      <c r="J1949" s="12">
        <v>270</v>
      </c>
      <c r="K1949" s="12">
        <v>175.22</v>
      </c>
      <c r="L1949" s="12">
        <v>47309.399999999994</v>
      </c>
      <c r="M1949" s="12">
        <v>0</v>
      </c>
      <c r="N1949" s="12">
        <v>0</v>
      </c>
      <c r="O1949" s="12">
        <v>6150.2218979999998</v>
      </c>
      <c r="P1949" s="12">
        <v>53459.621897999998</v>
      </c>
    </row>
    <row r="1950" spans="1:16" ht="14.5" x14ac:dyDescent="0.25">
      <c r="A1950" s="10">
        <v>46026</v>
      </c>
      <c r="B1950" s="2" t="str">
        <f t="shared" si="60"/>
        <v>Jan-2026</v>
      </c>
      <c r="C1950" s="2" t="str">
        <f t="shared" si="61"/>
        <v>Q4</v>
      </c>
      <c r="D1950" s="2" t="s">
        <v>28</v>
      </c>
      <c r="E1950" s="11" t="s">
        <v>418</v>
      </c>
      <c r="F1950" s="11" t="s">
        <v>21</v>
      </c>
      <c r="G1950" s="11" t="s">
        <v>503</v>
      </c>
      <c r="H1950" s="11" t="s">
        <v>89</v>
      </c>
      <c r="I1950" s="12">
        <v>2.25</v>
      </c>
      <c r="J1950" s="12">
        <v>270</v>
      </c>
      <c r="K1950" s="12">
        <v>108.32</v>
      </c>
      <c r="L1950" s="12">
        <v>29246.400000000001</v>
      </c>
      <c r="M1950" s="12">
        <v>0</v>
      </c>
      <c r="N1950" s="12">
        <v>0</v>
      </c>
      <c r="O1950" s="12">
        <v>3802.0319369999997</v>
      </c>
      <c r="P1950" s="12">
        <v>33048.431937000001</v>
      </c>
    </row>
    <row r="1951" spans="1:16" ht="14.5" x14ac:dyDescent="0.25">
      <c r="A1951" s="10">
        <v>46026</v>
      </c>
      <c r="B1951" s="2" t="str">
        <f t="shared" si="60"/>
        <v>Jan-2026</v>
      </c>
      <c r="C1951" s="2" t="str">
        <f t="shared" si="61"/>
        <v>Q4</v>
      </c>
      <c r="D1951" s="2" t="s">
        <v>28</v>
      </c>
      <c r="E1951" s="11" t="s">
        <v>418</v>
      </c>
      <c r="F1951" s="11" t="s">
        <v>21</v>
      </c>
      <c r="G1951" s="11" t="s">
        <v>503</v>
      </c>
      <c r="H1951" s="11" t="s">
        <v>171</v>
      </c>
      <c r="I1951" s="12">
        <v>1.5</v>
      </c>
      <c r="J1951" s="12">
        <v>120</v>
      </c>
      <c r="K1951" s="12">
        <v>146.55000000000001</v>
      </c>
      <c r="L1951" s="12">
        <v>17586</v>
      </c>
      <c r="M1951" s="12">
        <v>0</v>
      </c>
      <c r="N1951" s="12">
        <v>0</v>
      </c>
      <c r="O1951" s="12">
        <v>2286.1799619999997</v>
      </c>
      <c r="P1951" s="12">
        <v>19872.179961999998</v>
      </c>
    </row>
    <row r="1952" spans="1:16" ht="14.5" x14ac:dyDescent="0.25">
      <c r="A1952" s="10">
        <v>46026</v>
      </c>
      <c r="B1952" s="2" t="str">
        <f t="shared" si="60"/>
        <v>Jan-2026</v>
      </c>
      <c r="C1952" s="2" t="str">
        <f t="shared" si="61"/>
        <v>Q4</v>
      </c>
      <c r="D1952" s="2" t="s">
        <v>28</v>
      </c>
      <c r="E1952" s="11" t="s">
        <v>418</v>
      </c>
      <c r="F1952" s="11" t="s">
        <v>21</v>
      </c>
      <c r="G1952" s="11" t="s">
        <v>503</v>
      </c>
      <c r="H1952" s="11" t="s">
        <v>48</v>
      </c>
      <c r="I1952" s="12">
        <v>1.5</v>
      </c>
      <c r="J1952" s="12">
        <v>270</v>
      </c>
      <c r="K1952" s="12">
        <v>127.43</v>
      </c>
      <c r="L1952" s="12">
        <v>34406.1</v>
      </c>
      <c r="M1952" s="12">
        <v>0</v>
      </c>
      <c r="N1952" s="12">
        <v>0</v>
      </c>
      <c r="O1952" s="12">
        <v>4472.7929260000001</v>
      </c>
      <c r="P1952" s="12">
        <v>38878.892926</v>
      </c>
    </row>
    <row r="1953" spans="1:16" ht="14.5" x14ac:dyDescent="0.25">
      <c r="A1953" s="10">
        <v>46026</v>
      </c>
      <c r="B1953" s="2" t="str">
        <f t="shared" si="60"/>
        <v>Jan-2026</v>
      </c>
      <c r="C1953" s="2" t="str">
        <f t="shared" si="61"/>
        <v>Q4</v>
      </c>
      <c r="D1953" s="2" t="s">
        <v>28</v>
      </c>
      <c r="E1953" s="11" t="s">
        <v>418</v>
      </c>
      <c r="F1953" s="11" t="s">
        <v>21</v>
      </c>
      <c r="G1953" s="11" t="s">
        <v>505</v>
      </c>
      <c r="H1953" s="11" t="s">
        <v>62</v>
      </c>
      <c r="I1953" s="12">
        <v>6.75</v>
      </c>
      <c r="J1953" s="12">
        <v>270</v>
      </c>
      <c r="K1953" s="12">
        <v>414.16</v>
      </c>
      <c r="L1953" s="12">
        <v>111823.2</v>
      </c>
      <c r="M1953" s="12">
        <v>0</v>
      </c>
      <c r="N1953" s="12">
        <v>0</v>
      </c>
      <c r="O1953" s="12">
        <v>14537.015759999998</v>
      </c>
      <c r="P1953" s="12">
        <v>126360.21576000001</v>
      </c>
    </row>
    <row r="1954" spans="1:16" ht="14.5" x14ac:dyDescent="0.25">
      <c r="A1954" s="10">
        <v>46026</v>
      </c>
      <c r="B1954" s="2" t="str">
        <f t="shared" si="60"/>
        <v>Jan-2026</v>
      </c>
      <c r="C1954" s="2" t="str">
        <f t="shared" si="61"/>
        <v>Q4</v>
      </c>
      <c r="D1954" s="2" t="s">
        <v>28</v>
      </c>
      <c r="E1954" s="11" t="s">
        <v>418</v>
      </c>
      <c r="F1954" s="11" t="s">
        <v>21</v>
      </c>
      <c r="G1954" s="11" t="s">
        <v>503</v>
      </c>
      <c r="H1954" s="11" t="s">
        <v>57</v>
      </c>
      <c r="I1954" s="12">
        <v>3</v>
      </c>
      <c r="J1954" s="12">
        <v>540</v>
      </c>
      <c r="K1954" s="12">
        <v>111.5</v>
      </c>
      <c r="L1954" s="12">
        <v>60210</v>
      </c>
      <c r="M1954" s="12">
        <v>0</v>
      </c>
      <c r="N1954" s="12">
        <v>0</v>
      </c>
      <c r="O1954" s="12">
        <v>7827.2998710000002</v>
      </c>
      <c r="P1954" s="12">
        <v>68037.299870999996</v>
      </c>
    </row>
    <row r="1955" spans="1:16" ht="14.5" x14ac:dyDescent="0.25">
      <c r="A1955" s="10">
        <v>46026</v>
      </c>
      <c r="B1955" s="2" t="str">
        <f t="shared" ref="B1955:B2018" si="62">+TEXT(A1955,"MMM-yyy")</f>
        <v>Jan-2026</v>
      </c>
      <c r="C1955" s="2" t="str">
        <f t="shared" ref="C1955:C2018" si="63">"Q" &amp; CHOOSE(MONTH(A1955),4,4,4,1,1,1,2,2,2,3,3,3)</f>
        <v>Q4</v>
      </c>
      <c r="D1955" s="2" t="s">
        <v>28</v>
      </c>
      <c r="E1955" s="11" t="s">
        <v>418</v>
      </c>
      <c r="F1955" s="11" t="s">
        <v>21</v>
      </c>
      <c r="G1955" s="11" t="s">
        <v>503</v>
      </c>
      <c r="H1955" s="11" t="s">
        <v>173</v>
      </c>
      <c r="I1955" s="12">
        <v>2.25</v>
      </c>
      <c r="J1955" s="12">
        <v>270</v>
      </c>
      <c r="K1955" s="12">
        <v>79.650000000000006</v>
      </c>
      <c r="L1955" s="12">
        <v>21505.5</v>
      </c>
      <c r="M1955" s="12">
        <v>0</v>
      </c>
      <c r="N1955" s="12">
        <v>0</v>
      </c>
      <c r="O1955" s="12">
        <v>2795.714954</v>
      </c>
      <c r="P1955" s="12">
        <v>24301.214953999999</v>
      </c>
    </row>
    <row r="1956" spans="1:16" ht="14.5" x14ac:dyDescent="0.25">
      <c r="A1956" s="10">
        <v>46026</v>
      </c>
      <c r="B1956" s="2" t="str">
        <f t="shared" si="62"/>
        <v>Jan-2026</v>
      </c>
      <c r="C1956" s="2" t="str">
        <f t="shared" si="63"/>
        <v>Q4</v>
      </c>
      <c r="D1956" s="2" t="s">
        <v>28</v>
      </c>
      <c r="E1956" s="11" t="s">
        <v>418</v>
      </c>
      <c r="F1956" s="11" t="s">
        <v>21</v>
      </c>
      <c r="G1956" s="11" t="s">
        <v>504</v>
      </c>
      <c r="H1956" s="11" t="s">
        <v>69</v>
      </c>
      <c r="I1956" s="12">
        <v>1.65</v>
      </c>
      <c r="J1956" s="12">
        <v>165</v>
      </c>
      <c r="K1956" s="12">
        <v>152.91999999999999</v>
      </c>
      <c r="L1956" s="12">
        <v>25231.800000000003</v>
      </c>
      <c r="M1956" s="12">
        <v>0</v>
      </c>
      <c r="N1956" s="12">
        <v>0</v>
      </c>
      <c r="O1956" s="12">
        <v>3280.1339460000004</v>
      </c>
      <c r="P1956" s="12">
        <v>28511.933946000001</v>
      </c>
    </row>
    <row r="1957" spans="1:16" ht="14.5" x14ac:dyDescent="0.25">
      <c r="A1957" s="10">
        <v>46026</v>
      </c>
      <c r="B1957" s="2" t="str">
        <f t="shared" si="62"/>
        <v>Jan-2026</v>
      </c>
      <c r="C1957" s="2" t="str">
        <f t="shared" si="63"/>
        <v>Q4</v>
      </c>
      <c r="D1957" s="2" t="s">
        <v>28</v>
      </c>
      <c r="E1957" s="11" t="s">
        <v>418</v>
      </c>
      <c r="F1957" s="11" t="s">
        <v>21</v>
      </c>
      <c r="G1957" s="11" t="s">
        <v>503</v>
      </c>
      <c r="H1957" s="11" t="s">
        <v>44</v>
      </c>
      <c r="I1957" s="12">
        <v>1.5</v>
      </c>
      <c r="J1957" s="12">
        <v>270</v>
      </c>
      <c r="K1957" s="12">
        <v>146.55000000000001</v>
      </c>
      <c r="L1957" s="12">
        <v>39568.5</v>
      </c>
      <c r="M1957" s="12">
        <v>0</v>
      </c>
      <c r="N1957" s="12">
        <v>0</v>
      </c>
      <c r="O1957" s="12">
        <v>5143.9049150000001</v>
      </c>
      <c r="P1957" s="12">
        <v>44712.404914999999</v>
      </c>
    </row>
    <row r="1958" spans="1:16" ht="14.5" x14ac:dyDescent="0.25">
      <c r="A1958" s="10">
        <v>46026</v>
      </c>
      <c r="B1958" s="2" t="str">
        <f t="shared" si="62"/>
        <v>Jan-2026</v>
      </c>
      <c r="C1958" s="2" t="str">
        <f t="shared" si="63"/>
        <v>Q4</v>
      </c>
      <c r="D1958" s="2" t="s">
        <v>28</v>
      </c>
      <c r="E1958" s="11" t="s">
        <v>418</v>
      </c>
      <c r="F1958" s="11" t="s">
        <v>21</v>
      </c>
      <c r="G1958" s="11" t="s">
        <v>503</v>
      </c>
      <c r="H1958" s="11" t="s">
        <v>180</v>
      </c>
      <c r="I1958" s="12">
        <v>2</v>
      </c>
      <c r="J1958" s="12">
        <v>160</v>
      </c>
      <c r="K1958" s="12">
        <v>133.81</v>
      </c>
      <c r="L1958" s="12">
        <v>21409.599999999999</v>
      </c>
      <c r="M1958" s="12">
        <v>0</v>
      </c>
      <c r="N1958" s="12">
        <v>0</v>
      </c>
      <c r="O1958" s="12">
        <v>2783.2479539999999</v>
      </c>
      <c r="P1958" s="12">
        <v>24192.847954000001</v>
      </c>
    </row>
    <row r="1959" spans="1:16" ht="14.5" x14ac:dyDescent="0.25">
      <c r="A1959" s="10">
        <v>46026</v>
      </c>
      <c r="B1959" s="2" t="str">
        <f t="shared" si="62"/>
        <v>Jan-2026</v>
      </c>
      <c r="C1959" s="2" t="str">
        <f t="shared" si="63"/>
        <v>Q4</v>
      </c>
      <c r="D1959" s="2" t="s">
        <v>28</v>
      </c>
      <c r="E1959" s="11" t="s">
        <v>418</v>
      </c>
      <c r="F1959" s="11" t="s">
        <v>21</v>
      </c>
      <c r="G1959" s="11" t="s">
        <v>503</v>
      </c>
      <c r="H1959" s="11" t="s">
        <v>46</v>
      </c>
      <c r="I1959" s="12">
        <v>2.25</v>
      </c>
      <c r="J1959" s="12">
        <v>270</v>
      </c>
      <c r="K1959" s="12">
        <v>111.5</v>
      </c>
      <c r="L1959" s="12">
        <v>30105</v>
      </c>
      <c r="M1959" s="12">
        <v>0</v>
      </c>
      <c r="N1959" s="12">
        <v>0</v>
      </c>
      <c r="O1959" s="12">
        <v>3913.6499349999999</v>
      </c>
      <c r="P1959" s="12">
        <v>34018.649935000001</v>
      </c>
    </row>
    <row r="1960" spans="1:16" ht="14.5" x14ac:dyDescent="0.25">
      <c r="A1960" s="10">
        <v>46026</v>
      </c>
      <c r="B1960" s="2" t="str">
        <f t="shared" si="62"/>
        <v>Jan-2026</v>
      </c>
      <c r="C1960" s="2" t="str">
        <f t="shared" si="63"/>
        <v>Q4</v>
      </c>
      <c r="D1960" s="2" t="s">
        <v>28</v>
      </c>
      <c r="E1960" s="11" t="s">
        <v>418</v>
      </c>
      <c r="F1960" s="11" t="s">
        <v>21</v>
      </c>
      <c r="G1960" s="11" t="s">
        <v>504</v>
      </c>
      <c r="H1960" s="11" t="s">
        <v>66</v>
      </c>
      <c r="I1960" s="12">
        <v>1.65</v>
      </c>
      <c r="J1960" s="12">
        <v>165</v>
      </c>
      <c r="K1960" s="12">
        <v>101.95</v>
      </c>
      <c r="L1960" s="12">
        <v>16821.75</v>
      </c>
      <c r="M1960" s="12">
        <v>0</v>
      </c>
      <c r="N1960" s="12">
        <v>0</v>
      </c>
      <c r="O1960" s="12">
        <v>2186.827464</v>
      </c>
      <c r="P1960" s="12">
        <v>19008.577464000002</v>
      </c>
    </row>
    <row r="1961" spans="1:16" ht="14.5" x14ac:dyDescent="0.25">
      <c r="A1961" s="10">
        <v>46026</v>
      </c>
      <c r="B1961" s="2" t="str">
        <f t="shared" si="62"/>
        <v>Jan-2026</v>
      </c>
      <c r="C1961" s="2" t="str">
        <f t="shared" si="63"/>
        <v>Q4</v>
      </c>
      <c r="D1961" s="2" t="s">
        <v>28</v>
      </c>
      <c r="E1961" s="11" t="s">
        <v>418</v>
      </c>
      <c r="F1961" s="11" t="s">
        <v>21</v>
      </c>
      <c r="G1961" s="11" t="s">
        <v>503</v>
      </c>
      <c r="H1961" s="11" t="s">
        <v>176</v>
      </c>
      <c r="I1961" s="12">
        <v>2.25</v>
      </c>
      <c r="J1961" s="12">
        <v>270</v>
      </c>
      <c r="K1961" s="12">
        <v>149.72999999999999</v>
      </c>
      <c r="L1961" s="12">
        <v>40427.100000000006</v>
      </c>
      <c r="M1961" s="12">
        <v>0</v>
      </c>
      <c r="N1961" s="12">
        <v>0</v>
      </c>
      <c r="O1961" s="12">
        <v>5255.5229130000007</v>
      </c>
      <c r="P1961" s="12">
        <v>45682.622912999999</v>
      </c>
    </row>
    <row r="1962" spans="1:16" ht="14.5" x14ac:dyDescent="0.25">
      <c r="A1962" s="10">
        <v>46026</v>
      </c>
      <c r="B1962" s="2" t="str">
        <f t="shared" si="62"/>
        <v>Jan-2026</v>
      </c>
      <c r="C1962" s="2" t="str">
        <f t="shared" si="63"/>
        <v>Q4</v>
      </c>
      <c r="D1962" s="2" t="s">
        <v>28</v>
      </c>
      <c r="E1962" s="11" t="s">
        <v>418</v>
      </c>
      <c r="F1962" s="11" t="s">
        <v>21</v>
      </c>
      <c r="G1962" s="11" t="s">
        <v>503</v>
      </c>
      <c r="H1962" s="11" t="s">
        <v>47</v>
      </c>
      <c r="I1962" s="12">
        <v>2.25</v>
      </c>
      <c r="J1962" s="12">
        <v>270</v>
      </c>
      <c r="K1962" s="12">
        <v>111.5</v>
      </c>
      <c r="L1962" s="12">
        <v>30105</v>
      </c>
      <c r="M1962" s="12">
        <v>0</v>
      </c>
      <c r="N1962" s="12">
        <v>0</v>
      </c>
      <c r="O1962" s="12">
        <v>3913.6499349999999</v>
      </c>
      <c r="P1962" s="12">
        <v>34018.649935000001</v>
      </c>
    </row>
    <row r="1963" spans="1:16" ht="14.5" x14ac:dyDescent="0.25">
      <c r="A1963" s="10">
        <v>46026</v>
      </c>
      <c r="B1963" s="2" t="str">
        <f t="shared" si="62"/>
        <v>Jan-2026</v>
      </c>
      <c r="C1963" s="2" t="str">
        <f t="shared" si="63"/>
        <v>Q4</v>
      </c>
      <c r="D1963" s="2" t="s">
        <v>28</v>
      </c>
      <c r="E1963" s="11" t="s">
        <v>419</v>
      </c>
      <c r="F1963" s="11" t="s">
        <v>21</v>
      </c>
      <c r="G1963" s="11" t="s">
        <v>504</v>
      </c>
      <c r="H1963" s="11" t="s">
        <v>53</v>
      </c>
      <c r="I1963" s="12">
        <v>1.65</v>
      </c>
      <c r="J1963" s="12">
        <v>165</v>
      </c>
      <c r="K1963" s="12">
        <v>129.6</v>
      </c>
      <c r="L1963" s="12">
        <v>21383.999999999996</v>
      </c>
      <c r="M1963" s="12" t="s">
        <v>113</v>
      </c>
      <c r="N1963" s="12" t="s">
        <v>113</v>
      </c>
      <c r="O1963" s="12" t="s">
        <v>113</v>
      </c>
      <c r="P1963" s="12">
        <v>21384</v>
      </c>
    </row>
    <row r="1964" spans="1:16" ht="14.5" x14ac:dyDescent="0.25">
      <c r="A1964" s="10">
        <v>46027</v>
      </c>
      <c r="B1964" s="2" t="str">
        <f t="shared" si="62"/>
        <v>Jan-2026</v>
      </c>
      <c r="C1964" s="2" t="str">
        <f t="shared" si="63"/>
        <v>Q4</v>
      </c>
      <c r="D1964" s="2" t="s">
        <v>28</v>
      </c>
      <c r="E1964" s="11" t="s">
        <v>420</v>
      </c>
      <c r="F1964" s="11" t="s">
        <v>104</v>
      </c>
      <c r="G1964" s="11" t="s">
        <v>503</v>
      </c>
      <c r="H1964" s="11" t="s">
        <v>52</v>
      </c>
      <c r="I1964" s="12">
        <v>0.06</v>
      </c>
      <c r="J1964" s="12">
        <v>10</v>
      </c>
      <c r="K1964" s="12">
        <v>74.34</v>
      </c>
      <c r="L1964" s="12">
        <v>743.4</v>
      </c>
      <c r="M1964" s="12">
        <v>0</v>
      </c>
      <c r="N1964" s="12">
        <v>0</v>
      </c>
      <c r="O1964" s="12">
        <v>96.641999999999996</v>
      </c>
      <c r="P1964" s="12">
        <v>840.04200000000003</v>
      </c>
    </row>
    <row r="1965" spans="1:16" ht="14.5" x14ac:dyDescent="0.25">
      <c r="A1965" s="10">
        <v>46027</v>
      </c>
      <c r="B1965" s="2" t="str">
        <f t="shared" si="62"/>
        <v>Jan-2026</v>
      </c>
      <c r="C1965" s="2" t="str">
        <f t="shared" si="63"/>
        <v>Q4</v>
      </c>
      <c r="D1965" s="2" t="s">
        <v>28</v>
      </c>
      <c r="E1965" s="11" t="s">
        <v>420</v>
      </c>
      <c r="F1965" s="11" t="s">
        <v>104</v>
      </c>
      <c r="G1965" s="11" t="s">
        <v>503</v>
      </c>
      <c r="H1965" s="11" t="s">
        <v>45</v>
      </c>
      <c r="I1965" s="12">
        <v>0.06</v>
      </c>
      <c r="J1965" s="12">
        <v>10</v>
      </c>
      <c r="K1965" s="12">
        <v>67.260000000000005</v>
      </c>
      <c r="L1965" s="12">
        <v>672.6</v>
      </c>
      <c r="M1965" s="12">
        <v>0</v>
      </c>
      <c r="N1965" s="12">
        <v>0</v>
      </c>
      <c r="O1965" s="12">
        <v>87.438000000000002</v>
      </c>
      <c r="P1965" s="12">
        <v>760.03800000000001</v>
      </c>
    </row>
    <row r="1966" spans="1:16" ht="14.5" x14ac:dyDescent="0.25">
      <c r="A1966" s="10">
        <v>46028</v>
      </c>
      <c r="B1966" s="2" t="str">
        <f t="shared" si="62"/>
        <v>Jan-2026</v>
      </c>
      <c r="C1966" s="2" t="str">
        <f t="shared" si="63"/>
        <v>Q4</v>
      </c>
      <c r="D1966" s="2" t="s">
        <v>28</v>
      </c>
      <c r="E1966" s="11" t="s">
        <v>421</v>
      </c>
      <c r="F1966" s="11" t="s">
        <v>337</v>
      </c>
      <c r="G1966" s="11" t="s">
        <v>503</v>
      </c>
      <c r="H1966" s="11" t="s">
        <v>59</v>
      </c>
      <c r="I1966" s="12">
        <v>0.22</v>
      </c>
      <c r="J1966" s="12">
        <v>40</v>
      </c>
      <c r="K1966" s="12">
        <v>62.21</v>
      </c>
      <c r="L1966" s="12">
        <v>2488.4</v>
      </c>
      <c r="M1966" s="12">
        <v>-226.2</v>
      </c>
      <c r="N1966" s="12">
        <v>0</v>
      </c>
      <c r="O1966" s="12">
        <v>294.08999999999997</v>
      </c>
      <c r="P1966" s="12">
        <v>2556.29</v>
      </c>
    </row>
    <row r="1967" spans="1:16" ht="14.5" x14ac:dyDescent="0.25">
      <c r="A1967" s="10">
        <v>46029</v>
      </c>
      <c r="B1967" s="2" t="str">
        <f t="shared" si="62"/>
        <v>Jan-2026</v>
      </c>
      <c r="C1967" s="2" t="str">
        <f t="shared" si="63"/>
        <v>Q4</v>
      </c>
      <c r="D1967" s="2" t="s">
        <v>28</v>
      </c>
      <c r="E1967" s="11" t="s">
        <v>422</v>
      </c>
      <c r="F1967" s="11" t="s">
        <v>14</v>
      </c>
      <c r="G1967" s="11" t="s">
        <v>504</v>
      </c>
      <c r="H1967" s="11" t="s">
        <v>66</v>
      </c>
      <c r="I1967" s="12">
        <v>1</v>
      </c>
      <c r="J1967" s="12">
        <v>100</v>
      </c>
      <c r="K1967" s="12">
        <v>108.17</v>
      </c>
      <c r="L1967" s="12">
        <v>10817</v>
      </c>
      <c r="M1967" s="12">
        <v>-983.2700000000001</v>
      </c>
      <c r="N1967" s="12">
        <v>0</v>
      </c>
      <c r="O1967" s="12">
        <v>1278.385401</v>
      </c>
      <c r="P1967" s="12">
        <v>11112.115400999999</v>
      </c>
    </row>
    <row r="1968" spans="1:16" ht="14.5" x14ac:dyDescent="0.25">
      <c r="A1968" s="10">
        <v>46029</v>
      </c>
      <c r="B1968" s="2" t="str">
        <f t="shared" si="62"/>
        <v>Jan-2026</v>
      </c>
      <c r="C1968" s="2" t="str">
        <f t="shared" si="63"/>
        <v>Q4</v>
      </c>
      <c r="D1968" s="2" t="s">
        <v>28</v>
      </c>
      <c r="E1968" s="11" t="s">
        <v>422</v>
      </c>
      <c r="F1968" s="11" t="s">
        <v>14</v>
      </c>
      <c r="G1968" s="11" t="s">
        <v>504</v>
      </c>
      <c r="H1968" s="11" t="s">
        <v>68</v>
      </c>
      <c r="I1968" s="12">
        <v>1</v>
      </c>
      <c r="J1968" s="12">
        <v>40</v>
      </c>
      <c r="K1968" s="12">
        <v>260.27999999999997</v>
      </c>
      <c r="L1968" s="12">
        <v>10411.200000000001</v>
      </c>
      <c r="M1968" s="12">
        <v>-946.38</v>
      </c>
      <c r="N1968" s="12">
        <v>0</v>
      </c>
      <c r="O1968" s="12">
        <v>1230.4270820000002</v>
      </c>
      <c r="P1968" s="12">
        <v>10695.247082</v>
      </c>
    </row>
    <row r="1969" spans="1:16" ht="14.5" x14ac:dyDescent="0.25">
      <c r="A1969" s="10">
        <v>46029</v>
      </c>
      <c r="B1969" s="2" t="str">
        <f t="shared" si="62"/>
        <v>Jan-2026</v>
      </c>
      <c r="C1969" s="2" t="str">
        <f t="shared" si="63"/>
        <v>Q4</v>
      </c>
      <c r="D1969" s="2" t="s">
        <v>28</v>
      </c>
      <c r="E1969" s="11" t="s">
        <v>422</v>
      </c>
      <c r="F1969" s="11" t="s">
        <v>14</v>
      </c>
      <c r="G1969" s="11" t="s">
        <v>503</v>
      </c>
      <c r="H1969" s="11" t="s">
        <v>177</v>
      </c>
      <c r="I1969" s="12">
        <v>1</v>
      </c>
      <c r="J1969" s="12">
        <v>120</v>
      </c>
      <c r="K1969" s="12">
        <v>94.65</v>
      </c>
      <c r="L1969" s="12">
        <v>11358</v>
      </c>
      <c r="M1969" s="12">
        <v>-1032.44</v>
      </c>
      <c r="N1969" s="12">
        <v>0</v>
      </c>
      <c r="O1969" s="12">
        <v>1342.323326</v>
      </c>
      <c r="P1969" s="12">
        <v>11667.883325999999</v>
      </c>
    </row>
    <row r="1970" spans="1:16" ht="14.5" x14ac:dyDescent="0.25">
      <c r="A1970" s="10">
        <v>46029</v>
      </c>
      <c r="B1970" s="2" t="str">
        <f t="shared" si="62"/>
        <v>Jan-2026</v>
      </c>
      <c r="C1970" s="2" t="str">
        <f t="shared" si="63"/>
        <v>Q4</v>
      </c>
      <c r="D1970" s="2" t="s">
        <v>28</v>
      </c>
      <c r="E1970" s="11" t="s">
        <v>422</v>
      </c>
      <c r="F1970" s="11" t="s">
        <v>14</v>
      </c>
      <c r="G1970" s="11" t="s">
        <v>504</v>
      </c>
      <c r="H1970" s="11" t="s">
        <v>67</v>
      </c>
      <c r="I1970" s="12">
        <v>1</v>
      </c>
      <c r="J1970" s="12">
        <v>40</v>
      </c>
      <c r="K1970" s="12">
        <v>393.46</v>
      </c>
      <c r="L1970" s="12">
        <v>15738.4</v>
      </c>
      <c r="M1970" s="12">
        <v>-1430.6200000000001</v>
      </c>
      <c r="N1970" s="12">
        <v>0</v>
      </c>
      <c r="O1970" s="12">
        <v>1860.012129</v>
      </c>
      <c r="P1970" s="12">
        <v>16167.792128999999</v>
      </c>
    </row>
    <row r="1971" spans="1:16" ht="14.5" x14ac:dyDescent="0.25">
      <c r="A1971" s="10">
        <v>46029</v>
      </c>
      <c r="B1971" s="2" t="str">
        <f t="shared" si="62"/>
        <v>Jan-2026</v>
      </c>
      <c r="C1971" s="2" t="str">
        <f t="shared" si="63"/>
        <v>Q4</v>
      </c>
      <c r="D1971" s="2" t="s">
        <v>28</v>
      </c>
      <c r="E1971" s="11" t="s">
        <v>422</v>
      </c>
      <c r="F1971" s="11" t="s">
        <v>14</v>
      </c>
      <c r="G1971" s="11" t="s">
        <v>503</v>
      </c>
      <c r="H1971" s="11" t="s">
        <v>190</v>
      </c>
      <c r="I1971" s="12">
        <v>1</v>
      </c>
      <c r="J1971" s="12">
        <v>180</v>
      </c>
      <c r="K1971" s="12">
        <v>81.13</v>
      </c>
      <c r="L1971" s="12">
        <v>14604.000000000002</v>
      </c>
      <c r="M1971" s="12">
        <v>-1327.5000000000002</v>
      </c>
      <c r="N1971" s="12">
        <v>0</v>
      </c>
      <c r="O1971" s="12">
        <v>1725.945676</v>
      </c>
      <c r="P1971" s="12">
        <v>15002.445675999999</v>
      </c>
    </row>
    <row r="1972" spans="1:16" ht="14.5" x14ac:dyDescent="0.25">
      <c r="A1972" s="10">
        <v>46029</v>
      </c>
      <c r="B1972" s="2" t="str">
        <f t="shared" si="62"/>
        <v>Jan-2026</v>
      </c>
      <c r="C1972" s="2" t="str">
        <f t="shared" si="63"/>
        <v>Q4</v>
      </c>
      <c r="D1972" s="2" t="s">
        <v>28</v>
      </c>
      <c r="E1972" s="11" t="s">
        <v>422</v>
      </c>
      <c r="F1972" s="11" t="s">
        <v>14</v>
      </c>
      <c r="G1972" s="11" t="s">
        <v>503</v>
      </c>
      <c r="H1972" s="11" t="s">
        <v>52</v>
      </c>
      <c r="I1972" s="12">
        <v>1</v>
      </c>
      <c r="J1972" s="12">
        <v>180</v>
      </c>
      <c r="K1972" s="12">
        <v>70.989999999999995</v>
      </c>
      <c r="L1972" s="12">
        <v>12778.2</v>
      </c>
      <c r="M1972" s="12">
        <v>-1161.54</v>
      </c>
      <c r="N1972" s="12">
        <v>0</v>
      </c>
      <c r="O1972" s="12">
        <v>1510.1663910000002</v>
      </c>
      <c r="P1972" s="12">
        <v>13126.826391000001</v>
      </c>
    </row>
    <row r="1973" spans="1:16" ht="14.5" x14ac:dyDescent="0.25">
      <c r="A1973" s="10">
        <v>46029</v>
      </c>
      <c r="B1973" s="2" t="str">
        <f t="shared" si="62"/>
        <v>Jan-2026</v>
      </c>
      <c r="C1973" s="2" t="str">
        <f t="shared" si="63"/>
        <v>Q4</v>
      </c>
      <c r="D1973" s="2" t="s">
        <v>28</v>
      </c>
      <c r="E1973" s="11" t="s">
        <v>422</v>
      </c>
      <c r="F1973" s="11" t="s">
        <v>14</v>
      </c>
      <c r="G1973" s="11" t="s">
        <v>506</v>
      </c>
      <c r="H1973" s="11" t="s">
        <v>58</v>
      </c>
      <c r="I1973" s="12">
        <v>1</v>
      </c>
      <c r="J1973" s="12">
        <v>72</v>
      </c>
      <c r="K1973" s="12">
        <v>148.72999999999999</v>
      </c>
      <c r="L1973" s="12">
        <v>10708.56</v>
      </c>
      <c r="M1973" s="12">
        <v>-973.41</v>
      </c>
      <c r="N1973" s="12">
        <v>0</v>
      </c>
      <c r="O1973" s="12">
        <v>1265.5699959999999</v>
      </c>
      <c r="P1973" s="12">
        <v>11000.719996</v>
      </c>
    </row>
    <row r="1974" spans="1:16" ht="14.5" x14ac:dyDescent="0.25">
      <c r="A1974" s="10">
        <v>46029</v>
      </c>
      <c r="B1974" s="2" t="str">
        <f t="shared" si="62"/>
        <v>Jan-2026</v>
      </c>
      <c r="C1974" s="2" t="str">
        <f t="shared" si="63"/>
        <v>Q4</v>
      </c>
      <c r="D1974" s="2" t="s">
        <v>28</v>
      </c>
      <c r="E1974" s="11" t="s">
        <v>423</v>
      </c>
      <c r="F1974" s="11" t="s">
        <v>21</v>
      </c>
      <c r="G1974" s="11" t="s">
        <v>504</v>
      </c>
      <c r="H1974" s="11" t="s">
        <v>66</v>
      </c>
      <c r="I1974" s="12">
        <v>1</v>
      </c>
      <c r="J1974" s="12">
        <v>100</v>
      </c>
      <c r="K1974" s="12">
        <v>101.95</v>
      </c>
      <c r="L1974" s="12">
        <v>10195</v>
      </c>
      <c r="M1974" s="12">
        <v>0</v>
      </c>
      <c r="N1974" s="12">
        <v>0</v>
      </c>
      <c r="O1974" s="12">
        <v>1325.350062</v>
      </c>
      <c r="P1974" s="12">
        <v>11520.350062</v>
      </c>
    </row>
    <row r="1975" spans="1:16" ht="14.5" x14ac:dyDescent="0.25">
      <c r="A1975" s="10">
        <v>46029</v>
      </c>
      <c r="B1975" s="2" t="str">
        <f t="shared" si="62"/>
        <v>Jan-2026</v>
      </c>
      <c r="C1975" s="2" t="str">
        <f t="shared" si="63"/>
        <v>Q4</v>
      </c>
      <c r="D1975" s="2" t="s">
        <v>28</v>
      </c>
      <c r="E1975" s="11" t="s">
        <v>423</v>
      </c>
      <c r="F1975" s="11" t="s">
        <v>21</v>
      </c>
      <c r="G1975" s="11" t="s">
        <v>503</v>
      </c>
      <c r="H1975" s="11" t="s">
        <v>48</v>
      </c>
      <c r="I1975" s="12">
        <v>0.67</v>
      </c>
      <c r="J1975" s="12">
        <v>120</v>
      </c>
      <c r="K1975" s="12">
        <v>127.43</v>
      </c>
      <c r="L1975" s="12">
        <v>15291.6</v>
      </c>
      <c r="M1975" s="12">
        <v>0</v>
      </c>
      <c r="N1975" s="12">
        <v>0</v>
      </c>
      <c r="O1975" s="12">
        <v>1987.9080939999999</v>
      </c>
      <c r="P1975" s="12">
        <v>17279.508094000001</v>
      </c>
    </row>
    <row r="1976" spans="1:16" ht="14.5" x14ac:dyDescent="0.25">
      <c r="A1976" s="10">
        <v>46029</v>
      </c>
      <c r="B1976" s="2" t="str">
        <f t="shared" si="62"/>
        <v>Jan-2026</v>
      </c>
      <c r="C1976" s="2" t="str">
        <f t="shared" si="63"/>
        <v>Q4</v>
      </c>
      <c r="D1976" s="2" t="s">
        <v>28</v>
      </c>
      <c r="E1976" s="11" t="s">
        <v>423</v>
      </c>
      <c r="F1976" s="11" t="s">
        <v>21</v>
      </c>
      <c r="G1976" s="11" t="s">
        <v>503</v>
      </c>
      <c r="H1976" s="11" t="s">
        <v>179</v>
      </c>
      <c r="I1976" s="12">
        <v>1</v>
      </c>
      <c r="J1976" s="12">
        <v>180</v>
      </c>
      <c r="K1976" s="12">
        <v>114.69</v>
      </c>
      <c r="L1976" s="12">
        <v>20644.2</v>
      </c>
      <c r="M1976" s="12">
        <v>0</v>
      </c>
      <c r="N1976" s="12">
        <v>0</v>
      </c>
      <c r="O1976" s="12">
        <v>2683.746126</v>
      </c>
      <c r="P1976" s="12">
        <v>23327.946125999999</v>
      </c>
    </row>
    <row r="1977" spans="1:16" ht="14.5" x14ac:dyDescent="0.25">
      <c r="A1977" s="10">
        <v>46029</v>
      </c>
      <c r="B1977" s="2" t="str">
        <f t="shared" si="62"/>
        <v>Jan-2026</v>
      </c>
      <c r="C1977" s="2" t="str">
        <f t="shared" si="63"/>
        <v>Q4</v>
      </c>
      <c r="D1977" s="2" t="s">
        <v>28</v>
      </c>
      <c r="E1977" s="11" t="s">
        <v>423</v>
      </c>
      <c r="F1977" s="11" t="s">
        <v>21</v>
      </c>
      <c r="G1977" s="11" t="s">
        <v>503</v>
      </c>
      <c r="H1977" s="11" t="s">
        <v>57</v>
      </c>
      <c r="I1977" s="12">
        <v>0.67</v>
      </c>
      <c r="J1977" s="12">
        <v>120</v>
      </c>
      <c r="K1977" s="12">
        <v>111.5</v>
      </c>
      <c r="L1977" s="12">
        <v>13379.999999999998</v>
      </c>
      <c r="M1977" s="12">
        <v>0</v>
      </c>
      <c r="N1977" s="12">
        <v>0</v>
      </c>
      <c r="O1977" s="12">
        <v>1739.4000820000001</v>
      </c>
      <c r="P1977" s="12">
        <v>15119.400082</v>
      </c>
    </row>
    <row r="1978" spans="1:16" ht="14.5" x14ac:dyDescent="0.25">
      <c r="A1978" s="10">
        <v>46029</v>
      </c>
      <c r="B1978" s="2" t="str">
        <f t="shared" si="62"/>
        <v>Jan-2026</v>
      </c>
      <c r="C1978" s="2" t="str">
        <f t="shared" si="63"/>
        <v>Q4</v>
      </c>
      <c r="D1978" s="2" t="s">
        <v>28</v>
      </c>
      <c r="E1978" s="11" t="s">
        <v>423</v>
      </c>
      <c r="F1978" s="11" t="s">
        <v>21</v>
      </c>
      <c r="G1978" s="11" t="s">
        <v>503</v>
      </c>
      <c r="H1978" s="11" t="s">
        <v>89</v>
      </c>
      <c r="I1978" s="12">
        <v>1</v>
      </c>
      <c r="J1978" s="12">
        <v>120</v>
      </c>
      <c r="K1978" s="12">
        <v>108.32</v>
      </c>
      <c r="L1978" s="12">
        <v>12998.4</v>
      </c>
      <c r="M1978" s="12">
        <v>0</v>
      </c>
      <c r="N1978" s="12">
        <v>0</v>
      </c>
      <c r="O1978" s="12">
        <v>1689.7920799999999</v>
      </c>
      <c r="P1978" s="12">
        <v>14688.192080000001</v>
      </c>
    </row>
    <row r="1979" spans="1:16" ht="14.5" x14ac:dyDescent="0.25">
      <c r="A1979" s="10">
        <v>46029</v>
      </c>
      <c r="B1979" s="2" t="str">
        <f t="shared" si="62"/>
        <v>Jan-2026</v>
      </c>
      <c r="C1979" s="2" t="str">
        <f t="shared" si="63"/>
        <v>Q4</v>
      </c>
      <c r="D1979" s="2" t="s">
        <v>28</v>
      </c>
      <c r="E1979" s="11" t="s">
        <v>423</v>
      </c>
      <c r="F1979" s="11" t="s">
        <v>21</v>
      </c>
      <c r="G1979" s="11" t="s">
        <v>504</v>
      </c>
      <c r="H1979" s="11" t="s">
        <v>69</v>
      </c>
      <c r="I1979" s="12">
        <v>1</v>
      </c>
      <c r="J1979" s="12">
        <v>100</v>
      </c>
      <c r="K1979" s="12">
        <v>152.91999999999999</v>
      </c>
      <c r="L1979" s="12">
        <v>15292.000000000002</v>
      </c>
      <c r="M1979" s="12">
        <v>0</v>
      </c>
      <c r="N1979" s="12">
        <v>0</v>
      </c>
      <c r="O1979" s="12">
        <v>1987.960094</v>
      </c>
      <c r="P1979" s="12">
        <v>17279.960093999998</v>
      </c>
    </row>
    <row r="1980" spans="1:16" ht="14.5" x14ac:dyDescent="0.25">
      <c r="A1980" s="10">
        <v>46029</v>
      </c>
      <c r="B1980" s="2" t="str">
        <f t="shared" si="62"/>
        <v>Jan-2026</v>
      </c>
      <c r="C1980" s="2" t="str">
        <f t="shared" si="63"/>
        <v>Q4</v>
      </c>
      <c r="D1980" s="2" t="s">
        <v>28</v>
      </c>
      <c r="E1980" s="11" t="s">
        <v>423</v>
      </c>
      <c r="F1980" s="11" t="s">
        <v>21</v>
      </c>
      <c r="G1980" s="11" t="s">
        <v>503</v>
      </c>
      <c r="H1980" s="11" t="s">
        <v>63</v>
      </c>
      <c r="I1980" s="12">
        <v>1</v>
      </c>
      <c r="J1980" s="12">
        <v>80</v>
      </c>
      <c r="K1980" s="12">
        <v>175.22</v>
      </c>
      <c r="L1980" s="12">
        <v>14017.6</v>
      </c>
      <c r="M1980" s="12">
        <v>0</v>
      </c>
      <c r="N1980" s="12">
        <v>0</v>
      </c>
      <c r="O1980" s="12">
        <v>1822.288086</v>
      </c>
      <c r="P1980" s="12">
        <v>15839.888086000001</v>
      </c>
    </row>
    <row r="1981" spans="1:16" ht="14.5" x14ac:dyDescent="0.25">
      <c r="A1981" s="10">
        <v>46029</v>
      </c>
      <c r="B1981" s="2" t="str">
        <f t="shared" si="62"/>
        <v>Jan-2026</v>
      </c>
      <c r="C1981" s="2" t="str">
        <f t="shared" si="63"/>
        <v>Q4</v>
      </c>
      <c r="D1981" s="2" t="s">
        <v>28</v>
      </c>
      <c r="E1981" s="11" t="s">
        <v>423</v>
      </c>
      <c r="F1981" s="11" t="s">
        <v>21</v>
      </c>
      <c r="G1981" s="11" t="s">
        <v>503</v>
      </c>
      <c r="H1981" s="11" t="s">
        <v>42</v>
      </c>
      <c r="I1981" s="12">
        <v>1</v>
      </c>
      <c r="J1981" s="12">
        <v>120</v>
      </c>
      <c r="K1981" s="12">
        <v>140.18</v>
      </c>
      <c r="L1981" s="12">
        <v>16821.600000000002</v>
      </c>
      <c r="M1981" s="12">
        <v>0</v>
      </c>
      <c r="N1981" s="12">
        <v>0</v>
      </c>
      <c r="O1981" s="12">
        <v>2186.8081029999998</v>
      </c>
      <c r="P1981" s="12">
        <v>19008.408103000002</v>
      </c>
    </row>
    <row r="1982" spans="1:16" ht="14.5" x14ac:dyDescent="0.25">
      <c r="A1982" s="10">
        <v>46029</v>
      </c>
      <c r="B1982" s="2" t="str">
        <f t="shared" si="62"/>
        <v>Jan-2026</v>
      </c>
      <c r="C1982" s="2" t="str">
        <f t="shared" si="63"/>
        <v>Q4</v>
      </c>
      <c r="D1982" s="2" t="s">
        <v>28</v>
      </c>
      <c r="E1982" s="11" t="s">
        <v>423</v>
      </c>
      <c r="F1982" s="11" t="s">
        <v>21</v>
      </c>
      <c r="G1982" s="11" t="s">
        <v>503</v>
      </c>
      <c r="H1982" s="11" t="s">
        <v>46</v>
      </c>
      <c r="I1982" s="12">
        <v>1</v>
      </c>
      <c r="J1982" s="12">
        <v>120</v>
      </c>
      <c r="K1982" s="12">
        <v>111.5</v>
      </c>
      <c r="L1982" s="12">
        <v>13379.999999999998</v>
      </c>
      <c r="M1982" s="12">
        <v>0</v>
      </c>
      <c r="N1982" s="12">
        <v>0</v>
      </c>
      <c r="O1982" s="12">
        <v>1739.4000820000001</v>
      </c>
      <c r="P1982" s="12">
        <v>15119.400082</v>
      </c>
    </row>
    <row r="1983" spans="1:16" ht="14.5" x14ac:dyDescent="0.25">
      <c r="A1983" s="10">
        <v>46029</v>
      </c>
      <c r="B1983" s="2" t="str">
        <f t="shared" si="62"/>
        <v>Jan-2026</v>
      </c>
      <c r="C1983" s="2" t="str">
        <f t="shared" si="63"/>
        <v>Q4</v>
      </c>
      <c r="D1983" s="2" t="s">
        <v>28</v>
      </c>
      <c r="E1983" s="11" t="s">
        <v>423</v>
      </c>
      <c r="F1983" s="11" t="s">
        <v>21</v>
      </c>
      <c r="G1983" s="11" t="s">
        <v>505</v>
      </c>
      <c r="H1983" s="11" t="s">
        <v>62</v>
      </c>
      <c r="I1983" s="12">
        <v>1</v>
      </c>
      <c r="J1983" s="12">
        <v>40</v>
      </c>
      <c r="K1983" s="12">
        <v>414.16</v>
      </c>
      <c r="L1983" s="12">
        <v>16566.400000000001</v>
      </c>
      <c r="M1983" s="12">
        <v>0</v>
      </c>
      <c r="N1983" s="12">
        <v>0</v>
      </c>
      <c r="O1983" s="12">
        <v>2153.6321010000001</v>
      </c>
      <c r="P1983" s="12">
        <v>18720.032101000001</v>
      </c>
    </row>
    <row r="1984" spans="1:16" ht="14.5" x14ac:dyDescent="0.25">
      <c r="A1984" s="10">
        <v>46029</v>
      </c>
      <c r="B1984" s="2" t="str">
        <f t="shared" si="62"/>
        <v>Jan-2026</v>
      </c>
      <c r="C1984" s="2" t="str">
        <f t="shared" si="63"/>
        <v>Q4</v>
      </c>
      <c r="D1984" s="2" t="s">
        <v>28</v>
      </c>
      <c r="E1984" s="11" t="s">
        <v>423</v>
      </c>
      <c r="F1984" s="11" t="s">
        <v>21</v>
      </c>
      <c r="G1984" s="11" t="s">
        <v>503</v>
      </c>
      <c r="H1984" s="11" t="s">
        <v>177</v>
      </c>
      <c r="I1984" s="12">
        <v>1</v>
      </c>
      <c r="J1984" s="12">
        <v>120</v>
      </c>
      <c r="K1984" s="12">
        <v>89.2</v>
      </c>
      <c r="L1984" s="12">
        <v>10704</v>
      </c>
      <c r="M1984" s="12">
        <v>0</v>
      </c>
      <c r="N1984" s="12">
        <v>0</v>
      </c>
      <c r="O1984" s="12">
        <v>1391.5200649999999</v>
      </c>
      <c r="P1984" s="12">
        <v>12095.520065000001</v>
      </c>
    </row>
    <row r="1985" spans="1:16" ht="14.5" x14ac:dyDescent="0.25">
      <c r="A1985" s="10">
        <v>46029</v>
      </c>
      <c r="B1985" s="2" t="str">
        <f t="shared" si="62"/>
        <v>Jan-2026</v>
      </c>
      <c r="C1985" s="2" t="str">
        <f t="shared" si="63"/>
        <v>Q4</v>
      </c>
      <c r="D1985" s="2" t="s">
        <v>28</v>
      </c>
      <c r="E1985" s="11" t="s">
        <v>423</v>
      </c>
      <c r="F1985" s="11" t="s">
        <v>21</v>
      </c>
      <c r="G1985" s="11" t="s">
        <v>506</v>
      </c>
      <c r="H1985" s="11" t="s">
        <v>58</v>
      </c>
      <c r="I1985" s="12">
        <v>1.33</v>
      </c>
      <c r="J1985" s="12">
        <v>96</v>
      </c>
      <c r="K1985" s="12">
        <v>140.18</v>
      </c>
      <c r="L1985" s="12">
        <v>13457.28</v>
      </c>
      <c r="M1985" s="12">
        <v>0</v>
      </c>
      <c r="N1985" s="12">
        <v>0</v>
      </c>
      <c r="O1985" s="12">
        <v>1749.4464820000001</v>
      </c>
      <c r="P1985" s="12">
        <v>15206.726482</v>
      </c>
    </row>
    <row r="1986" spans="1:16" ht="14.5" x14ac:dyDescent="0.25">
      <c r="A1986" s="10">
        <v>46029</v>
      </c>
      <c r="B1986" s="2" t="str">
        <f t="shared" si="62"/>
        <v>Jan-2026</v>
      </c>
      <c r="C1986" s="2" t="str">
        <f t="shared" si="63"/>
        <v>Q4</v>
      </c>
      <c r="D1986" s="2" t="s">
        <v>28</v>
      </c>
      <c r="E1986" s="11" t="s">
        <v>423</v>
      </c>
      <c r="F1986" s="11" t="s">
        <v>21</v>
      </c>
      <c r="G1986" s="11" t="s">
        <v>505</v>
      </c>
      <c r="H1986" s="11" t="s">
        <v>49</v>
      </c>
      <c r="I1986" s="12">
        <v>0.67</v>
      </c>
      <c r="J1986" s="12">
        <v>120</v>
      </c>
      <c r="K1986" s="12">
        <v>149.72999999999999</v>
      </c>
      <c r="L1986" s="12">
        <v>17967.600000000002</v>
      </c>
      <c r="M1986" s="12">
        <v>0</v>
      </c>
      <c r="N1986" s="12">
        <v>0</v>
      </c>
      <c r="O1986" s="12">
        <v>2335.78811</v>
      </c>
      <c r="P1986" s="12">
        <v>20303.38811</v>
      </c>
    </row>
    <row r="1987" spans="1:16" ht="14.5" x14ac:dyDescent="0.25">
      <c r="A1987" s="10">
        <v>46029</v>
      </c>
      <c r="B1987" s="2" t="str">
        <f t="shared" si="62"/>
        <v>Jan-2026</v>
      </c>
      <c r="C1987" s="2" t="str">
        <f t="shared" si="63"/>
        <v>Q4</v>
      </c>
      <c r="D1987" s="2" t="s">
        <v>28</v>
      </c>
      <c r="E1987" s="11" t="s">
        <v>423</v>
      </c>
      <c r="F1987" s="11" t="s">
        <v>21</v>
      </c>
      <c r="G1987" s="11" t="s">
        <v>503</v>
      </c>
      <c r="H1987" s="11" t="s">
        <v>44</v>
      </c>
      <c r="I1987" s="12">
        <v>0.67</v>
      </c>
      <c r="J1987" s="12">
        <v>120</v>
      </c>
      <c r="K1987" s="12">
        <v>146.55000000000001</v>
      </c>
      <c r="L1987" s="12">
        <v>17586</v>
      </c>
      <c r="M1987" s="12">
        <v>0</v>
      </c>
      <c r="N1987" s="12">
        <v>0</v>
      </c>
      <c r="O1987" s="12">
        <v>2286.180108</v>
      </c>
      <c r="P1987" s="12">
        <v>19872.180108</v>
      </c>
    </row>
    <row r="1988" spans="1:16" ht="14.5" x14ac:dyDescent="0.25">
      <c r="A1988" s="10">
        <v>46029</v>
      </c>
      <c r="B1988" s="2" t="str">
        <f t="shared" si="62"/>
        <v>Jan-2026</v>
      </c>
      <c r="C1988" s="2" t="str">
        <f t="shared" si="63"/>
        <v>Q4</v>
      </c>
      <c r="D1988" s="2" t="s">
        <v>28</v>
      </c>
      <c r="E1988" s="11" t="s">
        <v>423</v>
      </c>
      <c r="F1988" s="11" t="s">
        <v>21</v>
      </c>
      <c r="G1988" s="11" t="s">
        <v>506</v>
      </c>
      <c r="H1988" s="11" t="s">
        <v>39</v>
      </c>
      <c r="I1988" s="12">
        <v>1</v>
      </c>
      <c r="J1988" s="12">
        <v>72</v>
      </c>
      <c r="K1988" s="12">
        <v>124.25</v>
      </c>
      <c r="L1988" s="12">
        <v>8946</v>
      </c>
      <c r="M1988" s="12">
        <v>0</v>
      </c>
      <c r="N1988" s="12">
        <v>0</v>
      </c>
      <c r="O1988" s="12">
        <v>1162.980055</v>
      </c>
      <c r="P1988" s="12">
        <v>10108.980055</v>
      </c>
    </row>
    <row r="1989" spans="1:16" ht="14.5" x14ac:dyDescent="0.25">
      <c r="A1989" s="10">
        <v>46029</v>
      </c>
      <c r="B1989" s="2" t="str">
        <f t="shared" si="62"/>
        <v>Jan-2026</v>
      </c>
      <c r="C1989" s="2" t="str">
        <f t="shared" si="63"/>
        <v>Q4</v>
      </c>
      <c r="D1989" s="2" t="s">
        <v>28</v>
      </c>
      <c r="E1989" s="11" t="s">
        <v>423</v>
      </c>
      <c r="F1989" s="11" t="s">
        <v>21</v>
      </c>
      <c r="G1989" s="11" t="s">
        <v>503</v>
      </c>
      <c r="H1989" s="11" t="s">
        <v>176</v>
      </c>
      <c r="I1989" s="12">
        <v>1</v>
      </c>
      <c r="J1989" s="12">
        <v>120</v>
      </c>
      <c r="K1989" s="12">
        <v>149.72999999999999</v>
      </c>
      <c r="L1989" s="12">
        <v>17967.600000000002</v>
      </c>
      <c r="M1989" s="12">
        <v>0</v>
      </c>
      <c r="N1989" s="12">
        <v>0</v>
      </c>
      <c r="O1989" s="12">
        <v>2335.78811</v>
      </c>
      <c r="P1989" s="12">
        <v>20303.38811</v>
      </c>
    </row>
    <row r="1990" spans="1:16" ht="14.5" x14ac:dyDescent="0.25">
      <c r="A1990" s="10">
        <v>46029</v>
      </c>
      <c r="B1990" s="2" t="str">
        <f t="shared" si="62"/>
        <v>Jan-2026</v>
      </c>
      <c r="C1990" s="2" t="str">
        <f t="shared" si="63"/>
        <v>Q4</v>
      </c>
      <c r="D1990" s="2" t="s">
        <v>28</v>
      </c>
      <c r="E1990" s="11" t="s">
        <v>423</v>
      </c>
      <c r="F1990" s="11" t="s">
        <v>21</v>
      </c>
      <c r="G1990" s="11" t="s">
        <v>503</v>
      </c>
      <c r="H1990" s="11" t="s">
        <v>47</v>
      </c>
      <c r="I1990" s="12">
        <v>1</v>
      </c>
      <c r="J1990" s="12">
        <v>120</v>
      </c>
      <c r="K1990" s="12">
        <v>111.5</v>
      </c>
      <c r="L1990" s="12">
        <v>13379.999999999998</v>
      </c>
      <c r="M1990" s="12">
        <v>0</v>
      </c>
      <c r="N1990" s="12">
        <v>0</v>
      </c>
      <c r="O1990" s="12">
        <v>1739.4000820000001</v>
      </c>
      <c r="P1990" s="12">
        <v>15119.400082</v>
      </c>
    </row>
    <row r="1991" spans="1:16" ht="14.5" x14ac:dyDescent="0.25">
      <c r="A1991" s="10">
        <v>46029</v>
      </c>
      <c r="B1991" s="2" t="str">
        <f t="shared" si="62"/>
        <v>Jan-2026</v>
      </c>
      <c r="C1991" s="2" t="str">
        <f t="shared" si="63"/>
        <v>Q4</v>
      </c>
      <c r="D1991" s="2" t="s">
        <v>28</v>
      </c>
      <c r="E1991" s="11" t="s">
        <v>423</v>
      </c>
      <c r="F1991" s="11" t="s">
        <v>21</v>
      </c>
      <c r="G1991" s="11" t="s">
        <v>503</v>
      </c>
      <c r="H1991" s="11" t="s">
        <v>87</v>
      </c>
      <c r="I1991" s="12">
        <v>0.67</v>
      </c>
      <c r="J1991" s="12">
        <v>120</v>
      </c>
      <c r="K1991" s="12">
        <v>108.32</v>
      </c>
      <c r="L1991" s="12">
        <v>12998.4</v>
      </c>
      <c r="M1991" s="12">
        <v>0</v>
      </c>
      <c r="N1991" s="12">
        <v>0</v>
      </c>
      <c r="O1991" s="12">
        <v>1689.7920799999999</v>
      </c>
      <c r="P1991" s="12">
        <v>14688.192080000001</v>
      </c>
    </row>
    <row r="1992" spans="1:16" ht="14.5" x14ac:dyDescent="0.25">
      <c r="A1992" s="10">
        <v>46029</v>
      </c>
      <c r="B1992" s="2" t="str">
        <f t="shared" si="62"/>
        <v>Jan-2026</v>
      </c>
      <c r="C1992" s="2" t="str">
        <f t="shared" si="63"/>
        <v>Q4</v>
      </c>
      <c r="D1992" s="2" t="s">
        <v>28</v>
      </c>
      <c r="E1992" s="11" t="s">
        <v>424</v>
      </c>
      <c r="F1992" s="11" t="s">
        <v>21</v>
      </c>
      <c r="G1992" s="11" t="s">
        <v>504</v>
      </c>
      <c r="H1992" s="11" t="s">
        <v>53</v>
      </c>
      <c r="I1992" s="12">
        <v>1</v>
      </c>
      <c r="J1992" s="12">
        <v>100</v>
      </c>
      <c r="K1992" s="12">
        <v>129.6</v>
      </c>
      <c r="L1992" s="12">
        <v>12960</v>
      </c>
      <c r="M1992" s="12" t="s">
        <v>113</v>
      </c>
      <c r="N1992" s="12" t="s">
        <v>113</v>
      </c>
      <c r="O1992" s="12" t="s">
        <v>113</v>
      </c>
      <c r="P1992" s="12">
        <v>12960</v>
      </c>
    </row>
    <row r="1993" spans="1:16" ht="14.5" x14ac:dyDescent="0.25">
      <c r="A1993" s="10">
        <v>46030</v>
      </c>
      <c r="B1993" s="2" t="str">
        <f t="shared" si="62"/>
        <v>Jan-2026</v>
      </c>
      <c r="C1993" s="2" t="str">
        <f t="shared" si="63"/>
        <v>Q4</v>
      </c>
      <c r="D1993" s="2" t="s">
        <v>28</v>
      </c>
      <c r="E1993" s="11" t="s">
        <v>425</v>
      </c>
      <c r="F1993" s="11" t="s">
        <v>104</v>
      </c>
      <c r="G1993" s="11" t="s">
        <v>503</v>
      </c>
      <c r="H1993" s="11" t="s">
        <v>45</v>
      </c>
      <c r="I1993" s="12">
        <v>-0.06</v>
      </c>
      <c r="J1993" s="12">
        <v>-10</v>
      </c>
      <c r="K1993" s="12">
        <v>67.260000000000005</v>
      </c>
      <c r="L1993" s="12">
        <v>-672.6</v>
      </c>
      <c r="M1993" s="12">
        <v>0</v>
      </c>
      <c r="N1993" s="12">
        <v>0</v>
      </c>
      <c r="O1993" s="12">
        <v>-87.438000000000002</v>
      </c>
      <c r="P1993" s="12">
        <v>-760.03800000000001</v>
      </c>
    </row>
    <row r="1994" spans="1:16" ht="14.5" x14ac:dyDescent="0.25">
      <c r="A1994" s="10">
        <v>46030</v>
      </c>
      <c r="B1994" s="2" t="str">
        <f t="shared" si="62"/>
        <v>Jan-2026</v>
      </c>
      <c r="C1994" s="2" t="str">
        <f t="shared" si="63"/>
        <v>Q4</v>
      </c>
      <c r="D1994" s="2" t="s">
        <v>28</v>
      </c>
      <c r="E1994" s="11" t="s">
        <v>425</v>
      </c>
      <c r="F1994" s="11" t="s">
        <v>104</v>
      </c>
      <c r="G1994" s="11" t="s">
        <v>503</v>
      </c>
      <c r="H1994" s="11" t="s">
        <v>52</v>
      </c>
      <c r="I1994" s="12">
        <v>-0.06</v>
      </c>
      <c r="J1994" s="12">
        <v>-10</v>
      </c>
      <c r="K1994" s="12">
        <v>74.34</v>
      </c>
      <c r="L1994" s="12">
        <v>-743.4</v>
      </c>
      <c r="M1994" s="12">
        <v>0</v>
      </c>
      <c r="N1994" s="12">
        <v>0</v>
      </c>
      <c r="O1994" s="12">
        <v>-96.641999999999996</v>
      </c>
      <c r="P1994" s="12">
        <v>-840.04200000000003</v>
      </c>
    </row>
    <row r="1995" spans="1:16" ht="14.5" x14ac:dyDescent="0.25">
      <c r="A1995" s="10">
        <v>46034</v>
      </c>
      <c r="B1995" s="2" t="str">
        <f t="shared" si="62"/>
        <v>Jan-2026</v>
      </c>
      <c r="C1995" s="2" t="str">
        <f t="shared" si="63"/>
        <v>Q4</v>
      </c>
      <c r="D1995" s="2" t="s">
        <v>28</v>
      </c>
      <c r="E1995" s="11" t="s">
        <v>426</v>
      </c>
      <c r="F1995" s="11" t="s">
        <v>19</v>
      </c>
      <c r="G1995" s="11" t="s">
        <v>503</v>
      </c>
      <c r="H1995" s="11" t="s">
        <v>52</v>
      </c>
      <c r="I1995" s="12">
        <v>1</v>
      </c>
      <c r="J1995" s="12">
        <v>180</v>
      </c>
      <c r="K1995" s="12">
        <v>70.989999999999995</v>
      </c>
      <c r="L1995" s="12">
        <v>12778.2</v>
      </c>
      <c r="M1995" s="12">
        <v>-1161.54</v>
      </c>
      <c r="N1995" s="12">
        <v>0</v>
      </c>
      <c r="O1995" s="12">
        <v>1510.165747</v>
      </c>
      <c r="P1995" s="12">
        <v>13126.825747000001</v>
      </c>
    </row>
    <row r="1996" spans="1:16" ht="14.5" x14ac:dyDescent="0.25">
      <c r="A1996" s="10">
        <v>46034</v>
      </c>
      <c r="B1996" s="2" t="str">
        <f t="shared" si="62"/>
        <v>Jan-2026</v>
      </c>
      <c r="C1996" s="2" t="str">
        <f t="shared" si="63"/>
        <v>Q4</v>
      </c>
      <c r="D1996" s="2" t="s">
        <v>28</v>
      </c>
      <c r="E1996" s="11" t="s">
        <v>426</v>
      </c>
      <c r="F1996" s="11" t="s">
        <v>19</v>
      </c>
      <c r="G1996" s="11" t="s">
        <v>505</v>
      </c>
      <c r="H1996" s="11" t="s">
        <v>40</v>
      </c>
      <c r="I1996" s="12">
        <v>1</v>
      </c>
      <c r="J1996" s="12">
        <v>180</v>
      </c>
      <c r="K1996" s="12">
        <v>94.65</v>
      </c>
      <c r="L1996" s="12">
        <v>17037</v>
      </c>
      <c r="M1996" s="12">
        <v>-1548.6599999999999</v>
      </c>
      <c r="N1996" s="12">
        <v>0</v>
      </c>
      <c r="O1996" s="12">
        <v>2013.4841300000001</v>
      </c>
      <c r="P1996" s="12">
        <v>17501.824130000001</v>
      </c>
    </row>
    <row r="1997" spans="1:16" ht="14.5" x14ac:dyDescent="0.25">
      <c r="A1997" s="10">
        <v>46034</v>
      </c>
      <c r="B1997" s="2" t="str">
        <f t="shared" si="62"/>
        <v>Jan-2026</v>
      </c>
      <c r="C1997" s="2" t="str">
        <f t="shared" si="63"/>
        <v>Q4</v>
      </c>
      <c r="D1997" s="2" t="s">
        <v>28</v>
      </c>
      <c r="E1997" s="11" t="s">
        <v>426</v>
      </c>
      <c r="F1997" s="11" t="s">
        <v>19</v>
      </c>
      <c r="G1997" s="11" t="s">
        <v>503</v>
      </c>
      <c r="H1997" s="11" t="s">
        <v>51</v>
      </c>
      <c r="I1997" s="12">
        <v>1</v>
      </c>
      <c r="J1997" s="12">
        <v>180</v>
      </c>
      <c r="K1997" s="12">
        <v>64.23</v>
      </c>
      <c r="L1997" s="12">
        <v>11561.4</v>
      </c>
      <c r="M1997" s="12">
        <v>-1050.9299999999998</v>
      </c>
      <c r="N1997" s="12">
        <v>0</v>
      </c>
      <c r="O1997" s="12">
        <v>1366.361052</v>
      </c>
      <c r="P1997" s="12">
        <v>11876.831052</v>
      </c>
    </row>
    <row r="1998" spans="1:16" ht="14.5" x14ac:dyDescent="0.25">
      <c r="A1998" s="10">
        <v>46034</v>
      </c>
      <c r="B1998" s="2" t="str">
        <f t="shared" si="62"/>
        <v>Jan-2026</v>
      </c>
      <c r="C1998" s="2" t="str">
        <f t="shared" si="63"/>
        <v>Q4</v>
      </c>
      <c r="D1998" s="2" t="s">
        <v>28</v>
      </c>
      <c r="E1998" s="11" t="s">
        <v>426</v>
      </c>
      <c r="F1998" s="11" t="s">
        <v>19</v>
      </c>
      <c r="G1998" s="11" t="s">
        <v>506</v>
      </c>
      <c r="H1998" s="11" t="s">
        <v>58</v>
      </c>
      <c r="I1998" s="12">
        <v>1</v>
      </c>
      <c r="J1998" s="12">
        <v>72</v>
      </c>
      <c r="K1998" s="12">
        <v>148.72999999999999</v>
      </c>
      <c r="L1998" s="12">
        <v>10708.56</v>
      </c>
      <c r="M1998" s="12">
        <v>-973.41</v>
      </c>
      <c r="N1998" s="12">
        <v>0</v>
      </c>
      <c r="O1998" s="12">
        <v>1265.5694560000002</v>
      </c>
      <c r="P1998" s="12">
        <v>11000.719456000001</v>
      </c>
    </row>
    <row r="1999" spans="1:16" ht="14.5" x14ac:dyDescent="0.25">
      <c r="A1999" s="10">
        <v>46034</v>
      </c>
      <c r="B1999" s="2" t="str">
        <f t="shared" si="62"/>
        <v>Jan-2026</v>
      </c>
      <c r="C1999" s="2" t="str">
        <f t="shared" si="63"/>
        <v>Q4</v>
      </c>
      <c r="D1999" s="2" t="s">
        <v>28</v>
      </c>
      <c r="E1999" s="11" t="s">
        <v>426</v>
      </c>
      <c r="F1999" s="11" t="s">
        <v>19</v>
      </c>
      <c r="G1999" s="11" t="s">
        <v>503</v>
      </c>
      <c r="H1999" s="11" t="s">
        <v>59</v>
      </c>
      <c r="I1999" s="12">
        <v>1</v>
      </c>
      <c r="J1999" s="12">
        <v>180</v>
      </c>
      <c r="K1999" s="12">
        <v>62.21</v>
      </c>
      <c r="L1999" s="12">
        <v>11197.8</v>
      </c>
      <c r="M1999" s="12">
        <v>-1017.88</v>
      </c>
      <c r="N1999" s="12">
        <v>0</v>
      </c>
      <c r="O1999" s="12">
        <v>1323.3895539999999</v>
      </c>
      <c r="P1999" s="12">
        <v>11503.309553999999</v>
      </c>
    </row>
    <row r="2000" spans="1:16" ht="14.5" x14ac:dyDescent="0.25">
      <c r="A2000" s="10">
        <v>46034</v>
      </c>
      <c r="B2000" s="2" t="str">
        <f t="shared" si="62"/>
        <v>Jan-2026</v>
      </c>
      <c r="C2000" s="2" t="str">
        <f t="shared" si="63"/>
        <v>Q4</v>
      </c>
      <c r="D2000" s="2" t="s">
        <v>28</v>
      </c>
      <c r="E2000" s="11" t="s">
        <v>426</v>
      </c>
      <c r="F2000" s="11" t="s">
        <v>19</v>
      </c>
      <c r="G2000" s="11" t="s">
        <v>503</v>
      </c>
      <c r="H2000" s="11" t="s">
        <v>177</v>
      </c>
      <c r="I2000" s="12">
        <v>1</v>
      </c>
      <c r="J2000" s="12">
        <v>120</v>
      </c>
      <c r="K2000" s="12">
        <v>94.65</v>
      </c>
      <c r="L2000" s="12">
        <v>11358</v>
      </c>
      <c r="M2000" s="12">
        <v>-1032.44</v>
      </c>
      <c r="N2000" s="12">
        <v>0</v>
      </c>
      <c r="O2000" s="12">
        <v>1342.3227529999999</v>
      </c>
      <c r="P2000" s="12">
        <v>11667.882753</v>
      </c>
    </row>
    <row r="2001" spans="1:16" ht="14.5" x14ac:dyDescent="0.25">
      <c r="A2001" s="10">
        <v>46034</v>
      </c>
      <c r="B2001" s="2" t="str">
        <f t="shared" si="62"/>
        <v>Jan-2026</v>
      </c>
      <c r="C2001" s="2" t="str">
        <f t="shared" si="63"/>
        <v>Q4</v>
      </c>
      <c r="D2001" s="2" t="s">
        <v>28</v>
      </c>
      <c r="E2001" s="11" t="s">
        <v>426</v>
      </c>
      <c r="F2001" s="11" t="s">
        <v>19</v>
      </c>
      <c r="G2001" s="11" t="s">
        <v>506</v>
      </c>
      <c r="H2001" s="11" t="s">
        <v>39</v>
      </c>
      <c r="I2001" s="12">
        <v>1</v>
      </c>
      <c r="J2001" s="12">
        <v>72</v>
      </c>
      <c r="K2001" s="12">
        <v>131.83000000000001</v>
      </c>
      <c r="L2001" s="12">
        <v>9491.76</v>
      </c>
      <c r="M2001" s="12">
        <v>-862.8</v>
      </c>
      <c r="N2001" s="12">
        <v>0</v>
      </c>
      <c r="O2001" s="12">
        <v>1121.7647609999999</v>
      </c>
      <c r="P2001" s="12">
        <v>9750.7247609999995</v>
      </c>
    </row>
    <row r="2002" spans="1:16" ht="14.5" x14ac:dyDescent="0.25">
      <c r="A2002" s="10">
        <v>46034</v>
      </c>
      <c r="B2002" s="2" t="str">
        <f t="shared" si="62"/>
        <v>Jan-2026</v>
      </c>
      <c r="C2002" s="2" t="str">
        <f t="shared" si="63"/>
        <v>Q4</v>
      </c>
      <c r="D2002" s="2" t="s">
        <v>28</v>
      </c>
      <c r="E2002" s="11" t="s">
        <v>426</v>
      </c>
      <c r="F2002" s="11" t="s">
        <v>19</v>
      </c>
      <c r="G2002" s="11" t="s">
        <v>503</v>
      </c>
      <c r="H2002" s="11" t="s">
        <v>166</v>
      </c>
      <c r="I2002" s="12">
        <v>1</v>
      </c>
      <c r="J2002" s="12">
        <v>120</v>
      </c>
      <c r="K2002" s="12">
        <v>64.23</v>
      </c>
      <c r="L2002" s="12">
        <v>7707.5999999999995</v>
      </c>
      <c r="M2002" s="12">
        <v>-700.62</v>
      </c>
      <c r="N2002" s="12">
        <v>0</v>
      </c>
      <c r="O2002" s="12">
        <v>910.90736800000002</v>
      </c>
      <c r="P2002" s="12">
        <v>7917.8873679999997</v>
      </c>
    </row>
    <row r="2003" spans="1:16" ht="14.5" x14ac:dyDescent="0.25">
      <c r="A2003" s="10">
        <v>46034</v>
      </c>
      <c r="B2003" s="2" t="str">
        <f t="shared" si="62"/>
        <v>Jan-2026</v>
      </c>
      <c r="C2003" s="2" t="str">
        <f t="shared" si="63"/>
        <v>Q4</v>
      </c>
      <c r="D2003" s="2" t="s">
        <v>28</v>
      </c>
      <c r="E2003" s="11" t="s">
        <v>426</v>
      </c>
      <c r="F2003" s="11" t="s">
        <v>19</v>
      </c>
      <c r="G2003" s="11" t="s">
        <v>505</v>
      </c>
      <c r="H2003" s="11" t="s">
        <v>55</v>
      </c>
      <c r="I2003" s="12">
        <v>1</v>
      </c>
      <c r="J2003" s="12">
        <v>120</v>
      </c>
      <c r="K2003" s="12">
        <v>148.74</v>
      </c>
      <c r="L2003" s="12">
        <v>17848.8</v>
      </c>
      <c r="M2003" s="12">
        <v>-1622.46</v>
      </c>
      <c r="N2003" s="12">
        <v>0</v>
      </c>
      <c r="O2003" s="12">
        <v>2109.4241259999999</v>
      </c>
      <c r="P2003" s="12">
        <v>18335.764125999998</v>
      </c>
    </row>
    <row r="2004" spans="1:16" ht="14.5" x14ac:dyDescent="0.25">
      <c r="A2004" s="10">
        <v>46034</v>
      </c>
      <c r="B2004" s="2" t="str">
        <f t="shared" si="62"/>
        <v>Jan-2026</v>
      </c>
      <c r="C2004" s="2" t="str">
        <f t="shared" si="63"/>
        <v>Q4</v>
      </c>
      <c r="D2004" s="2" t="s">
        <v>28</v>
      </c>
      <c r="E2004" s="11" t="s">
        <v>426</v>
      </c>
      <c r="F2004" s="11" t="s">
        <v>19</v>
      </c>
      <c r="G2004" s="11" t="s">
        <v>503</v>
      </c>
      <c r="H2004" s="11" t="s">
        <v>45</v>
      </c>
      <c r="I2004" s="12">
        <v>1</v>
      </c>
      <c r="J2004" s="12">
        <v>180</v>
      </c>
      <c r="K2004" s="12">
        <v>64.23</v>
      </c>
      <c r="L2004" s="12">
        <v>11561.4</v>
      </c>
      <c r="M2004" s="12">
        <v>-1050.9299999999998</v>
      </c>
      <c r="N2004" s="12">
        <v>0</v>
      </c>
      <c r="O2004" s="12">
        <v>1366.361052</v>
      </c>
      <c r="P2004" s="12">
        <v>11876.831052</v>
      </c>
    </row>
    <row r="2005" spans="1:16" ht="14.5" x14ac:dyDescent="0.25">
      <c r="A2005" s="10">
        <v>46035</v>
      </c>
      <c r="B2005" s="2" t="str">
        <f t="shared" si="62"/>
        <v>Jan-2026</v>
      </c>
      <c r="C2005" s="2" t="str">
        <f t="shared" si="63"/>
        <v>Q4</v>
      </c>
      <c r="D2005" s="2" t="s">
        <v>28</v>
      </c>
      <c r="E2005" s="11" t="s">
        <v>427</v>
      </c>
      <c r="F2005" s="11" t="s">
        <v>236</v>
      </c>
      <c r="G2005" s="11" t="s">
        <v>505</v>
      </c>
      <c r="H2005" s="11" t="s">
        <v>56</v>
      </c>
      <c r="I2005" s="12">
        <v>0.5</v>
      </c>
      <c r="J2005" s="12">
        <v>60</v>
      </c>
      <c r="K2005" s="12">
        <v>50.7</v>
      </c>
      <c r="L2005" s="12">
        <v>3042</v>
      </c>
      <c r="M2005" s="12">
        <v>-276.52</v>
      </c>
      <c r="N2005" s="12">
        <v>0</v>
      </c>
      <c r="O2005" s="12">
        <v>359.512832</v>
      </c>
      <c r="P2005" s="12">
        <v>3124.9928319999999</v>
      </c>
    </row>
    <row r="2006" spans="1:16" ht="14.5" x14ac:dyDescent="0.25">
      <c r="A2006" s="10">
        <v>46035</v>
      </c>
      <c r="B2006" s="2" t="str">
        <f t="shared" si="62"/>
        <v>Jan-2026</v>
      </c>
      <c r="C2006" s="2" t="str">
        <f t="shared" si="63"/>
        <v>Q4</v>
      </c>
      <c r="D2006" s="2" t="s">
        <v>28</v>
      </c>
      <c r="E2006" s="11" t="s">
        <v>427</v>
      </c>
      <c r="F2006" s="11" t="s">
        <v>236</v>
      </c>
      <c r="G2006" s="11" t="s">
        <v>506</v>
      </c>
      <c r="H2006" s="11" t="s">
        <v>39</v>
      </c>
      <c r="I2006" s="12">
        <v>1</v>
      </c>
      <c r="J2006" s="12">
        <v>72</v>
      </c>
      <c r="K2006" s="12">
        <v>131.83000000000001</v>
      </c>
      <c r="L2006" s="12">
        <v>9491.76</v>
      </c>
      <c r="M2006" s="12">
        <v>-862.8</v>
      </c>
      <c r="N2006" s="12">
        <v>0</v>
      </c>
      <c r="O2006" s="12">
        <v>1121.7661479999999</v>
      </c>
      <c r="P2006" s="12">
        <v>9750.7261479999997</v>
      </c>
    </row>
    <row r="2007" spans="1:16" ht="14.5" x14ac:dyDescent="0.25">
      <c r="A2007" s="10">
        <v>46035</v>
      </c>
      <c r="B2007" s="2" t="str">
        <f t="shared" si="62"/>
        <v>Jan-2026</v>
      </c>
      <c r="C2007" s="2" t="str">
        <f t="shared" si="63"/>
        <v>Q4</v>
      </c>
      <c r="D2007" s="2" t="s">
        <v>28</v>
      </c>
      <c r="E2007" s="11" t="s">
        <v>427</v>
      </c>
      <c r="F2007" s="11" t="s">
        <v>236</v>
      </c>
      <c r="G2007" s="11" t="s">
        <v>506</v>
      </c>
      <c r="H2007" s="11" t="s">
        <v>58</v>
      </c>
      <c r="I2007" s="12">
        <v>1</v>
      </c>
      <c r="J2007" s="12">
        <v>72</v>
      </c>
      <c r="K2007" s="12">
        <v>148.72999999999999</v>
      </c>
      <c r="L2007" s="12">
        <v>10708.56</v>
      </c>
      <c r="M2007" s="12">
        <v>-973.41</v>
      </c>
      <c r="N2007" s="12">
        <v>0</v>
      </c>
      <c r="O2007" s="12">
        <v>1265.5710199999999</v>
      </c>
      <c r="P2007" s="12">
        <v>11000.721020000001</v>
      </c>
    </row>
    <row r="2008" spans="1:16" ht="14.5" x14ac:dyDescent="0.25">
      <c r="A2008" s="10">
        <v>46035</v>
      </c>
      <c r="B2008" s="2" t="str">
        <f t="shared" si="62"/>
        <v>Jan-2026</v>
      </c>
      <c r="C2008" s="2" t="str">
        <f t="shared" si="63"/>
        <v>Q4</v>
      </c>
      <c r="D2008" s="2" t="s">
        <v>28</v>
      </c>
      <c r="E2008" s="11" t="s">
        <v>428</v>
      </c>
      <c r="F2008" s="11" t="s">
        <v>337</v>
      </c>
      <c r="G2008" s="11" t="s">
        <v>503</v>
      </c>
      <c r="H2008" s="11" t="s">
        <v>190</v>
      </c>
      <c r="I2008" s="12">
        <v>0.23</v>
      </c>
      <c r="J2008" s="12">
        <v>40</v>
      </c>
      <c r="K2008" s="12">
        <v>81.13</v>
      </c>
      <c r="L2008" s="12">
        <v>3245.2999999999997</v>
      </c>
      <c r="M2008" s="12">
        <v>-295</v>
      </c>
      <c r="N2008" s="12">
        <v>0</v>
      </c>
      <c r="O2008" s="12">
        <v>383.538612</v>
      </c>
      <c r="P2008" s="12">
        <v>3333.838612</v>
      </c>
    </row>
    <row r="2009" spans="1:16" ht="14.5" x14ac:dyDescent="0.25">
      <c r="A2009" s="10">
        <v>46035</v>
      </c>
      <c r="B2009" s="2" t="str">
        <f t="shared" si="62"/>
        <v>Jan-2026</v>
      </c>
      <c r="C2009" s="2" t="str">
        <f t="shared" si="63"/>
        <v>Q4</v>
      </c>
      <c r="D2009" s="2" t="s">
        <v>28</v>
      </c>
      <c r="E2009" s="11" t="s">
        <v>428</v>
      </c>
      <c r="F2009" s="11" t="s">
        <v>337</v>
      </c>
      <c r="G2009" s="11" t="s">
        <v>503</v>
      </c>
      <c r="H2009" s="11" t="s">
        <v>166</v>
      </c>
      <c r="I2009" s="12">
        <v>0.25</v>
      </c>
      <c r="J2009" s="12">
        <v>30</v>
      </c>
      <c r="K2009" s="12">
        <v>64.23</v>
      </c>
      <c r="L2009" s="12">
        <v>1926.8999999999999</v>
      </c>
      <c r="M2009" s="12">
        <v>-175.16</v>
      </c>
      <c r="N2009" s="12">
        <v>0</v>
      </c>
      <c r="O2009" s="12">
        <v>227.72596999999999</v>
      </c>
      <c r="P2009" s="12">
        <v>1979.46597</v>
      </c>
    </row>
    <row r="2010" spans="1:16" ht="14.5" x14ac:dyDescent="0.25">
      <c r="A2010" s="10">
        <v>46035</v>
      </c>
      <c r="B2010" s="2" t="str">
        <f t="shared" si="62"/>
        <v>Jan-2026</v>
      </c>
      <c r="C2010" s="2" t="str">
        <f t="shared" si="63"/>
        <v>Q4</v>
      </c>
      <c r="D2010" s="2" t="s">
        <v>28</v>
      </c>
      <c r="E2010" s="11" t="s">
        <v>428</v>
      </c>
      <c r="F2010" s="11" t="s">
        <v>337</v>
      </c>
      <c r="G2010" s="11" t="s">
        <v>503</v>
      </c>
      <c r="H2010" s="11" t="s">
        <v>177</v>
      </c>
      <c r="I2010" s="12">
        <v>0.33</v>
      </c>
      <c r="J2010" s="12">
        <v>40</v>
      </c>
      <c r="K2010" s="12">
        <v>94.65</v>
      </c>
      <c r="L2010" s="12">
        <v>3786</v>
      </c>
      <c r="M2010" s="12">
        <v>-344.15</v>
      </c>
      <c r="N2010" s="12">
        <v>0</v>
      </c>
      <c r="O2010" s="12">
        <v>447.44004699999999</v>
      </c>
      <c r="P2010" s="12">
        <v>3889.290047</v>
      </c>
    </row>
    <row r="2011" spans="1:16" ht="14.5" x14ac:dyDescent="0.25">
      <c r="A2011" s="10">
        <v>46035</v>
      </c>
      <c r="B2011" s="2" t="str">
        <f t="shared" si="62"/>
        <v>Jan-2026</v>
      </c>
      <c r="C2011" s="2" t="str">
        <f t="shared" si="63"/>
        <v>Q4</v>
      </c>
      <c r="D2011" s="2" t="s">
        <v>28</v>
      </c>
      <c r="E2011" s="11" t="s">
        <v>428</v>
      </c>
      <c r="F2011" s="11" t="s">
        <v>337</v>
      </c>
      <c r="G2011" s="11" t="s">
        <v>503</v>
      </c>
      <c r="H2011" s="11" t="s">
        <v>52</v>
      </c>
      <c r="I2011" s="12">
        <v>0.17</v>
      </c>
      <c r="J2011" s="12">
        <v>30</v>
      </c>
      <c r="K2011" s="12">
        <v>70.989999999999995</v>
      </c>
      <c r="L2011" s="12">
        <v>2129.6999999999998</v>
      </c>
      <c r="M2011" s="12">
        <v>-193.59</v>
      </c>
      <c r="N2011" s="12">
        <v>0</v>
      </c>
      <c r="O2011" s="12">
        <v>251.69404500000002</v>
      </c>
      <c r="P2011" s="12">
        <v>2187.8040449999999</v>
      </c>
    </row>
    <row r="2012" spans="1:16" ht="14.5" x14ac:dyDescent="0.25">
      <c r="A2012" s="10">
        <v>46035</v>
      </c>
      <c r="B2012" s="2" t="str">
        <f t="shared" si="62"/>
        <v>Jan-2026</v>
      </c>
      <c r="C2012" s="2" t="str">
        <f t="shared" si="63"/>
        <v>Q4</v>
      </c>
      <c r="D2012" s="2" t="s">
        <v>28</v>
      </c>
      <c r="E2012" s="11" t="s">
        <v>428</v>
      </c>
      <c r="F2012" s="11" t="s">
        <v>337</v>
      </c>
      <c r="G2012" s="11" t="s">
        <v>503</v>
      </c>
      <c r="H2012" s="11" t="s">
        <v>172</v>
      </c>
      <c r="I2012" s="12">
        <v>0.28000000000000003</v>
      </c>
      <c r="J2012" s="12">
        <v>50</v>
      </c>
      <c r="K2012" s="12">
        <v>98.03</v>
      </c>
      <c r="L2012" s="12">
        <v>4901.5</v>
      </c>
      <c r="M2012" s="12">
        <v>-445.55</v>
      </c>
      <c r="N2012" s="12">
        <v>0</v>
      </c>
      <c r="O2012" s="12">
        <v>579.27291400000001</v>
      </c>
      <c r="P2012" s="12">
        <v>5035.2229139999999</v>
      </c>
    </row>
    <row r="2013" spans="1:16" ht="14.5" x14ac:dyDescent="0.25">
      <c r="A2013" s="10">
        <v>46035</v>
      </c>
      <c r="B2013" s="2" t="str">
        <f t="shared" si="62"/>
        <v>Jan-2026</v>
      </c>
      <c r="C2013" s="2" t="str">
        <f t="shared" si="63"/>
        <v>Q4</v>
      </c>
      <c r="D2013" s="2" t="s">
        <v>28</v>
      </c>
      <c r="E2013" s="11" t="s">
        <v>428</v>
      </c>
      <c r="F2013" s="11" t="s">
        <v>337</v>
      </c>
      <c r="G2013" s="11" t="s">
        <v>503</v>
      </c>
      <c r="H2013" s="11" t="s">
        <v>173</v>
      </c>
      <c r="I2013" s="12">
        <v>0.17</v>
      </c>
      <c r="J2013" s="12">
        <v>20</v>
      </c>
      <c r="K2013" s="12">
        <v>84.51</v>
      </c>
      <c r="L2013" s="12">
        <v>1690.2</v>
      </c>
      <c r="M2013" s="12">
        <v>-153.63999999999999</v>
      </c>
      <c r="N2013" s="12">
        <v>0</v>
      </c>
      <c r="O2013" s="12">
        <v>199.75259800000001</v>
      </c>
      <c r="P2013" s="12">
        <v>1736.312598</v>
      </c>
    </row>
    <row r="2014" spans="1:16" ht="14.5" x14ac:dyDescent="0.25">
      <c r="A2014" s="10">
        <v>46035</v>
      </c>
      <c r="B2014" s="2" t="str">
        <f t="shared" si="62"/>
        <v>Jan-2026</v>
      </c>
      <c r="C2014" s="2" t="str">
        <f t="shared" si="63"/>
        <v>Q4</v>
      </c>
      <c r="D2014" s="2" t="s">
        <v>28</v>
      </c>
      <c r="E2014" s="11" t="s">
        <v>428</v>
      </c>
      <c r="F2014" s="11" t="s">
        <v>337</v>
      </c>
      <c r="G2014" s="11" t="s">
        <v>503</v>
      </c>
      <c r="H2014" s="11" t="s">
        <v>171</v>
      </c>
      <c r="I2014" s="12">
        <v>0.25</v>
      </c>
      <c r="J2014" s="12">
        <v>20</v>
      </c>
      <c r="K2014" s="12">
        <v>155.49</v>
      </c>
      <c r="L2014" s="12">
        <v>3109.7999999999997</v>
      </c>
      <c r="M2014" s="12">
        <v>-282.68</v>
      </c>
      <c r="N2014" s="12">
        <v>0</v>
      </c>
      <c r="O2014" s="12">
        <v>367.52522800000003</v>
      </c>
      <c r="P2014" s="12">
        <v>3194.6452279999999</v>
      </c>
    </row>
    <row r="2015" spans="1:16" ht="14.5" x14ac:dyDescent="0.25">
      <c r="A2015" s="10">
        <v>46035</v>
      </c>
      <c r="B2015" s="2" t="str">
        <f t="shared" si="62"/>
        <v>Jan-2026</v>
      </c>
      <c r="C2015" s="2" t="str">
        <f t="shared" si="63"/>
        <v>Q4</v>
      </c>
      <c r="D2015" s="2" t="s">
        <v>28</v>
      </c>
      <c r="E2015" s="11" t="s">
        <v>428</v>
      </c>
      <c r="F2015" s="11" t="s">
        <v>337</v>
      </c>
      <c r="G2015" s="11" t="s">
        <v>503</v>
      </c>
      <c r="H2015" s="11" t="s">
        <v>170</v>
      </c>
      <c r="I2015" s="12">
        <v>0.37</v>
      </c>
      <c r="J2015" s="12">
        <v>30</v>
      </c>
      <c r="K2015" s="12">
        <v>169.01</v>
      </c>
      <c r="L2015" s="12">
        <v>5070.2999999999993</v>
      </c>
      <c r="M2015" s="12">
        <v>-460.89</v>
      </c>
      <c r="N2015" s="12">
        <v>0</v>
      </c>
      <c r="O2015" s="12">
        <v>599.22269300000005</v>
      </c>
      <c r="P2015" s="12">
        <v>5208.6326929999996</v>
      </c>
    </row>
    <row r="2016" spans="1:16" ht="14.5" x14ac:dyDescent="0.25">
      <c r="A2016" s="10">
        <v>46035</v>
      </c>
      <c r="B2016" s="2" t="str">
        <f t="shared" si="62"/>
        <v>Jan-2026</v>
      </c>
      <c r="C2016" s="2" t="str">
        <f t="shared" si="63"/>
        <v>Q4</v>
      </c>
      <c r="D2016" s="2" t="s">
        <v>28</v>
      </c>
      <c r="E2016" s="11" t="s">
        <v>428</v>
      </c>
      <c r="F2016" s="11" t="s">
        <v>337</v>
      </c>
      <c r="G2016" s="11" t="s">
        <v>503</v>
      </c>
      <c r="H2016" s="11" t="s">
        <v>41</v>
      </c>
      <c r="I2016" s="12">
        <v>0.28000000000000003</v>
      </c>
      <c r="J2016" s="12">
        <v>50</v>
      </c>
      <c r="K2016" s="12">
        <v>60.84</v>
      </c>
      <c r="L2016" s="12">
        <v>3042</v>
      </c>
      <c r="M2016" s="12">
        <v>-276.52</v>
      </c>
      <c r="N2016" s="12">
        <v>0</v>
      </c>
      <c r="O2016" s="12">
        <v>359.51203599999997</v>
      </c>
      <c r="P2016" s="12">
        <v>3124.9920360000001</v>
      </c>
    </row>
    <row r="2017" spans="1:16" ht="14.5" x14ac:dyDescent="0.25">
      <c r="A2017" s="10">
        <v>46035</v>
      </c>
      <c r="B2017" s="2" t="str">
        <f t="shared" si="62"/>
        <v>Jan-2026</v>
      </c>
      <c r="C2017" s="2" t="str">
        <f t="shared" si="63"/>
        <v>Q4</v>
      </c>
      <c r="D2017" s="2" t="s">
        <v>28</v>
      </c>
      <c r="E2017" s="11" t="s">
        <v>428</v>
      </c>
      <c r="F2017" s="11" t="s">
        <v>337</v>
      </c>
      <c r="G2017" s="11" t="s">
        <v>503</v>
      </c>
      <c r="H2017" s="11" t="s">
        <v>59</v>
      </c>
      <c r="I2017" s="12">
        <v>0.22</v>
      </c>
      <c r="J2017" s="12">
        <v>40</v>
      </c>
      <c r="K2017" s="12">
        <v>62.21</v>
      </c>
      <c r="L2017" s="12">
        <v>2488.4</v>
      </c>
      <c r="M2017" s="12">
        <v>-226.2</v>
      </c>
      <c r="N2017" s="12">
        <v>0</v>
      </c>
      <c r="O2017" s="12">
        <v>294.08570200000003</v>
      </c>
      <c r="P2017" s="12">
        <v>2556.2857020000001</v>
      </c>
    </row>
    <row r="2018" spans="1:16" ht="14.5" x14ac:dyDescent="0.25">
      <c r="A2018" s="10">
        <v>46035</v>
      </c>
      <c r="B2018" s="2" t="str">
        <f t="shared" si="62"/>
        <v>Jan-2026</v>
      </c>
      <c r="C2018" s="2" t="str">
        <f t="shared" si="63"/>
        <v>Q4</v>
      </c>
      <c r="D2018" s="2" t="s">
        <v>28</v>
      </c>
      <c r="E2018" s="11" t="s">
        <v>428</v>
      </c>
      <c r="F2018" s="11" t="s">
        <v>337</v>
      </c>
      <c r="G2018" s="11" t="s">
        <v>503</v>
      </c>
      <c r="H2018" s="11" t="s">
        <v>179</v>
      </c>
      <c r="I2018" s="12">
        <v>0.22</v>
      </c>
      <c r="J2018" s="12">
        <v>40</v>
      </c>
      <c r="K2018" s="12">
        <v>128.44999999999999</v>
      </c>
      <c r="L2018" s="12">
        <v>5137.9999999999991</v>
      </c>
      <c r="M2018" s="12">
        <v>-467.04</v>
      </c>
      <c r="N2018" s="12">
        <v>0</v>
      </c>
      <c r="O2018" s="12">
        <v>607.22418499999992</v>
      </c>
      <c r="P2018" s="12">
        <v>5278.1841850000001</v>
      </c>
    </row>
    <row r="2019" spans="1:16" ht="14.5" x14ac:dyDescent="0.25">
      <c r="A2019" s="10">
        <v>46035</v>
      </c>
      <c r="B2019" s="2" t="str">
        <f t="shared" ref="B2019:B2082" si="64">+TEXT(A2019,"MMM-yyy")</f>
        <v>Jan-2026</v>
      </c>
      <c r="C2019" s="2" t="str">
        <f t="shared" ref="C2019:C2082" si="65">"Q" &amp; CHOOSE(MONTH(A2019),4,4,4,1,1,1,2,2,2,3,3,3)</f>
        <v>Q4</v>
      </c>
      <c r="D2019" s="2" t="s">
        <v>28</v>
      </c>
      <c r="E2019" s="11" t="s">
        <v>428</v>
      </c>
      <c r="F2019" s="11" t="s">
        <v>337</v>
      </c>
      <c r="G2019" s="11" t="s">
        <v>503</v>
      </c>
      <c r="H2019" s="11" t="s">
        <v>45</v>
      </c>
      <c r="I2019" s="12">
        <v>0.17</v>
      </c>
      <c r="J2019" s="12">
        <v>30</v>
      </c>
      <c r="K2019" s="12">
        <v>64.23</v>
      </c>
      <c r="L2019" s="12">
        <v>1926.8999999999999</v>
      </c>
      <c r="M2019" s="12">
        <v>-175.16</v>
      </c>
      <c r="N2019" s="12">
        <v>0</v>
      </c>
      <c r="O2019" s="12">
        <v>227.72596999999999</v>
      </c>
      <c r="P2019" s="12">
        <v>1979.46597</v>
      </c>
    </row>
    <row r="2020" spans="1:16" ht="14.5" x14ac:dyDescent="0.25">
      <c r="A2020" s="10">
        <v>46035</v>
      </c>
      <c r="B2020" s="2" t="str">
        <f t="shared" si="64"/>
        <v>Jan-2026</v>
      </c>
      <c r="C2020" s="2" t="str">
        <f t="shared" si="65"/>
        <v>Q4</v>
      </c>
      <c r="D2020" s="2" t="s">
        <v>28</v>
      </c>
      <c r="E2020" s="11" t="s">
        <v>429</v>
      </c>
      <c r="F2020" s="11" t="s">
        <v>21</v>
      </c>
      <c r="G2020" s="11" t="s">
        <v>506</v>
      </c>
      <c r="H2020" s="11" t="s">
        <v>58</v>
      </c>
      <c r="I2020" s="12">
        <v>1.33</v>
      </c>
      <c r="J2020" s="12">
        <v>96</v>
      </c>
      <c r="K2020" s="12">
        <v>140.18</v>
      </c>
      <c r="L2020" s="12">
        <v>13457.28</v>
      </c>
      <c r="M2020" s="12">
        <v>0</v>
      </c>
      <c r="N2020" s="12">
        <v>0</v>
      </c>
      <c r="O2020" s="12">
        <v>1749.45</v>
      </c>
      <c r="P2020" s="12">
        <v>15206.73</v>
      </c>
    </row>
    <row r="2021" spans="1:16" ht="14.5" x14ac:dyDescent="0.25">
      <c r="A2021" s="10">
        <v>46038</v>
      </c>
      <c r="B2021" s="2" t="str">
        <f t="shared" si="64"/>
        <v>Jan-2026</v>
      </c>
      <c r="C2021" s="2" t="str">
        <f t="shared" si="65"/>
        <v>Q4</v>
      </c>
      <c r="D2021" s="2" t="s">
        <v>28</v>
      </c>
      <c r="E2021" s="11" t="s">
        <v>430</v>
      </c>
      <c r="F2021" s="11" t="s">
        <v>14</v>
      </c>
      <c r="G2021" s="11" t="s">
        <v>503</v>
      </c>
      <c r="H2021" s="11" t="s">
        <v>42</v>
      </c>
      <c r="I2021" s="12">
        <v>1</v>
      </c>
      <c r="J2021" s="12">
        <v>120</v>
      </c>
      <c r="K2021" s="12">
        <v>148.72999999999999</v>
      </c>
      <c r="L2021" s="12">
        <v>17847.600000000002</v>
      </c>
      <c r="M2021" s="12">
        <v>-1622.3500000000001</v>
      </c>
      <c r="N2021" s="12">
        <v>0</v>
      </c>
      <c r="O2021" s="12">
        <v>2109.2821549999999</v>
      </c>
      <c r="P2021" s="12">
        <v>18334.532155000001</v>
      </c>
    </row>
    <row r="2022" spans="1:16" ht="14.5" x14ac:dyDescent="0.25">
      <c r="A2022" s="10">
        <v>46038</v>
      </c>
      <c r="B2022" s="2" t="str">
        <f t="shared" si="64"/>
        <v>Jan-2026</v>
      </c>
      <c r="C2022" s="2" t="str">
        <f t="shared" si="65"/>
        <v>Q4</v>
      </c>
      <c r="D2022" s="2" t="s">
        <v>28</v>
      </c>
      <c r="E2022" s="11" t="s">
        <v>430</v>
      </c>
      <c r="F2022" s="11" t="s">
        <v>14</v>
      </c>
      <c r="G2022" s="11" t="s">
        <v>503</v>
      </c>
      <c r="H2022" s="11" t="s">
        <v>89</v>
      </c>
      <c r="I2022" s="12">
        <v>1</v>
      </c>
      <c r="J2022" s="12">
        <v>120</v>
      </c>
      <c r="K2022" s="12">
        <v>114.93</v>
      </c>
      <c r="L2022" s="12">
        <v>13791.6</v>
      </c>
      <c r="M2022" s="12">
        <v>-1253.6600000000001</v>
      </c>
      <c r="N2022" s="12">
        <v>0</v>
      </c>
      <c r="O2022" s="12">
        <v>1629.9319330000001</v>
      </c>
      <c r="P2022" s="12">
        <v>14167.871933</v>
      </c>
    </row>
    <row r="2023" spans="1:16" ht="14.5" x14ac:dyDescent="0.25">
      <c r="A2023" s="10">
        <v>46038</v>
      </c>
      <c r="B2023" s="2" t="str">
        <f t="shared" si="64"/>
        <v>Jan-2026</v>
      </c>
      <c r="C2023" s="2" t="str">
        <f t="shared" si="65"/>
        <v>Q4</v>
      </c>
      <c r="D2023" s="2" t="s">
        <v>28</v>
      </c>
      <c r="E2023" s="11" t="s">
        <v>430</v>
      </c>
      <c r="F2023" s="11" t="s">
        <v>14</v>
      </c>
      <c r="G2023" s="11" t="s">
        <v>503</v>
      </c>
      <c r="H2023" s="11" t="s">
        <v>47</v>
      </c>
      <c r="I2023" s="12">
        <v>1</v>
      </c>
      <c r="J2023" s="12">
        <v>120</v>
      </c>
      <c r="K2023" s="12">
        <v>121.69</v>
      </c>
      <c r="L2023" s="12">
        <v>14602.800000000001</v>
      </c>
      <c r="M2023" s="12">
        <v>-1327.39</v>
      </c>
      <c r="N2023" s="12">
        <v>0</v>
      </c>
      <c r="O2023" s="12">
        <v>1725.8030180000001</v>
      </c>
      <c r="P2023" s="12">
        <v>15001.213018</v>
      </c>
    </row>
    <row r="2024" spans="1:16" ht="14.5" x14ac:dyDescent="0.25">
      <c r="A2024" s="10">
        <v>46038</v>
      </c>
      <c r="B2024" s="2" t="str">
        <f t="shared" si="64"/>
        <v>Jan-2026</v>
      </c>
      <c r="C2024" s="2" t="str">
        <f t="shared" si="65"/>
        <v>Q4</v>
      </c>
      <c r="D2024" s="2" t="s">
        <v>28</v>
      </c>
      <c r="E2024" s="11" t="s">
        <v>430</v>
      </c>
      <c r="F2024" s="11" t="s">
        <v>14</v>
      </c>
      <c r="G2024" s="11" t="s">
        <v>504</v>
      </c>
      <c r="H2024" s="11" t="s">
        <v>69</v>
      </c>
      <c r="I2024" s="12">
        <v>1</v>
      </c>
      <c r="J2024" s="12">
        <v>100</v>
      </c>
      <c r="K2024" s="12">
        <v>162.26</v>
      </c>
      <c r="L2024" s="12">
        <v>16226</v>
      </c>
      <c r="M2024" s="12">
        <v>-1474.94</v>
      </c>
      <c r="N2024" s="12">
        <v>0</v>
      </c>
      <c r="O2024" s="12">
        <v>1917.6374859999999</v>
      </c>
      <c r="P2024" s="12">
        <v>16668.697486000001</v>
      </c>
    </row>
    <row r="2025" spans="1:16" ht="14.5" x14ac:dyDescent="0.25">
      <c r="A2025" s="10">
        <v>46038</v>
      </c>
      <c r="B2025" s="2" t="str">
        <f t="shared" si="64"/>
        <v>Jan-2026</v>
      </c>
      <c r="C2025" s="2" t="str">
        <f t="shared" si="65"/>
        <v>Q4</v>
      </c>
      <c r="D2025" s="2" t="s">
        <v>28</v>
      </c>
      <c r="E2025" s="11" t="s">
        <v>430</v>
      </c>
      <c r="F2025" s="11" t="s">
        <v>14</v>
      </c>
      <c r="G2025" s="11" t="s">
        <v>503</v>
      </c>
      <c r="H2025" s="11" t="s">
        <v>48</v>
      </c>
      <c r="I2025" s="12">
        <v>1</v>
      </c>
      <c r="J2025" s="12">
        <v>180</v>
      </c>
      <c r="K2025" s="12">
        <v>135.22</v>
      </c>
      <c r="L2025" s="12">
        <v>24339.34</v>
      </c>
      <c r="M2025" s="12">
        <v>-2212.4499999999998</v>
      </c>
      <c r="N2025" s="12">
        <v>0</v>
      </c>
      <c r="O2025" s="12">
        <v>2876.4952290000001</v>
      </c>
      <c r="P2025" s="12">
        <v>25003.385229</v>
      </c>
    </row>
    <row r="2026" spans="1:16" ht="14.5" x14ac:dyDescent="0.25">
      <c r="A2026" s="10">
        <v>46038</v>
      </c>
      <c r="B2026" s="2" t="str">
        <f t="shared" si="64"/>
        <v>Jan-2026</v>
      </c>
      <c r="C2026" s="2" t="str">
        <f t="shared" si="65"/>
        <v>Q4</v>
      </c>
      <c r="D2026" s="2" t="s">
        <v>28</v>
      </c>
      <c r="E2026" s="11" t="s">
        <v>430</v>
      </c>
      <c r="F2026" s="11" t="s">
        <v>14</v>
      </c>
      <c r="G2026" s="11" t="s">
        <v>503</v>
      </c>
      <c r="H2026" s="11" t="s">
        <v>179</v>
      </c>
      <c r="I2026" s="12">
        <v>1</v>
      </c>
      <c r="J2026" s="12">
        <v>180</v>
      </c>
      <c r="K2026" s="12">
        <v>128.44999999999999</v>
      </c>
      <c r="L2026" s="12">
        <v>23121.000000000004</v>
      </c>
      <c r="M2026" s="12">
        <v>-2101.6999999999998</v>
      </c>
      <c r="N2026" s="12">
        <v>0</v>
      </c>
      <c r="O2026" s="12">
        <v>2732.5085530000001</v>
      </c>
      <c r="P2026" s="12">
        <v>23751.808552999999</v>
      </c>
    </row>
    <row r="2027" spans="1:16" ht="14.5" x14ac:dyDescent="0.25">
      <c r="A2027" s="10">
        <v>46038</v>
      </c>
      <c r="B2027" s="2" t="str">
        <f t="shared" si="64"/>
        <v>Jan-2026</v>
      </c>
      <c r="C2027" s="2" t="str">
        <f t="shared" si="65"/>
        <v>Q4</v>
      </c>
      <c r="D2027" s="2" t="s">
        <v>28</v>
      </c>
      <c r="E2027" s="11" t="s">
        <v>430</v>
      </c>
      <c r="F2027" s="11" t="s">
        <v>14</v>
      </c>
      <c r="G2027" s="11" t="s">
        <v>505</v>
      </c>
      <c r="H2027" s="11" t="s">
        <v>40</v>
      </c>
      <c r="I2027" s="12">
        <v>1</v>
      </c>
      <c r="J2027" s="12">
        <v>180</v>
      </c>
      <c r="K2027" s="12">
        <v>94.65</v>
      </c>
      <c r="L2027" s="12">
        <v>17037</v>
      </c>
      <c r="M2027" s="12">
        <v>-1548.6599999999999</v>
      </c>
      <c r="N2027" s="12">
        <v>0</v>
      </c>
      <c r="O2027" s="12">
        <v>2013.4838709999999</v>
      </c>
      <c r="P2027" s="12">
        <v>17501.823871000001</v>
      </c>
    </row>
    <row r="2028" spans="1:16" ht="14.5" x14ac:dyDescent="0.25">
      <c r="A2028" s="10">
        <v>46038</v>
      </c>
      <c r="B2028" s="2" t="str">
        <f t="shared" si="64"/>
        <v>Jan-2026</v>
      </c>
      <c r="C2028" s="2" t="str">
        <f t="shared" si="65"/>
        <v>Q4</v>
      </c>
      <c r="D2028" s="2" t="s">
        <v>28</v>
      </c>
      <c r="E2028" s="11" t="s">
        <v>430</v>
      </c>
      <c r="F2028" s="11" t="s">
        <v>14</v>
      </c>
      <c r="G2028" s="11" t="s">
        <v>503</v>
      </c>
      <c r="H2028" s="11" t="s">
        <v>45</v>
      </c>
      <c r="I2028" s="12">
        <v>1</v>
      </c>
      <c r="J2028" s="12">
        <v>180</v>
      </c>
      <c r="K2028" s="12">
        <v>64.23</v>
      </c>
      <c r="L2028" s="12">
        <v>11561.4</v>
      </c>
      <c r="M2028" s="12">
        <v>-1050.9299999999998</v>
      </c>
      <c r="N2028" s="12">
        <v>0</v>
      </c>
      <c r="O2028" s="12">
        <v>1366.3608760000002</v>
      </c>
      <c r="P2028" s="12">
        <v>11876.830876</v>
      </c>
    </row>
    <row r="2029" spans="1:16" ht="14.5" x14ac:dyDescent="0.25">
      <c r="A2029" s="10">
        <v>46038</v>
      </c>
      <c r="B2029" s="2" t="str">
        <f t="shared" si="64"/>
        <v>Jan-2026</v>
      </c>
      <c r="C2029" s="2" t="str">
        <f t="shared" si="65"/>
        <v>Q4</v>
      </c>
      <c r="D2029" s="2" t="s">
        <v>28</v>
      </c>
      <c r="E2029" s="11" t="s">
        <v>430</v>
      </c>
      <c r="F2029" s="11" t="s">
        <v>14</v>
      </c>
      <c r="G2029" s="11" t="s">
        <v>505</v>
      </c>
      <c r="H2029" s="11" t="s">
        <v>43</v>
      </c>
      <c r="I2029" s="12">
        <v>0.98</v>
      </c>
      <c r="J2029" s="12">
        <v>39</v>
      </c>
      <c r="K2029" s="12">
        <v>283.94</v>
      </c>
      <c r="L2029" s="12">
        <v>11073.66</v>
      </c>
      <c r="M2029" s="12">
        <v>-1006.6</v>
      </c>
      <c r="N2029" s="12">
        <v>0</v>
      </c>
      <c r="O2029" s="12">
        <v>1308.717586</v>
      </c>
      <c r="P2029" s="12">
        <v>11375.777586</v>
      </c>
    </row>
    <row r="2030" spans="1:16" ht="14.5" x14ac:dyDescent="0.25">
      <c r="A2030" s="10">
        <v>46038</v>
      </c>
      <c r="B2030" s="2" t="str">
        <f t="shared" si="64"/>
        <v>Jan-2026</v>
      </c>
      <c r="C2030" s="2" t="str">
        <f t="shared" si="65"/>
        <v>Q4</v>
      </c>
      <c r="D2030" s="2" t="s">
        <v>28</v>
      </c>
      <c r="E2030" s="11" t="s">
        <v>430</v>
      </c>
      <c r="F2030" s="11" t="s">
        <v>14</v>
      </c>
      <c r="G2030" s="11" t="s">
        <v>506</v>
      </c>
      <c r="H2030" s="11" t="s">
        <v>58</v>
      </c>
      <c r="I2030" s="12">
        <v>1</v>
      </c>
      <c r="J2030" s="12">
        <v>72</v>
      </c>
      <c r="K2030" s="12">
        <v>148.72999999999999</v>
      </c>
      <c r="L2030" s="12">
        <v>10708.56</v>
      </c>
      <c r="M2030" s="12">
        <v>-973.41</v>
      </c>
      <c r="N2030" s="12">
        <v>0</v>
      </c>
      <c r="O2030" s="12">
        <v>1265.5692929999998</v>
      </c>
      <c r="P2030" s="12">
        <v>11000.719293</v>
      </c>
    </row>
    <row r="2031" spans="1:16" ht="14.5" x14ac:dyDescent="0.25">
      <c r="A2031" s="10">
        <v>46038</v>
      </c>
      <c r="B2031" s="2" t="str">
        <f t="shared" si="64"/>
        <v>Jan-2026</v>
      </c>
      <c r="C2031" s="2" t="str">
        <f t="shared" si="65"/>
        <v>Q4</v>
      </c>
      <c r="D2031" s="2" t="s">
        <v>28</v>
      </c>
      <c r="E2031" s="11" t="s">
        <v>431</v>
      </c>
      <c r="F2031" s="11" t="s">
        <v>14</v>
      </c>
      <c r="G2031" s="11" t="s">
        <v>503</v>
      </c>
      <c r="H2031" s="11" t="s">
        <v>59</v>
      </c>
      <c r="I2031" s="12">
        <v>-1</v>
      </c>
      <c r="J2031" s="12">
        <v>-180</v>
      </c>
      <c r="K2031" s="12">
        <v>64.23</v>
      </c>
      <c r="L2031" s="12">
        <v>-11561.4</v>
      </c>
      <c r="M2031" s="12">
        <v>1050.9299999999998</v>
      </c>
      <c r="N2031" s="12">
        <v>0</v>
      </c>
      <c r="O2031" s="12">
        <v>-1366.3613740000001</v>
      </c>
      <c r="P2031" s="12">
        <v>-11876.831373999999</v>
      </c>
    </row>
    <row r="2032" spans="1:16" ht="14.5" x14ac:dyDescent="0.25">
      <c r="A2032" s="10">
        <v>46038</v>
      </c>
      <c r="B2032" s="2" t="str">
        <f t="shared" si="64"/>
        <v>Jan-2026</v>
      </c>
      <c r="C2032" s="2" t="str">
        <f t="shared" si="65"/>
        <v>Q4</v>
      </c>
      <c r="D2032" s="2" t="s">
        <v>28</v>
      </c>
      <c r="E2032" s="11" t="s">
        <v>431</v>
      </c>
      <c r="F2032" s="11" t="s">
        <v>14</v>
      </c>
      <c r="G2032" s="11" t="s">
        <v>503</v>
      </c>
      <c r="H2032" s="11" t="s">
        <v>46</v>
      </c>
      <c r="I2032" s="12">
        <v>-0.25</v>
      </c>
      <c r="J2032" s="12">
        <v>-30</v>
      </c>
      <c r="K2032" s="12">
        <v>121.69</v>
      </c>
      <c r="L2032" s="12">
        <v>-3650.7000000000003</v>
      </c>
      <c r="M2032" s="12">
        <v>331.85</v>
      </c>
      <c r="N2032" s="12">
        <v>0</v>
      </c>
      <c r="O2032" s="12">
        <v>-431.45058600000004</v>
      </c>
      <c r="P2032" s="12">
        <v>-3750.3005859999998</v>
      </c>
    </row>
    <row r="2033" spans="1:16" ht="14.5" x14ac:dyDescent="0.25">
      <c r="A2033" s="10">
        <v>46038</v>
      </c>
      <c r="B2033" s="2" t="str">
        <f t="shared" si="64"/>
        <v>Jan-2026</v>
      </c>
      <c r="C2033" s="2" t="str">
        <f t="shared" si="65"/>
        <v>Q4</v>
      </c>
      <c r="D2033" s="2" t="s">
        <v>28</v>
      </c>
      <c r="E2033" s="11" t="s">
        <v>431</v>
      </c>
      <c r="F2033" s="11" t="s">
        <v>14</v>
      </c>
      <c r="G2033" s="11" t="s">
        <v>503</v>
      </c>
      <c r="H2033" s="11" t="s">
        <v>89</v>
      </c>
      <c r="I2033" s="12">
        <v>-2.25</v>
      </c>
      <c r="J2033" s="12">
        <v>-270</v>
      </c>
      <c r="K2033" s="12">
        <v>118.31</v>
      </c>
      <c r="L2033" s="12">
        <v>-31943.7</v>
      </c>
      <c r="M2033" s="12">
        <v>2903.68</v>
      </c>
      <c r="N2033" s="12">
        <v>0</v>
      </c>
      <c r="O2033" s="12">
        <v>-3775.203356</v>
      </c>
      <c r="P2033" s="12">
        <v>-32815.223356000002</v>
      </c>
    </row>
    <row r="2034" spans="1:16" ht="14.5" x14ac:dyDescent="0.25">
      <c r="A2034" s="10">
        <v>46038</v>
      </c>
      <c r="B2034" s="2" t="str">
        <f t="shared" si="64"/>
        <v>Jan-2026</v>
      </c>
      <c r="C2034" s="2" t="str">
        <f t="shared" si="65"/>
        <v>Q4</v>
      </c>
      <c r="D2034" s="2" t="s">
        <v>28</v>
      </c>
      <c r="E2034" s="11" t="s">
        <v>431</v>
      </c>
      <c r="F2034" s="11" t="s">
        <v>14</v>
      </c>
      <c r="G2034" s="11" t="s">
        <v>504</v>
      </c>
      <c r="H2034" s="11" t="s">
        <v>67</v>
      </c>
      <c r="I2034" s="12">
        <v>-0.05</v>
      </c>
      <c r="J2034" s="12">
        <v>-2</v>
      </c>
      <c r="K2034" s="12">
        <v>459.72</v>
      </c>
      <c r="L2034" s="12">
        <v>-919.44</v>
      </c>
      <c r="M2034" s="12">
        <v>83.58</v>
      </c>
      <c r="N2034" s="12">
        <v>0</v>
      </c>
      <c r="O2034" s="12">
        <v>-108.66182200000002</v>
      </c>
      <c r="P2034" s="12">
        <v>-944.52182200000004</v>
      </c>
    </row>
    <row r="2035" spans="1:16" ht="14.5" x14ac:dyDescent="0.25">
      <c r="A2035" s="10">
        <v>46038</v>
      </c>
      <c r="B2035" s="2" t="str">
        <f t="shared" si="64"/>
        <v>Jan-2026</v>
      </c>
      <c r="C2035" s="2" t="str">
        <f t="shared" si="65"/>
        <v>Q4</v>
      </c>
      <c r="D2035" s="2" t="s">
        <v>28</v>
      </c>
      <c r="E2035" s="11" t="s">
        <v>431</v>
      </c>
      <c r="F2035" s="11" t="s">
        <v>14</v>
      </c>
      <c r="G2035" s="11" t="s">
        <v>503</v>
      </c>
      <c r="H2035" s="11" t="s">
        <v>63</v>
      </c>
      <c r="I2035" s="12">
        <v>-0.75</v>
      </c>
      <c r="J2035" s="12">
        <v>-60</v>
      </c>
      <c r="K2035" s="12">
        <v>189.3</v>
      </c>
      <c r="L2035" s="12">
        <v>-11358</v>
      </c>
      <c r="M2035" s="12">
        <v>1032.44</v>
      </c>
      <c r="N2035" s="12">
        <v>0</v>
      </c>
      <c r="O2035" s="12">
        <v>-1342.323069</v>
      </c>
      <c r="P2035" s="12">
        <v>-11667.883069</v>
      </c>
    </row>
    <row r="2036" spans="1:16" ht="14.5" x14ac:dyDescent="0.25">
      <c r="A2036" s="10">
        <v>46038</v>
      </c>
      <c r="B2036" s="2" t="str">
        <f t="shared" si="64"/>
        <v>Jan-2026</v>
      </c>
      <c r="C2036" s="2" t="str">
        <f t="shared" si="65"/>
        <v>Q4</v>
      </c>
      <c r="D2036" s="2" t="s">
        <v>28</v>
      </c>
      <c r="E2036" s="11" t="s">
        <v>431</v>
      </c>
      <c r="F2036" s="11" t="s">
        <v>14</v>
      </c>
      <c r="G2036" s="11" t="s">
        <v>503</v>
      </c>
      <c r="H2036" s="11" t="s">
        <v>44</v>
      </c>
      <c r="I2036" s="12">
        <v>-0.5</v>
      </c>
      <c r="J2036" s="12">
        <v>-90</v>
      </c>
      <c r="K2036" s="12">
        <v>155.49</v>
      </c>
      <c r="L2036" s="12">
        <v>-13994.1</v>
      </c>
      <c r="M2036" s="12">
        <v>1272.0600000000002</v>
      </c>
      <c r="N2036" s="12">
        <v>0</v>
      </c>
      <c r="O2036" s="12">
        <v>-1653.8655310000001</v>
      </c>
      <c r="P2036" s="12">
        <v>-14375.905531</v>
      </c>
    </row>
    <row r="2037" spans="1:16" ht="14.5" x14ac:dyDescent="0.25">
      <c r="A2037" s="10">
        <v>46038</v>
      </c>
      <c r="B2037" s="2" t="str">
        <f t="shared" si="64"/>
        <v>Jan-2026</v>
      </c>
      <c r="C2037" s="2" t="str">
        <f t="shared" si="65"/>
        <v>Q4</v>
      </c>
      <c r="D2037" s="2" t="s">
        <v>28</v>
      </c>
      <c r="E2037" s="11" t="s">
        <v>431</v>
      </c>
      <c r="F2037" s="11" t="s">
        <v>14</v>
      </c>
      <c r="G2037" s="11" t="s">
        <v>505</v>
      </c>
      <c r="H2037" s="11" t="s">
        <v>56</v>
      </c>
      <c r="I2037" s="12">
        <v>-0.33</v>
      </c>
      <c r="J2037" s="12">
        <v>-40</v>
      </c>
      <c r="K2037" s="12">
        <v>50.7</v>
      </c>
      <c r="L2037" s="12">
        <v>-2028</v>
      </c>
      <c r="M2037" s="12">
        <v>184.35</v>
      </c>
      <c r="N2037" s="12">
        <v>0</v>
      </c>
      <c r="O2037" s="12">
        <v>-239.67454799999999</v>
      </c>
      <c r="P2037" s="12">
        <v>-2083.324548</v>
      </c>
    </row>
    <row r="2038" spans="1:16" ht="14.5" x14ac:dyDescent="0.25">
      <c r="A2038" s="10">
        <v>46038</v>
      </c>
      <c r="B2038" s="2" t="str">
        <f t="shared" si="64"/>
        <v>Jan-2026</v>
      </c>
      <c r="C2038" s="2" t="str">
        <f t="shared" si="65"/>
        <v>Q4</v>
      </c>
      <c r="D2038" s="2" t="s">
        <v>28</v>
      </c>
      <c r="E2038" s="11" t="s">
        <v>431</v>
      </c>
      <c r="F2038" s="11" t="s">
        <v>14</v>
      </c>
      <c r="G2038" s="11" t="s">
        <v>503</v>
      </c>
      <c r="H2038" s="11" t="s">
        <v>51</v>
      </c>
      <c r="I2038" s="12">
        <v>-0.06</v>
      </c>
      <c r="J2038" s="12">
        <v>-10</v>
      </c>
      <c r="K2038" s="12">
        <v>64.23</v>
      </c>
      <c r="L2038" s="12">
        <v>-642.29999999999995</v>
      </c>
      <c r="M2038" s="12">
        <v>58.39</v>
      </c>
      <c r="N2038" s="12">
        <v>0</v>
      </c>
      <c r="O2038" s="12">
        <v>-75.908315000000002</v>
      </c>
      <c r="P2038" s="12">
        <v>-659.81831499999998</v>
      </c>
    </row>
    <row r="2039" spans="1:16" ht="14.5" x14ac:dyDescent="0.25">
      <c r="A2039" s="10">
        <v>46038</v>
      </c>
      <c r="B2039" s="2" t="str">
        <f t="shared" si="64"/>
        <v>Jan-2026</v>
      </c>
      <c r="C2039" s="2" t="str">
        <f t="shared" si="65"/>
        <v>Q4</v>
      </c>
      <c r="D2039" s="2" t="s">
        <v>28</v>
      </c>
      <c r="E2039" s="11" t="s">
        <v>431</v>
      </c>
      <c r="F2039" s="11" t="s">
        <v>14</v>
      </c>
      <c r="G2039" s="11" t="s">
        <v>503</v>
      </c>
      <c r="H2039" s="11" t="s">
        <v>87</v>
      </c>
      <c r="I2039" s="12">
        <v>-0.39</v>
      </c>
      <c r="J2039" s="12">
        <v>-70</v>
      </c>
      <c r="K2039" s="12">
        <v>114.93</v>
      </c>
      <c r="L2039" s="12">
        <v>-8045.1</v>
      </c>
      <c r="M2039" s="12">
        <v>731.3</v>
      </c>
      <c r="N2039" s="12">
        <v>0</v>
      </c>
      <c r="O2039" s="12">
        <v>-950.79418999999996</v>
      </c>
      <c r="P2039" s="12">
        <v>-8264.5941899999998</v>
      </c>
    </row>
    <row r="2040" spans="1:16" ht="14.5" x14ac:dyDescent="0.25">
      <c r="A2040" s="10">
        <v>46038</v>
      </c>
      <c r="B2040" s="2" t="str">
        <f t="shared" si="64"/>
        <v>Jan-2026</v>
      </c>
      <c r="C2040" s="2" t="str">
        <f t="shared" si="65"/>
        <v>Q4</v>
      </c>
      <c r="D2040" s="2" t="s">
        <v>28</v>
      </c>
      <c r="E2040" s="11" t="s">
        <v>431</v>
      </c>
      <c r="F2040" s="11" t="s">
        <v>14</v>
      </c>
      <c r="G2040" s="11" t="s">
        <v>505</v>
      </c>
      <c r="H2040" s="11" t="s">
        <v>62</v>
      </c>
      <c r="I2040" s="12">
        <v>-0.5</v>
      </c>
      <c r="J2040" s="12">
        <v>-20</v>
      </c>
      <c r="K2040" s="12">
        <v>439.44</v>
      </c>
      <c r="L2040" s="12">
        <v>-8788.7999999999993</v>
      </c>
      <c r="M2040" s="12">
        <v>798.9</v>
      </c>
      <c r="N2040" s="12">
        <v>0</v>
      </c>
      <c r="O2040" s="12">
        <v>-1038.6872080000001</v>
      </c>
      <c r="P2040" s="12">
        <v>-9028.5872080000008</v>
      </c>
    </row>
    <row r="2041" spans="1:16" ht="14.5" x14ac:dyDescent="0.25">
      <c r="A2041" s="10">
        <v>46038</v>
      </c>
      <c r="B2041" s="2" t="str">
        <f t="shared" si="64"/>
        <v>Jan-2026</v>
      </c>
      <c r="C2041" s="2" t="str">
        <f t="shared" si="65"/>
        <v>Q4</v>
      </c>
      <c r="D2041" s="2" t="s">
        <v>28</v>
      </c>
      <c r="E2041" s="11" t="s">
        <v>432</v>
      </c>
      <c r="F2041" s="11" t="s">
        <v>14</v>
      </c>
      <c r="G2041" s="11" t="s">
        <v>504</v>
      </c>
      <c r="H2041" s="11" t="s">
        <v>61</v>
      </c>
      <c r="I2041" s="12">
        <v>-0.25</v>
      </c>
      <c r="J2041" s="12">
        <v>-10</v>
      </c>
      <c r="K2041" s="12">
        <v>309.39999999999998</v>
      </c>
      <c r="L2041" s="12">
        <v>-3094</v>
      </c>
      <c r="M2041" s="12">
        <v>281.24</v>
      </c>
      <c r="N2041" s="12">
        <v>0</v>
      </c>
      <c r="O2041" s="12">
        <v>0</v>
      </c>
      <c r="P2041" s="12">
        <v>-2812.76</v>
      </c>
    </row>
    <row r="2042" spans="1:16" ht="14.5" x14ac:dyDescent="0.25">
      <c r="A2042" s="10">
        <v>46041</v>
      </c>
      <c r="B2042" s="2" t="str">
        <f t="shared" si="64"/>
        <v>Jan-2026</v>
      </c>
      <c r="C2042" s="2" t="str">
        <f t="shared" si="65"/>
        <v>Q4</v>
      </c>
      <c r="D2042" s="2" t="s">
        <v>28</v>
      </c>
      <c r="E2042" s="11" t="s">
        <v>433</v>
      </c>
      <c r="F2042" s="11" t="s">
        <v>104</v>
      </c>
      <c r="G2042" s="11" t="s">
        <v>507</v>
      </c>
      <c r="H2042" s="11" t="s">
        <v>60</v>
      </c>
      <c r="I2042" s="12">
        <v>0.17</v>
      </c>
      <c r="J2042" s="12">
        <v>10</v>
      </c>
      <c r="K2042" s="12">
        <v>102.65</v>
      </c>
      <c r="L2042" s="12">
        <v>1026.5</v>
      </c>
      <c r="M2042" s="12">
        <v>0</v>
      </c>
      <c r="N2042" s="12">
        <v>0</v>
      </c>
      <c r="O2042" s="12">
        <v>133.44401100000002</v>
      </c>
      <c r="P2042" s="12">
        <v>1159.944011</v>
      </c>
    </row>
    <row r="2043" spans="1:16" ht="14.5" x14ac:dyDescent="0.25">
      <c r="A2043" s="10">
        <v>46041</v>
      </c>
      <c r="B2043" s="2" t="str">
        <f t="shared" si="64"/>
        <v>Jan-2026</v>
      </c>
      <c r="C2043" s="2" t="str">
        <f t="shared" si="65"/>
        <v>Q4</v>
      </c>
      <c r="D2043" s="2" t="s">
        <v>28</v>
      </c>
      <c r="E2043" s="11" t="s">
        <v>433</v>
      </c>
      <c r="F2043" s="11" t="s">
        <v>104</v>
      </c>
      <c r="G2043" s="11" t="s">
        <v>503</v>
      </c>
      <c r="H2043" s="11" t="s">
        <v>59</v>
      </c>
      <c r="I2043" s="12">
        <v>0.06</v>
      </c>
      <c r="J2043" s="12">
        <v>10</v>
      </c>
      <c r="K2043" s="12">
        <v>67.260000000000005</v>
      </c>
      <c r="L2043" s="12">
        <v>672.6</v>
      </c>
      <c r="M2043" s="12">
        <v>0</v>
      </c>
      <c r="N2043" s="12">
        <v>0</v>
      </c>
      <c r="O2043" s="12">
        <v>87.437352000000004</v>
      </c>
      <c r="P2043" s="12">
        <v>760.03735200000006</v>
      </c>
    </row>
    <row r="2044" spans="1:16" ht="14.5" x14ac:dyDescent="0.25">
      <c r="A2044" s="10">
        <v>46041</v>
      </c>
      <c r="B2044" s="2" t="str">
        <f t="shared" si="64"/>
        <v>Jan-2026</v>
      </c>
      <c r="C2044" s="2" t="str">
        <f t="shared" si="65"/>
        <v>Q4</v>
      </c>
      <c r="D2044" s="2" t="s">
        <v>28</v>
      </c>
      <c r="E2044" s="11" t="s">
        <v>433</v>
      </c>
      <c r="F2044" s="11" t="s">
        <v>104</v>
      </c>
      <c r="G2044" s="11" t="s">
        <v>503</v>
      </c>
      <c r="H2044" s="11" t="s">
        <v>45</v>
      </c>
      <c r="I2044" s="12">
        <v>0.06</v>
      </c>
      <c r="J2044" s="12">
        <v>10</v>
      </c>
      <c r="K2044" s="12">
        <v>67.260000000000005</v>
      </c>
      <c r="L2044" s="12">
        <v>672.6</v>
      </c>
      <c r="M2044" s="12">
        <v>0</v>
      </c>
      <c r="N2044" s="12">
        <v>0</v>
      </c>
      <c r="O2044" s="12">
        <v>87.437352000000004</v>
      </c>
      <c r="P2044" s="12">
        <v>760.03735200000006</v>
      </c>
    </row>
    <row r="2045" spans="1:16" ht="14.5" x14ac:dyDescent="0.25">
      <c r="A2045" s="10">
        <v>46041</v>
      </c>
      <c r="B2045" s="2" t="str">
        <f t="shared" si="64"/>
        <v>Jan-2026</v>
      </c>
      <c r="C2045" s="2" t="str">
        <f t="shared" si="65"/>
        <v>Q4</v>
      </c>
      <c r="D2045" s="2" t="s">
        <v>28</v>
      </c>
      <c r="E2045" s="11" t="s">
        <v>433</v>
      </c>
      <c r="F2045" s="11" t="s">
        <v>104</v>
      </c>
      <c r="G2045" s="11" t="s">
        <v>503</v>
      </c>
      <c r="H2045" s="11" t="s">
        <v>52</v>
      </c>
      <c r="I2045" s="12">
        <v>0.06</v>
      </c>
      <c r="J2045" s="12">
        <v>10</v>
      </c>
      <c r="K2045" s="12">
        <v>74.34</v>
      </c>
      <c r="L2045" s="12">
        <v>743.4</v>
      </c>
      <c r="M2045" s="12">
        <v>0</v>
      </c>
      <c r="N2045" s="12">
        <v>0</v>
      </c>
      <c r="O2045" s="12">
        <v>96.641283999999999</v>
      </c>
      <c r="P2045" s="12">
        <v>840.04128400000002</v>
      </c>
    </row>
    <row r="2046" spans="1:16" ht="14.5" x14ac:dyDescent="0.25">
      <c r="A2046" s="10">
        <v>46041</v>
      </c>
      <c r="B2046" s="2" t="str">
        <f t="shared" si="64"/>
        <v>Jan-2026</v>
      </c>
      <c r="C2046" s="2" t="str">
        <f t="shared" si="65"/>
        <v>Q4</v>
      </c>
      <c r="D2046" s="2" t="s">
        <v>28</v>
      </c>
      <c r="E2046" s="11" t="s">
        <v>434</v>
      </c>
      <c r="F2046" s="11" t="s">
        <v>151</v>
      </c>
      <c r="G2046" s="11" t="s">
        <v>504</v>
      </c>
      <c r="H2046" s="11" t="s">
        <v>61</v>
      </c>
      <c r="I2046" s="12">
        <v>1</v>
      </c>
      <c r="J2046" s="12">
        <v>40</v>
      </c>
      <c r="K2046" s="12">
        <v>308</v>
      </c>
      <c r="L2046" s="12">
        <v>12320</v>
      </c>
      <c r="M2046" s="12">
        <v>0</v>
      </c>
      <c r="N2046" s="12">
        <v>-1232</v>
      </c>
      <c r="O2046" s="12">
        <v>0</v>
      </c>
      <c r="P2046" s="12">
        <v>11088</v>
      </c>
    </row>
    <row r="2047" spans="1:16" ht="14.5" x14ac:dyDescent="0.25">
      <c r="A2047" s="10">
        <v>46041</v>
      </c>
      <c r="B2047" s="2" t="str">
        <f t="shared" si="64"/>
        <v>Jan-2026</v>
      </c>
      <c r="C2047" s="2" t="str">
        <f t="shared" si="65"/>
        <v>Q4</v>
      </c>
      <c r="D2047" s="2" t="s">
        <v>28</v>
      </c>
      <c r="E2047" s="11" t="s">
        <v>434</v>
      </c>
      <c r="F2047" s="11" t="s">
        <v>151</v>
      </c>
      <c r="G2047" s="11" t="s">
        <v>504</v>
      </c>
      <c r="H2047" s="11" t="s">
        <v>53</v>
      </c>
      <c r="I2047" s="12">
        <v>1</v>
      </c>
      <c r="J2047" s="12">
        <v>100</v>
      </c>
      <c r="K2047" s="12">
        <v>126</v>
      </c>
      <c r="L2047" s="12">
        <v>12600</v>
      </c>
      <c r="M2047" s="12">
        <v>0</v>
      </c>
      <c r="N2047" s="12">
        <v>-1260</v>
      </c>
      <c r="O2047" s="12">
        <v>0</v>
      </c>
      <c r="P2047" s="12">
        <v>11340</v>
      </c>
    </row>
    <row r="2048" spans="1:16" ht="14.5" x14ac:dyDescent="0.25">
      <c r="A2048" s="10">
        <v>46041</v>
      </c>
      <c r="B2048" s="2" t="str">
        <f t="shared" si="64"/>
        <v>Jan-2026</v>
      </c>
      <c r="C2048" s="2" t="str">
        <f t="shared" si="65"/>
        <v>Q4</v>
      </c>
      <c r="D2048" s="2" t="s">
        <v>28</v>
      </c>
      <c r="E2048" s="11" t="s">
        <v>435</v>
      </c>
      <c r="F2048" s="11" t="s">
        <v>151</v>
      </c>
      <c r="G2048" s="11" t="s">
        <v>504</v>
      </c>
      <c r="H2048" s="11" t="s">
        <v>53</v>
      </c>
      <c r="I2048" s="12">
        <v>1</v>
      </c>
      <c r="J2048" s="12">
        <v>100</v>
      </c>
      <c r="K2048" s="12">
        <v>126</v>
      </c>
      <c r="L2048" s="12">
        <v>12600</v>
      </c>
      <c r="M2048" s="12">
        <v>0</v>
      </c>
      <c r="N2048" s="12">
        <v>-1260</v>
      </c>
      <c r="O2048" s="12">
        <v>0</v>
      </c>
      <c r="P2048" s="12">
        <v>11340</v>
      </c>
    </row>
    <row r="2049" spans="1:16" ht="14.5" x14ac:dyDescent="0.25">
      <c r="A2049" s="10">
        <v>46041</v>
      </c>
      <c r="B2049" s="2" t="str">
        <f t="shared" si="64"/>
        <v>Jan-2026</v>
      </c>
      <c r="C2049" s="2" t="str">
        <f t="shared" si="65"/>
        <v>Q4</v>
      </c>
      <c r="D2049" s="2" t="s">
        <v>28</v>
      </c>
      <c r="E2049" s="11" t="s">
        <v>435</v>
      </c>
      <c r="F2049" s="11" t="s">
        <v>151</v>
      </c>
      <c r="G2049" s="11" t="s">
        <v>504</v>
      </c>
      <c r="H2049" s="11" t="s">
        <v>61</v>
      </c>
      <c r="I2049" s="12">
        <v>1</v>
      </c>
      <c r="J2049" s="12">
        <v>40</v>
      </c>
      <c r="K2049" s="12">
        <v>308</v>
      </c>
      <c r="L2049" s="12">
        <v>12320</v>
      </c>
      <c r="M2049" s="12">
        <v>0</v>
      </c>
      <c r="N2049" s="12">
        <v>-1232</v>
      </c>
      <c r="O2049" s="12">
        <v>0</v>
      </c>
      <c r="P2049" s="12">
        <v>11088</v>
      </c>
    </row>
    <row r="2050" spans="1:16" ht="14.5" x14ac:dyDescent="0.25">
      <c r="A2050" s="10">
        <v>46041</v>
      </c>
      <c r="B2050" s="2" t="str">
        <f t="shared" si="64"/>
        <v>Jan-2026</v>
      </c>
      <c r="C2050" s="2" t="str">
        <f t="shared" si="65"/>
        <v>Q4</v>
      </c>
      <c r="D2050" s="2" t="s">
        <v>28</v>
      </c>
      <c r="E2050" s="11" t="s">
        <v>436</v>
      </c>
      <c r="F2050" s="11" t="s">
        <v>151</v>
      </c>
      <c r="G2050" s="11" t="s">
        <v>503</v>
      </c>
      <c r="H2050" s="11" t="s">
        <v>42</v>
      </c>
      <c r="I2050" s="12">
        <v>1</v>
      </c>
      <c r="J2050" s="12">
        <v>120</v>
      </c>
      <c r="K2050" s="12">
        <v>136.28</v>
      </c>
      <c r="L2050" s="12">
        <v>16353.6</v>
      </c>
      <c r="M2050" s="12">
        <v>0</v>
      </c>
      <c r="N2050" s="12">
        <v>-1635.36</v>
      </c>
      <c r="O2050" s="12">
        <v>1913.3709590000001</v>
      </c>
      <c r="P2050" s="12">
        <v>16631.610959000001</v>
      </c>
    </row>
    <row r="2051" spans="1:16" ht="14.5" x14ac:dyDescent="0.25">
      <c r="A2051" s="10">
        <v>46041</v>
      </c>
      <c r="B2051" s="2" t="str">
        <f t="shared" si="64"/>
        <v>Jan-2026</v>
      </c>
      <c r="C2051" s="2" t="str">
        <f t="shared" si="65"/>
        <v>Q4</v>
      </c>
      <c r="D2051" s="2" t="s">
        <v>28</v>
      </c>
      <c r="E2051" s="11" t="s">
        <v>436</v>
      </c>
      <c r="F2051" s="11" t="s">
        <v>151</v>
      </c>
      <c r="G2051" s="11" t="s">
        <v>503</v>
      </c>
      <c r="H2051" s="11" t="s">
        <v>59</v>
      </c>
      <c r="I2051" s="12">
        <v>0.5</v>
      </c>
      <c r="J2051" s="12">
        <v>90</v>
      </c>
      <c r="K2051" s="12">
        <v>56.99</v>
      </c>
      <c r="L2051" s="12">
        <v>5129.1000000000004</v>
      </c>
      <c r="M2051" s="12">
        <v>0</v>
      </c>
      <c r="N2051" s="12">
        <v>-512.91</v>
      </c>
      <c r="O2051" s="12">
        <v>600.10462400000006</v>
      </c>
      <c r="P2051" s="12">
        <v>5216.2946240000001</v>
      </c>
    </row>
    <row r="2052" spans="1:16" ht="14.5" x14ac:dyDescent="0.25">
      <c r="A2052" s="10">
        <v>46041</v>
      </c>
      <c r="B2052" s="2" t="str">
        <f t="shared" si="64"/>
        <v>Jan-2026</v>
      </c>
      <c r="C2052" s="2" t="str">
        <f t="shared" si="65"/>
        <v>Q4</v>
      </c>
      <c r="D2052" s="2" t="s">
        <v>28</v>
      </c>
      <c r="E2052" s="11" t="s">
        <v>436</v>
      </c>
      <c r="F2052" s="11" t="s">
        <v>151</v>
      </c>
      <c r="G2052" s="11" t="s">
        <v>505</v>
      </c>
      <c r="H2052" s="11" t="s">
        <v>49</v>
      </c>
      <c r="I2052" s="12">
        <v>1</v>
      </c>
      <c r="J2052" s="12">
        <v>180</v>
      </c>
      <c r="K2052" s="12">
        <v>145.58000000000001</v>
      </c>
      <c r="L2052" s="12">
        <v>26204.399999999998</v>
      </c>
      <c r="M2052" s="12">
        <v>0</v>
      </c>
      <c r="N2052" s="12">
        <v>-2620.44</v>
      </c>
      <c r="O2052" s="12">
        <v>3065.9144139999999</v>
      </c>
      <c r="P2052" s="12">
        <v>26649.874414000002</v>
      </c>
    </row>
    <row r="2053" spans="1:16" ht="14.5" x14ac:dyDescent="0.25">
      <c r="A2053" s="10">
        <v>46041</v>
      </c>
      <c r="B2053" s="2" t="str">
        <f t="shared" si="64"/>
        <v>Jan-2026</v>
      </c>
      <c r="C2053" s="2" t="str">
        <f t="shared" si="65"/>
        <v>Q4</v>
      </c>
      <c r="D2053" s="2" t="s">
        <v>28</v>
      </c>
      <c r="E2053" s="11" t="s">
        <v>436</v>
      </c>
      <c r="F2053" s="11" t="s">
        <v>151</v>
      </c>
      <c r="G2053" s="11" t="s">
        <v>503</v>
      </c>
      <c r="H2053" s="11" t="s">
        <v>177</v>
      </c>
      <c r="I2053" s="12">
        <v>1</v>
      </c>
      <c r="J2053" s="12">
        <v>120</v>
      </c>
      <c r="K2053" s="12">
        <v>86.73</v>
      </c>
      <c r="L2053" s="12">
        <v>10407.6</v>
      </c>
      <c r="M2053" s="12">
        <v>0</v>
      </c>
      <c r="N2053" s="12">
        <v>-1040.76</v>
      </c>
      <c r="O2053" s="12">
        <v>1217.6890470000001</v>
      </c>
      <c r="P2053" s="12">
        <v>10584.529047</v>
      </c>
    </row>
    <row r="2054" spans="1:16" ht="14.5" x14ac:dyDescent="0.25">
      <c r="A2054" s="10">
        <v>46041</v>
      </c>
      <c r="B2054" s="2" t="str">
        <f t="shared" si="64"/>
        <v>Jan-2026</v>
      </c>
      <c r="C2054" s="2" t="str">
        <f t="shared" si="65"/>
        <v>Q4</v>
      </c>
      <c r="D2054" s="2" t="s">
        <v>28</v>
      </c>
      <c r="E2054" s="11" t="s">
        <v>436</v>
      </c>
      <c r="F2054" s="11" t="s">
        <v>151</v>
      </c>
      <c r="G2054" s="11" t="s">
        <v>503</v>
      </c>
      <c r="H2054" s="11" t="s">
        <v>52</v>
      </c>
      <c r="I2054" s="12">
        <v>1</v>
      </c>
      <c r="J2054" s="12">
        <v>180</v>
      </c>
      <c r="K2054" s="12">
        <v>65.040000000000006</v>
      </c>
      <c r="L2054" s="12">
        <v>11707.2</v>
      </c>
      <c r="M2054" s="12">
        <v>0</v>
      </c>
      <c r="N2054" s="12">
        <v>-1170.72</v>
      </c>
      <c r="O2054" s="12">
        <v>1369.7422279999998</v>
      </c>
      <c r="P2054" s="12">
        <v>11906.222228000001</v>
      </c>
    </row>
    <row r="2055" spans="1:16" ht="14.5" x14ac:dyDescent="0.25">
      <c r="A2055" s="10">
        <v>46041</v>
      </c>
      <c r="B2055" s="2" t="str">
        <f t="shared" si="64"/>
        <v>Jan-2026</v>
      </c>
      <c r="C2055" s="2" t="str">
        <f t="shared" si="65"/>
        <v>Q4</v>
      </c>
      <c r="D2055" s="2" t="s">
        <v>28</v>
      </c>
      <c r="E2055" s="11" t="s">
        <v>436</v>
      </c>
      <c r="F2055" s="11" t="s">
        <v>151</v>
      </c>
      <c r="G2055" s="11" t="s">
        <v>506</v>
      </c>
      <c r="H2055" s="11" t="s">
        <v>39</v>
      </c>
      <c r="I2055" s="12">
        <v>1</v>
      </c>
      <c r="J2055" s="12">
        <v>72</v>
      </c>
      <c r="K2055" s="12">
        <v>120.8</v>
      </c>
      <c r="L2055" s="12">
        <v>8697.6</v>
      </c>
      <c r="M2055" s="12">
        <v>0</v>
      </c>
      <c r="N2055" s="12">
        <v>-869.76</v>
      </c>
      <c r="O2055" s="12">
        <v>1017.619072</v>
      </c>
      <c r="P2055" s="12">
        <v>8845.4590719999997</v>
      </c>
    </row>
    <row r="2056" spans="1:16" ht="14.5" x14ac:dyDescent="0.25">
      <c r="A2056" s="10">
        <v>46041</v>
      </c>
      <c r="B2056" s="2" t="str">
        <f t="shared" si="64"/>
        <v>Jan-2026</v>
      </c>
      <c r="C2056" s="2" t="str">
        <f t="shared" si="65"/>
        <v>Q4</v>
      </c>
      <c r="D2056" s="2" t="s">
        <v>28</v>
      </c>
      <c r="E2056" s="11" t="s">
        <v>436</v>
      </c>
      <c r="F2056" s="11" t="s">
        <v>151</v>
      </c>
      <c r="G2056" s="11" t="s">
        <v>506</v>
      </c>
      <c r="H2056" s="11" t="s">
        <v>189</v>
      </c>
      <c r="I2056" s="12">
        <v>1</v>
      </c>
      <c r="J2056" s="12">
        <v>100</v>
      </c>
      <c r="K2056" s="12">
        <v>65.040000000000006</v>
      </c>
      <c r="L2056" s="12">
        <v>6504</v>
      </c>
      <c r="M2056" s="12">
        <v>0</v>
      </c>
      <c r="N2056" s="12">
        <v>-650.4</v>
      </c>
      <c r="O2056" s="12">
        <v>760.96790399999998</v>
      </c>
      <c r="P2056" s="12">
        <v>6614.5679040000005</v>
      </c>
    </row>
    <row r="2057" spans="1:16" ht="14.5" x14ac:dyDescent="0.25">
      <c r="A2057" s="10">
        <v>46041</v>
      </c>
      <c r="B2057" s="2" t="str">
        <f t="shared" si="64"/>
        <v>Jan-2026</v>
      </c>
      <c r="C2057" s="2" t="str">
        <f t="shared" si="65"/>
        <v>Q4</v>
      </c>
      <c r="D2057" s="2" t="s">
        <v>28</v>
      </c>
      <c r="E2057" s="11" t="s">
        <v>436</v>
      </c>
      <c r="F2057" s="11" t="s">
        <v>151</v>
      </c>
      <c r="G2057" s="11" t="s">
        <v>503</v>
      </c>
      <c r="H2057" s="11" t="s">
        <v>46</v>
      </c>
      <c r="I2057" s="12">
        <v>1</v>
      </c>
      <c r="J2057" s="12">
        <v>120</v>
      </c>
      <c r="K2057" s="12">
        <v>108.41</v>
      </c>
      <c r="L2057" s="12">
        <v>13009.2</v>
      </c>
      <c r="M2057" s="12">
        <v>0</v>
      </c>
      <c r="N2057" s="12">
        <v>-1300.92</v>
      </c>
      <c r="O2057" s="12">
        <v>1522.0762080000002</v>
      </c>
      <c r="P2057" s="12">
        <v>13230.356207999999</v>
      </c>
    </row>
    <row r="2058" spans="1:16" ht="14.5" x14ac:dyDescent="0.25">
      <c r="A2058" s="10">
        <v>46041</v>
      </c>
      <c r="B2058" s="2" t="str">
        <f t="shared" si="64"/>
        <v>Jan-2026</v>
      </c>
      <c r="C2058" s="2" t="str">
        <f t="shared" si="65"/>
        <v>Q4</v>
      </c>
      <c r="D2058" s="2" t="s">
        <v>28</v>
      </c>
      <c r="E2058" s="11" t="s">
        <v>436</v>
      </c>
      <c r="F2058" s="11" t="s">
        <v>151</v>
      </c>
      <c r="G2058" s="11" t="s">
        <v>503</v>
      </c>
      <c r="H2058" s="11" t="s">
        <v>51</v>
      </c>
      <c r="I2058" s="12">
        <v>1</v>
      </c>
      <c r="J2058" s="12">
        <v>180</v>
      </c>
      <c r="K2058" s="12">
        <v>56.99</v>
      </c>
      <c r="L2058" s="12">
        <v>10258.200000000001</v>
      </c>
      <c r="M2058" s="12">
        <v>0</v>
      </c>
      <c r="N2058" s="12">
        <v>-1025.82</v>
      </c>
      <c r="O2058" s="12">
        <v>1200.209249</v>
      </c>
      <c r="P2058" s="12">
        <v>10432.589249000001</v>
      </c>
    </row>
    <row r="2059" spans="1:16" ht="14.5" x14ac:dyDescent="0.25">
      <c r="A2059" s="10">
        <v>46041</v>
      </c>
      <c r="B2059" s="2" t="str">
        <f t="shared" si="64"/>
        <v>Jan-2026</v>
      </c>
      <c r="C2059" s="2" t="str">
        <f t="shared" si="65"/>
        <v>Q4</v>
      </c>
      <c r="D2059" s="2" t="s">
        <v>28</v>
      </c>
      <c r="E2059" s="11" t="s">
        <v>436</v>
      </c>
      <c r="F2059" s="11" t="s">
        <v>151</v>
      </c>
      <c r="G2059" s="11" t="s">
        <v>505</v>
      </c>
      <c r="H2059" s="11" t="s">
        <v>167</v>
      </c>
      <c r="I2059" s="12">
        <v>1</v>
      </c>
      <c r="J2059" s="12">
        <v>180</v>
      </c>
      <c r="K2059" s="12">
        <v>83.63</v>
      </c>
      <c r="L2059" s="12">
        <v>15053.4</v>
      </c>
      <c r="M2059" s="12">
        <v>0</v>
      </c>
      <c r="N2059" s="12">
        <v>-1505.3400000000001</v>
      </c>
      <c r="O2059" s="12">
        <v>1761.247578</v>
      </c>
      <c r="P2059" s="12">
        <v>15309.307578</v>
      </c>
    </row>
    <row r="2060" spans="1:16" ht="14.5" x14ac:dyDescent="0.25">
      <c r="A2060" s="10">
        <v>46041</v>
      </c>
      <c r="B2060" s="2" t="str">
        <f t="shared" si="64"/>
        <v>Jan-2026</v>
      </c>
      <c r="C2060" s="2" t="str">
        <f t="shared" si="65"/>
        <v>Q4</v>
      </c>
      <c r="D2060" s="2" t="s">
        <v>28</v>
      </c>
      <c r="E2060" s="11" t="s">
        <v>436</v>
      </c>
      <c r="F2060" s="11" t="s">
        <v>151</v>
      </c>
      <c r="G2060" s="11" t="s">
        <v>503</v>
      </c>
      <c r="H2060" s="11" t="s">
        <v>174</v>
      </c>
      <c r="I2060" s="12">
        <v>1</v>
      </c>
      <c r="J2060" s="12">
        <v>180</v>
      </c>
      <c r="K2060" s="12">
        <v>76.81</v>
      </c>
      <c r="L2060" s="12">
        <v>13825.800000000001</v>
      </c>
      <c r="M2060" s="12">
        <v>0</v>
      </c>
      <c r="N2060" s="12">
        <v>-1382.58</v>
      </c>
      <c r="O2060" s="12">
        <v>1617.6183959999998</v>
      </c>
      <c r="P2060" s="12">
        <v>14060.838395999999</v>
      </c>
    </row>
    <row r="2061" spans="1:16" ht="14.5" x14ac:dyDescent="0.25">
      <c r="A2061" s="10">
        <v>46041</v>
      </c>
      <c r="B2061" s="2" t="str">
        <f t="shared" si="64"/>
        <v>Jan-2026</v>
      </c>
      <c r="C2061" s="2" t="str">
        <f t="shared" si="65"/>
        <v>Q4</v>
      </c>
      <c r="D2061" s="2" t="s">
        <v>28</v>
      </c>
      <c r="E2061" s="11" t="s">
        <v>436</v>
      </c>
      <c r="F2061" s="11" t="s">
        <v>151</v>
      </c>
      <c r="G2061" s="11" t="s">
        <v>504</v>
      </c>
      <c r="H2061" s="11" t="s">
        <v>68</v>
      </c>
      <c r="I2061" s="12">
        <v>1</v>
      </c>
      <c r="J2061" s="12">
        <v>40</v>
      </c>
      <c r="K2061" s="12">
        <v>238.5</v>
      </c>
      <c r="L2061" s="12">
        <v>9539.9999999999982</v>
      </c>
      <c r="M2061" s="12">
        <v>0</v>
      </c>
      <c r="N2061" s="12">
        <v>-954</v>
      </c>
      <c r="O2061" s="12">
        <v>1116.17986</v>
      </c>
      <c r="P2061" s="12">
        <v>9702.1798600000002</v>
      </c>
    </row>
    <row r="2062" spans="1:16" ht="14.5" x14ac:dyDescent="0.25">
      <c r="A2062" s="10">
        <v>46041</v>
      </c>
      <c r="B2062" s="2" t="str">
        <f t="shared" si="64"/>
        <v>Jan-2026</v>
      </c>
      <c r="C2062" s="2" t="str">
        <f t="shared" si="65"/>
        <v>Q4</v>
      </c>
      <c r="D2062" s="2" t="s">
        <v>28</v>
      </c>
      <c r="E2062" s="11" t="s">
        <v>436</v>
      </c>
      <c r="F2062" s="11" t="s">
        <v>151</v>
      </c>
      <c r="G2062" s="11" t="s">
        <v>503</v>
      </c>
      <c r="H2062" s="11" t="s">
        <v>48</v>
      </c>
      <c r="I2062" s="12">
        <v>1</v>
      </c>
      <c r="J2062" s="12">
        <v>180</v>
      </c>
      <c r="K2062" s="12">
        <v>123.89</v>
      </c>
      <c r="L2062" s="12">
        <v>22300.2</v>
      </c>
      <c r="M2062" s="12">
        <v>0</v>
      </c>
      <c r="N2062" s="12">
        <v>-2230.02</v>
      </c>
      <c r="O2062" s="12">
        <v>2609.1230719999999</v>
      </c>
      <c r="P2062" s="12">
        <v>22679.303071999999</v>
      </c>
    </row>
    <row r="2063" spans="1:16" ht="14.5" x14ac:dyDescent="0.25">
      <c r="A2063" s="10">
        <v>46041</v>
      </c>
      <c r="B2063" s="2" t="str">
        <f t="shared" si="64"/>
        <v>Jan-2026</v>
      </c>
      <c r="C2063" s="2" t="str">
        <f t="shared" si="65"/>
        <v>Q4</v>
      </c>
      <c r="D2063" s="2" t="s">
        <v>28</v>
      </c>
      <c r="E2063" s="11" t="s">
        <v>436</v>
      </c>
      <c r="F2063" s="11" t="s">
        <v>151</v>
      </c>
      <c r="G2063" s="11" t="s">
        <v>508</v>
      </c>
      <c r="H2063" s="11" t="s">
        <v>178</v>
      </c>
      <c r="I2063" s="12">
        <v>1</v>
      </c>
      <c r="J2063" s="12">
        <v>60</v>
      </c>
      <c r="K2063" s="12">
        <v>136.28</v>
      </c>
      <c r="L2063" s="12">
        <v>8176.8</v>
      </c>
      <c r="M2063" s="12">
        <v>0</v>
      </c>
      <c r="N2063" s="12">
        <v>-817.68</v>
      </c>
      <c r="O2063" s="12">
        <v>956.68547999999998</v>
      </c>
      <c r="P2063" s="12">
        <v>8315.8054800000009</v>
      </c>
    </row>
    <row r="2064" spans="1:16" ht="14.5" x14ac:dyDescent="0.25">
      <c r="A2064" s="10">
        <v>46041</v>
      </c>
      <c r="B2064" s="2" t="str">
        <f t="shared" si="64"/>
        <v>Jan-2026</v>
      </c>
      <c r="C2064" s="2" t="str">
        <f t="shared" si="65"/>
        <v>Q4</v>
      </c>
      <c r="D2064" s="2" t="s">
        <v>28</v>
      </c>
      <c r="E2064" s="11" t="s">
        <v>436</v>
      </c>
      <c r="F2064" s="11" t="s">
        <v>151</v>
      </c>
      <c r="G2064" s="11" t="s">
        <v>503</v>
      </c>
      <c r="H2064" s="11" t="s">
        <v>44</v>
      </c>
      <c r="I2064" s="12">
        <v>1</v>
      </c>
      <c r="J2064" s="12">
        <v>180</v>
      </c>
      <c r="K2064" s="12">
        <v>142.47999999999999</v>
      </c>
      <c r="L2064" s="12">
        <v>25646.399999999998</v>
      </c>
      <c r="M2064" s="12">
        <v>0</v>
      </c>
      <c r="N2064" s="12">
        <v>-2564.64</v>
      </c>
      <c r="O2064" s="12">
        <v>3000.6284219999998</v>
      </c>
      <c r="P2064" s="12">
        <v>26082.388422</v>
      </c>
    </row>
    <row r="2065" spans="1:16" ht="14.5" x14ac:dyDescent="0.25">
      <c r="A2065" s="10">
        <v>46041</v>
      </c>
      <c r="B2065" s="2" t="str">
        <f t="shared" si="64"/>
        <v>Jan-2026</v>
      </c>
      <c r="C2065" s="2" t="str">
        <f t="shared" si="65"/>
        <v>Q4</v>
      </c>
      <c r="D2065" s="2" t="s">
        <v>28</v>
      </c>
      <c r="E2065" s="11" t="s">
        <v>436</v>
      </c>
      <c r="F2065" s="11" t="s">
        <v>151</v>
      </c>
      <c r="G2065" s="11" t="s">
        <v>505</v>
      </c>
      <c r="H2065" s="11" t="s">
        <v>40</v>
      </c>
      <c r="I2065" s="12">
        <v>1</v>
      </c>
      <c r="J2065" s="12">
        <v>180</v>
      </c>
      <c r="K2065" s="12">
        <v>74.34</v>
      </c>
      <c r="L2065" s="12">
        <v>13381.199999999999</v>
      </c>
      <c r="M2065" s="12">
        <v>0</v>
      </c>
      <c r="N2065" s="12">
        <v>-1338.12</v>
      </c>
      <c r="O2065" s="12">
        <v>1565.600203</v>
      </c>
      <c r="P2065" s="12">
        <v>13608.680203</v>
      </c>
    </row>
    <row r="2066" spans="1:16" ht="14.5" x14ac:dyDescent="0.25">
      <c r="A2066" s="10">
        <v>46041</v>
      </c>
      <c r="B2066" s="2" t="str">
        <f t="shared" si="64"/>
        <v>Jan-2026</v>
      </c>
      <c r="C2066" s="2" t="str">
        <f t="shared" si="65"/>
        <v>Q4</v>
      </c>
      <c r="D2066" s="2" t="s">
        <v>28</v>
      </c>
      <c r="E2066" s="11" t="s">
        <v>436</v>
      </c>
      <c r="F2066" s="11" t="s">
        <v>151</v>
      </c>
      <c r="G2066" s="11" t="s">
        <v>503</v>
      </c>
      <c r="H2066" s="11" t="s">
        <v>190</v>
      </c>
      <c r="I2066" s="12">
        <v>1</v>
      </c>
      <c r="J2066" s="12">
        <v>180</v>
      </c>
      <c r="K2066" s="12">
        <v>74.34</v>
      </c>
      <c r="L2066" s="12">
        <v>13381.199999999999</v>
      </c>
      <c r="M2066" s="12">
        <v>0</v>
      </c>
      <c r="N2066" s="12">
        <v>-1338.12</v>
      </c>
      <c r="O2066" s="12">
        <v>1565.600203</v>
      </c>
      <c r="P2066" s="12">
        <v>13608.680203</v>
      </c>
    </row>
    <row r="2067" spans="1:16" ht="14.5" x14ac:dyDescent="0.25">
      <c r="A2067" s="10">
        <v>46041</v>
      </c>
      <c r="B2067" s="2" t="str">
        <f t="shared" si="64"/>
        <v>Jan-2026</v>
      </c>
      <c r="C2067" s="2" t="str">
        <f t="shared" si="65"/>
        <v>Q4</v>
      </c>
      <c r="D2067" s="2" t="s">
        <v>28</v>
      </c>
      <c r="E2067" s="11" t="s">
        <v>436</v>
      </c>
      <c r="F2067" s="11" t="s">
        <v>151</v>
      </c>
      <c r="G2067" s="11" t="s">
        <v>505</v>
      </c>
      <c r="H2067" s="11" t="s">
        <v>50</v>
      </c>
      <c r="I2067" s="12">
        <v>1</v>
      </c>
      <c r="J2067" s="12">
        <v>80</v>
      </c>
      <c r="K2067" s="12">
        <v>154.87</v>
      </c>
      <c r="L2067" s="12">
        <v>12389.6</v>
      </c>
      <c r="M2067" s="12">
        <v>0</v>
      </c>
      <c r="N2067" s="12">
        <v>-1238.96</v>
      </c>
      <c r="O2067" s="12">
        <v>1449.583018</v>
      </c>
      <c r="P2067" s="12">
        <v>12600.223018000001</v>
      </c>
    </row>
    <row r="2068" spans="1:16" ht="14.5" x14ac:dyDescent="0.25">
      <c r="A2068" s="10">
        <v>46041</v>
      </c>
      <c r="B2068" s="2" t="str">
        <f t="shared" si="64"/>
        <v>Jan-2026</v>
      </c>
      <c r="C2068" s="2" t="str">
        <f t="shared" si="65"/>
        <v>Q4</v>
      </c>
      <c r="D2068" s="2" t="s">
        <v>28</v>
      </c>
      <c r="E2068" s="11" t="s">
        <v>436</v>
      </c>
      <c r="F2068" s="11" t="s">
        <v>151</v>
      </c>
      <c r="G2068" s="11" t="s">
        <v>503</v>
      </c>
      <c r="H2068" s="11" t="s">
        <v>47</v>
      </c>
      <c r="I2068" s="12">
        <v>1</v>
      </c>
      <c r="J2068" s="12">
        <v>120</v>
      </c>
      <c r="K2068" s="12">
        <v>108.41</v>
      </c>
      <c r="L2068" s="12">
        <v>13009.2</v>
      </c>
      <c r="M2068" s="12">
        <v>0</v>
      </c>
      <c r="N2068" s="12">
        <v>-1300.92</v>
      </c>
      <c r="O2068" s="12">
        <v>1522.0762080000002</v>
      </c>
      <c r="P2068" s="12">
        <v>13230.356207999999</v>
      </c>
    </row>
    <row r="2069" spans="1:16" ht="14.5" x14ac:dyDescent="0.25">
      <c r="A2069" s="10">
        <v>46041</v>
      </c>
      <c r="B2069" s="2" t="str">
        <f t="shared" si="64"/>
        <v>Jan-2026</v>
      </c>
      <c r="C2069" s="2" t="str">
        <f t="shared" si="65"/>
        <v>Q4</v>
      </c>
      <c r="D2069" s="2" t="s">
        <v>28</v>
      </c>
      <c r="E2069" s="11" t="s">
        <v>436</v>
      </c>
      <c r="F2069" s="11" t="s">
        <v>151</v>
      </c>
      <c r="G2069" s="11" t="s">
        <v>504</v>
      </c>
      <c r="H2069" s="11" t="s">
        <v>66</v>
      </c>
      <c r="I2069" s="12">
        <v>1</v>
      </c>
      <c r="J2069" s="12">
        <v>100</v>
      </c>
      <c r="K2069" s="12">
        <v>99.12</v>
      </c>
      <c r="L2069" s="12">
        <v>9912</v>
      </c>
      <c r="M2069" s="12">
        <v>0</v>
      </c>
      <c r="N2069" s="12">
        <v>-991.2</v>
      </c>
      <c r="O2069" s="12">
        <v>1159.7038539999999</v>
      </c>
      <c r="P2069" s="12">
        <v>10080.503854000001</v>
      </c>
    </row>
    <row r="2070" spans="1:16" ht="14.5" x14ac:dyDescent="0.25">
      <c r="A2070" s="10">
        <v>46041</v>
      </c>
      <c r="B2070" s="2" t="str">
        <f t="shared" si="64"/>
        <v>Jan-2026</v>
      </c>
      <c r="C2070" s="2" t="str">
        <f t="shared" si="65"/>
        <v>Q4</v>
      </c>
      <c r="D2070" s="2" t="s">
        <v>28</v>
      </c>
      <c r="E2070" s="11" t="s">
        <v>437</v>
      </c>
      <c r="F2070" s="11" t="s">
        <v>151</v>
      </c>
      <c r="G2070" s="11" t="s">
        <v>503</v>
      </c>
      <c r="H2070" s="11" t="s">
        <v>172</v>
      </c>
      <c r="I2070" s="12">
        <v>1</v>
      </c>
      <c r="J2070" s="12">
        <v>180</v>
      </c>
      <c r="K2070" s="12">
        <v>89.82</v>
      </c>
      <c r="L2070" s="12">
        <v>16167.6</v>
      </c>
      <c r="M2070" s="12">
        <v>0</v>
      </c>
      <c r="N2070" s="12">
        <v>-1616.7601669999999</v>
      </c>
      <c r="O2070" s="12">
        <v>1891.608845</v>
      </c>
      <c r="P2070" s="12">
        <v>16442.448678000001</v>
      </c>
    </row>
    <row r="2071" spans="1:16" ht="14.5" x14ac:dyDescent="0.25">
      <c r="A2071" s="10">
        <v>46041</v>
      </c>
      <c r="B2071" s="2" t="str">
        <f t="shared" si="64"/>
        <v>Jan-2026</v>
      </c>
      <c r="C2071" s="2" t="str">
        <f t="shared" si="65"/>
        <v>Q4</v>
      </c>
      <c r="D2071" s="2" t="s">
        <v>28</v>
      </c>
      <c r="E2071" s="11" t="s">
        <v>437</v>
      </c>
      <c r="F2071" s="11" t="s">
        <v>151</v>
      </c>
      <c r="G2071" s="11" t="s">
        <v>503</v>
      </c>
      <c r="H2071" s="11" t="s">
        <v>170</v>
      </c>
      <c r="I2071" s="12">
        <v>0.5</v>
      </c>
      <c r="J2071" s="12">
        <v>40</v>
      </c>
      <c r="K2071" s="12">
        <v>154.87</v>
      </c>
      <c r="L2071" s="12">
        <v>6194.8</v>
      </c>
      <c r="M2071" s="12">
        <v>0</v>
      </c>
      <c r="N2071" s="12">
        <v>-619.48006399999997</v>
      </c>
      <c r="O2071" s="12">
        <v>724.79146400000002</v>
      </c>
      <c r="P2071" s="12">
        <v>6300.1113999999998</v>
      </c>
    </row>
    <row r="2072" spans="1:16" ht="14.5" x14ac:dyDescent="0.25">
      <c r="A2072" s="10">
        <v>46041</v>
      </c>
      <c r="B2072" s="2" t="str">
        <f t="shared" si="64"/>
        <v>Jan-2026</v>
      </c>
      <c r="C2072" s="2" t="str">
        <f t="shared" si="65"/>
        <v>Q4</v>
      </c>
      <c r="D2072" s="2" t="s">
        <v>28</v>
      </c>
      <c r="E2072" s="11" t="s">
        <v>437</v>
      </c>
      <c r="F2072" s="11" t="s">
        <v>151</v>
      </c>
      <c r="G2072" s="11" t="s">
        <v>505</v>
      </c>
      <c r="H2072" s="11" t="s">
        <v>62</v>
      </c>
      <c r="I2072" s="12">
        <v>0.75</v>
      </c>
      <c r="J2072" s="12">
        <v>30</v>
      </c>
      <c r="K2072" s="12">
        <v>402.65</v>
      </c>
      <c r="L2072" s="12">
        <v>12079.499999999998</v>
      </c>
      <c r="M2072" s="12">
        <v>0</v>
      </c>
      <c r="N2072" s="12">
        <v>-1207.9501250000001</v>
      </c>
      <c r="O2072" s="12">
        <v>1413.3012350000001</v>
      </c>
      <c r="P2072" s="12">
        <v>12284.85111</v>
      </c>
    </row>
    <row r="2073" spans="1:16" ht="14.5" x14ac:dyDescent="0.25">
      <c r="A2073" s="10">
        <v>46041</v>
      </c>
      <c r="B2073" s="2" t="str">
        <f t="shared" si="64"/>
        <v>Jan-2026</v>
      </c>
      <c r="C2073" s="2" t="str">
        <f t="shared" si="65"/>
        <v>Q4</v>
      </c>
      <c r="D2073" s="2" t="s">
        <v>28</v>
      </c>
      <c r="E2073" s="11" t="s">
        <v>437</v>
      </c>
      <c r="F2073" s="11" t="s">
        <v>151</v>
      </c>
      <c r="G2073" s="11" t="s">
        <v>506</v>
      </c>
      <c r="H2073" s="11" t="s">
        <v>351</v>
      </c>
      <c r="I2073" s="12">
        <v>1</v>
      </c>
      <c r="J2073" s="12">
        <v>72</v>
      </c>
      <c r="K2073" s="12">
        <v>164.16</v>
      </c>
      <c r="L2073" s="12">
        <v>11819.52</v>
      </c>
      <c r="M2073" s="12">
        <v>0</v>
      </c>
      <c r="N2073" s="12">
        <v>-1181.9521219999999</v>
      </c>
      <c r="O2073" s="12">
        <v>1382.8835799999999</v>
      </c>
      <c r="P2073" s="12">
        <v>12020.451458</v>
      </c>
    </row>
    <row r="2074" spans="1:16" ht="14.5" x14ac:dyDescent="0.25">
      <c r="A2074" s="10">
        <v>46041</v>
      </c>
      <c r="B2074" s="2" t="str">
        <f t="shared" si="64"/>
        <v>Jan-2026</v>
      </c>
      <c r="C2074" s="2" t="str">
        <f t="shared" si="65"/>
        <v>Q4</v>
      </c>
      <c r="D2074" s="2" t="s">
        <v>28</v>
      </c>
      <c r="E2074" s="11" t="s">
        <v>437</v>
      </c>
      <c r="F2074" s="11" t="s">
        <v>151</v>
      </c>
      <c r="G2074" s="11" t="s">
        <v>506</v>
      </c>
      <c r="H2074" s="11" t="s">
        <v>58</v>
      </c>
      <c r="I2074" s="12">
        <v>1</v>
      </c>
      <c r="J2074" s="12">
        <v>72</v>
      </c>
      <c r="K2074" s="12">
        <v>136.28</v>
      </c>
      <c r="L2074" s="12">
        <v>9812.16</v>
      </c>
      <c r="M2074" s="12">
        <v>0</v>
      </c>
      <c r="N2074" s="12">
        <v>-981.21610100000009</v>
      </c>
      <c r="O2074" s="12">
        <v>1148.022504</v>
      </c>
      <c r="P2074" s="12">
        <v>9978.9664030000004</v>
      </c>
    </row>
    <row r="2075" spans="1:16" ht="14.5" x14ac:dyDescent="0.25">
      <c r="A2075" s="10">
        <v>46041</v>
      </c>
      <c r="B2075" s="2" t="str">
        <f t="shared" si="64"/>
        <v>Jan-2026</v>
      </c>
      <c r="C2075" s="2" t="str">
        <f t="shared" si="65"/>
        <v>Q4</v>
      </c>
      <c r="D2075" s="2" t="s">
        <v>28</v>
      </c>
      <c r="E2075" s="11" t="s">
        <v>437</v>
      </c>
      <c r="F2075" s="11" t="s">
        <v>151</v>
      </c>
      <c r="G2075" s="11" t="s">
        <v>503</v>
      </c>
      <c r="H2075" s="11" t="s">
        <v>175</v>
      </c>
      <c r="I2075" s="12">
        <v>0.5</v>
      </c>
      <c r="J2075" s="12">
        <v>60</v>
      </c>
      <c r="K2075" s="12">
        <v>71.239999999999995</v>
      </c>
      <c r="L2075" s="12">
        <v>4274.3999999999996</v>
      </c>
      <c r="M2075" s="12">
        <v>0</v>
      </c>
      <c r="N2075" s="12">
        <v>-427.440044</v>
      </c>
      <c r="O2075" s="12">
        <v>500.10470599999996</v>
      </c>
      <c r="P2075" s="12">
        <v>4347.0646619999998</v>
      </c>
    </row>
    <row r="2076" spans="1:16" ht="14.5" x14ac:dyDescent="0.25">
      <c r="A2076" s="10">
        <v>46041</v>
      </c>
      <c r="B2076" s="2" t="str">
        <f t="shared" si="64"/>
        <v>Jan-2026</v>
      </c>
      <c r="C2076" s="2" t="str">
        <f t="shared" si="65"/>
        <v>Q4</v>
      </c>
      <c r="D2076" s="2" t="s">
        <v>28</v>
      </c>
      <c r="E2076" s="11" t="s">
        <v>437</v>
      </c>
      <c r="F2076" s="11" t="s">
        <v>151</v>
      </c>
      <c r="G2076" s="11" t="s">
        <v>504</v>
      </c>
      <c r="H2076" s="11" t="s">
        <v>69</v>
      </c>
      <c r="I2076" s="12">
        <v>1</v>
      </c>
      <c r="J2076" s="12">
        <v>100</v>
      </c>
      <c r="K2076" s="12">
        <v>148.66999999999999</v>
      </c>
      <c r="L2076" s="12">
        <v>14867</v>
      </c>
      <c r="M2076" s="12">
        <v>0</v>
      </c>
      <c r="N2076" s="12">
        <v>-1486.700153</v>
      </c>
      <c r="O2076" s="12">
        <v>1739.4386730000001</v>
      </c>
      <c r="P2076" s="12">
        <v>15119.738520000001</v>
      </c>
    </row>
    <row r="2077" spans="1:16" ht="14.5" x14ac:dyDescent="0.25">
      <c r="A2077" s="10">
        <v>46041</v>
      </c>
      <c r="B2077" s="2" t="str">
        <f t="shared" si="64"/>
        <v>Jan-2026</v>
      </c>
      <c r="C2077" s="2" t="str">
        <f t="shared" si="65"/>
        <v>Q4</v>
      </c>
      <c r="D2077" s="2" t="s">
        <v>28</v>
      </c>
      <c r="E2077" s="11" t="s">
        <v>437</v>
      </c>
      <c r="F2077" s="11" t="s">
        <v>151</v>
      </c>
      <c r="G2077" s="11" t="s">
        <v>503</v>
      </c>
      <c r="H2077" s="11" t="s">
        <v>87</v>
      </c>
      <c r="I2077" s="12">
        <v>1</v>
      </c>
      <c r="J2077" s="12">
        <v>180</v>
      </c>
      <c r="K2077" s="12">
        <v>105.31</v>
      </c>
      <c r="L2077" s="12">
        <v>18955.8</v>
      </c>
      <c r="M2077" s="12">
        <v>0</v>
      </c>
      <c r="N2077" s="12">
        <v>-1895.580195</v>
      </c>
      <c r="O2077" s="12">
        <v>2217.828184</v>
      </c>
      <c r="P2077" s="12">
        <v>19278.047988999999</v>
      </c>
    </row>
    <row r="2078" spans="1:16" ht="14.5" x14ac:dyDescent="0.25">
      <c r="A2078" s="10">
        <v>46041</v>
      </c>
      <c r="B2078" s="2" t="str">
        <f t="shared" si="64"/>
        <v>Jan-2026</v>
      </c>
      <c r="C2078" s="2" t="str">
        <f t="shared" si="65"/>
        <v>Q4</v>
      </c>
      <c r="D2078" s="2" t="s">
        <v>28</v>
      </c>
      <c r="E2078" s="11" t="s">
        <v>437</v>
      </c>
      <c r="F2078" s="11" t="s">
        <v>151</v>
      </c>
      <c r="G2078" s="11" t="s">
        <v>504</v>
      </c>
      <c r="H2078" s="11" t="s">
        <v>67</v>
      </c>
      <c r="I2078" s="12">
        <v>1</v>
      </c>
      <c r="J2078" s="12">
        <v>40</v>
      </c>
      <c r="K2078" s="12">
        <v>360.53</v>
      </c>
      <c r="L2078" s="12">
        <v>14421.199999999999</v>
      </c>
      <c r="M2078" s="12">
        <v>0</v>
      </c>
      <c r="N2078" s="12">
        <v>-1442.1201490000001</v>
      </c>
      <c r="O2078" s="12">
        <v>1687.2800829999999</v>
      </c>
      <c r="P2078" s="12">
        <v>14666.359934</v>
      </c>
    </row>
    <row r="2079" spans="1:16" ht="14.5" x14ac:dyDescent="0.25">
      <c r="A2079" s="10">
        <v>46041</v>
      </c>
      <c r="B2079" s="2" t="str">
        <f t="shared" si="64"/>
        <v>Jan-2026</v>
      </c>
      <c r="C2079" s="2" t="str">
        <f t="shared" si="65"/>
        <v>Q4</v>
      </c>
      <c r="D2079" s="2" t="s">
        <v>28</v>
      </c>
      <c r="E2079" s="11" t="s">
        <v>437</v>
      </c>
      <c r="F2079" s="11" t="s">
        <v>151</v>
      </c>
      <c r="G2079" s="11" t="s">
        <v>503</v>
      </c>
      <c r="H2079" s="11" t="s">
        <v>41</v>
      </c>
      <c r="I2079" s="12">
        <v>1</v>
      </c>
      <c r="J2079" s="12">
        <v>180</v>
      </c>
      <c r="K2079" s="12">
        <v>55.75</v>
      </c>
      <c r="L2079" s="12">
        <v>10035</v>
      </c>
      <c r="M2079" s="12">
        <v>0</v>
      </c>
      <c r="N2079" s="12">
        <v>-1003.5001030000001</v>
      </c>
      <c r="O2079" s="12">
        <v>1174.0947800000001</v>
      </c>
      <c r="P2079" s="12">
        <v>10205.594676999999</v>
      </c>
    </row>
    <row r="2080" spans="1:16" ht="14.5" x14ac:dyDescent="0.25">
      <c r="A2080" s="10">
        <v>46041</v>
      </c>
      <c r="B2080" s="2" t="str">
        <f t="shared" si="64"/>
        <v>Jan-2026</v>
      </c>
      <c r="C2080" s="2" t="str">
        <f t="shared" si="65"/>
        <v>Q4</v>
      </c>
      <c r="D2080" s="2" t="s">
        <v>28</v>
      </c>
      <c r="E2080" s="11" t="s">
        <v>437</v>
      </c>
      <c r="F2080" s="11" t="s">
        <v>151</v>
      </c>
      <c r="G2080" s="11" t="s">
        <v>506</v>
      </c>
      <c r="H2080" s="11" t="s">
        <v>181</v>
      </c>
      <c r="I2080" s="12">
        <v>1</v>
      </c>
      <c r="J2080" s="12">
        <v>100</v>
      </c>
      <c r="K2080" s="12">
        <v>89.82</v>
      </c>
      <c r="L2080" s="12">
        <v>8982</v>
      </c>
      <c r="M2080" s="12">
        <v>0</v>
      </c>
      <c r="N2080" s="12">
        <v>-898.20009299999992</v>
      </c>
      <c r="O2080" s="12">
        <v>1050.8938029999999</v>
      </c>
      <c r="P2080" s="12">
        <v>9134.6937099999996</v>
      </c>
    </row>
    <row r="2081" spans="1:16" ht="14.5" x14ac:dyDescent="0.25">
      <c r="A2081" s="10">
        <v>46041</v>
      </c>
      <c r="B2081" s="2" t="str">
        <f t="shared" si="64"/>
        <v>Jan-2026</v>
      </c>
      <c r="C2081" s="2" t="str">
        <f t="shared" si="65"/>
        <v>Q4</v>
      </c>
      <c r="D2081" s="2" t="s">
        <v>28</v>
      </c>
      <c r="E2081" s="11" t="s">
        <v>437</v>
      </c>
      <c r="F2081" s="11" t="s">
        <v>151</v>
      </c>
      <c r="G2081" s="11" t="s">
        <v>505</v>
      </c>
      <c r="H2081" s="11" t="s">
        <v>168</v>
      </c>
      <c r="I2081" s="12">
        <v>1</v>
      </c>
      <c r="J2081" s="12">
        <v>80</v>
      </c>
      <c r="K2081" s="12">
        <v>210.62</v>
      </c>
      <c r="L2081" s="12">
        <v>16849.599999999999</v>
      </c>
      <c r="M2081" s="12">
        <v>0</v>
      </c>
      <c r="N2081" s="12">
        <v>-1684.9601740000001</v>
      </c>
      <c r="O2081" s="12">
        <v>1971.40283</v>
      </c>
      <c r="P2081" s="12">
        <v>17136.042656000001</v>
      </c>
    </row>
    <row r="2082" spans="1:16" ht="14.5" x14ac:dyDescent="0.25">
      <c r="A2082" s="10">
        <v>46041</v>
      </c>
      <c r="B2082" s="2" t="str">
        <f t="shared" si="64"/>
        <v>Jan-2026</v>
      </c>
      <c r="C2082" s="2" t="str">
        <f t="shared" si="65"/>
        <v>Q4</v>
      </c>
      <c r="D2082" s="2" t="s">
        <v>28</v>
      </c>
      <c r="E2082" s="11" t="s">
        <v>437</v>
      </c>
      <c r="F2082" s="11" t="s">
        <v>151</v>
      </c>
      <c r="G2082" s="11" t="s">
        <v>503</v>
      </c>
      <c r="H2082" s="11" t="s">
        <v>57</v>
      </c>
      <c r="I2082" s="12">
        <v>1</v>
      </c>
      <c r="J2082" s="12">
        <v>180</v>
      </c>
      <c r="K2082" s="12">
        <v>108.41</v>
      </c>
      <c r="L2082" s="12">
        <v>19513.8</v>
      </c>
      <c r="M2082" s="12">
        <v>0</v>
      </c>
      <c r="N2082" s="12">
        <v>-1951.3802009999999</v>
      </c>
      <c r="O2082" s="12">
        <v>2283.1141710000002</v>
      </c>
      <c r="P2082" s="12">
        <v>19845.53397</v>
      </c>
    </row>
    <row r="2083" spans="1:16" ht="14.5" x14ac:dyDescent="0.25">
      <c r="A2083" s="10">
        <v>46041</v>
      </c>
      <c r="B2083" s="2" t="str">
        <f t="shared" ref="B2083:B2146" si="66">+TEXT(A2083,"MMM-yyy")</f>
        <v>Jan-2026</v>
      </c>
      <c r="C2083" s="2" t="str">
        <f t="shared" ref="C2083:C2146" si="67">"Q" &amp; CHOOSE(MONTH(A2083),4,4,4,1,1,1,2,2,2,3,3,3)</f>
        <v>Q4</v>
      </c>
      <c r="D2083" s="2" t="s">
        <v>28</v>
      </c>
      <c r="E2083" s="11" t="s">
        <v>437</v>
      </c>
      <c r="F2083" s="11" t="s">
        <v>151</v>
      </c>
      <c r="G2083" s="11" t="s">
        <v>503</v>
      </c>
      <c r="H2083" s="11" t="s">
        <v>166</v>
      </c>
      <c r="I2083" s="12">
        <v>1</v>
      </c>
      <c r="J2083" s="12">
        <v>120</v>
      </c>
      <c r="K2083" s="12">
        <v>58.85</v>
      </c>
      <c r="L2083" s="12">
        <v>7062.0000000000009</v>
      </c>
      <c r="M2083" s="12">
        <v>0</v>
      </c>
      <c r="N2083" s="12">
        <v>-706.20007299999997</v>
      </c>
      <c r="O2083" s="12">
        <v>826.25384499999996</v>
      </c>
      <c r="P2083" s="12">
        <v>7182.0537720000002</v>
      </c>
    </row>
    <row r="2084" spans="1:16" ht="14.5" x14ac:dyDescent="0.25">
      <c r="A2084" s="10">
        <v>46041</v>
      </c>
      <c r="B2084" s="2" t="str">
        <f t="shared" si="66"/>
        <v>Jan-2026</v>
      </c>
      <c r="C2084" s="2" t="str">
        <f t="shared" si="67"/>
        <v>Q4</v>
      </c>
      <c r="D2084" s="2" t="s">
        <v>28</v>
      </c>
      <c r="E2084" s="11" t="s">
        <v>437</v>
      </c>
      <c r="F2084" s="11" t="s">
        <v>151</v>
      </c>
      <c r="G2084" s="11" t="s">
        <v>503</v>
      </c>
      <c r="H2084" s="11" t="s">
        <v>45</v>
      </c>
      <c r="I2084" s="12">
        <v>1</v>
      </c>
      <c r="J2084" s="12">
        <v>180</v>
      </c>
      <c r="K2084" s="12">
        <v>56.99</v>
      </c>
      <c r="L2084" s="12">
        <v>10258.200000000001</v>
      </c>
      <c r="M2084" s="12">
        <v>0</v>
      </c>
      <c r="N2084" s="12">
        <v>-1025.8201059999999</v>
      </c>
      <c r="O2084" s="12">
        <v>1200.209175</v>
      </c>
      <c r="P2084" s="12">
        <v>10432.589069</v>
      </c>
    </row>
    <row r="2085" spans="1:16" ht="14.5" x14ac:dyDescent="0.25">
      <c r="A2085" s="10">
        <v>46041</v>
      </c>
      <c r="B2085" s="2" t="str">
        <f t="shared" si="66"/>
        <v>Jan-2026</v>
      </c>
      <c r="C2085" s="2" t="str">
        <f t="shared" si="67"/>
        <v>Q4</v>
      </c>
      <c r="D2085" s="2" t="s">
        <v>28</v>
      </c>
      <c r="E2085" s="11" t="s">
        <v>437</v>
      </c>
      <c r="F2085" s="11" t="s">
        <v>151</v>
      </c>
      <c r="G2085" s="11" t="s">
        <v>503</v>
      </c>
      <c r="H2085" s="11" t="s">
        <v>89</v>
      </c>
      <c r="I2085" s="12">
        <v>1</v>
      </c>
      <c r="J2085" s="12">
        <v>120</v>
      </c>
      <c r="K2085" s="12">
        <v>105.31</v>
      </c>
      <c r="L2085" s="12">
        <v>12637.199999999999</v>
      </c>
      <c r="M2085" s="12">
        <v>0</v>
      </c>
      <c r="N2085" s="12">
        <v>-1263.7201300000002</v>
      </c>
      <c r="O2085" s="12">
        <v>1478.5521219999998</v>
      </c>
      <c r="P2085" s="12">
        <v>12852.031992</v>
      </c>
    </row>
    <row r="2086" spans="1:16" ht="14.5" x14ac:dyDescent="0.25">
      <c r="A2086" s="10">
        <v>46041</v>
      </c>
      <c r="B2086" s="2" t="str">
        <f t="shared" si="66"/>
        <v>Jan-2026</v>
      </c>
      <c r="C2086" s="2" t="str">
        <f t="shared" si="67"/>
        <v>Q4</v>
      </c>
      <c r="D2086" s="2" t="s">
        <v>28</v>
      </c>
      <c r="E2086" s="11" t="s">
        <v>438</v>
      </c>
      <c r="F2086" s="11" t="s">
        <v>151</v>
      </c>
      <c r="G2086" s="11" t="s">
        <v>505</v>
      </c>
      <c r="H2086" s="11" t="s">
        <v>50</v>
      </c>
      <c r="I2086" s="12">
        <v>1</v>
      </c>
      <c r="J2086" s="12">
        <v>80</v>
      </c>
      <c r="K2086" s="12">
        <v>154.87</v>
      </c>
      <c r="L2086" s="12">
        <v>12389.6</v>
      </c>
      <c r="M2086" s="12">
        <v>0</v>
      </c>
      <c r="N2086" s="12">
        <v>-1238.96</v>
      </c>
      <c r="O2086" s="12">
        <v>1449.582942</v>
      </c>
      <c r="P2086" s="12">
        <v>12600.222942</v>
      </c>
    </row>
    <row r="2087" spans="1:16" ht="14.5" x14ac:dyDescent="0.25">
      <c r="A2087" s="10">
        <v>46041</v>
      </c>
      <c r="B2087" s="2" t="str">
        <f t="shared" si="66"/>
        <v>Jan-2026</v>
      </c>
      <c r="C2087" s="2" t="str">
        <f t="shared" si="67"/>
        <v>Q4</v>
      </c>
      <c r="D2087" s="2" t="s">
        <v>28</v>
      </c>
      <c r="E2087" s="11" t="s">
        <v>438</v>
      </c>
      <c r="F2087" s="11" t="s">
        <v>151</v>
      </c>
      <c r="G2087" s="11" t="s">
        <v>506</v>
      </c>
      <c r="H2087" s="11" t="s">
        <v>39</v>
      </c>
      <c r="I2087" s="12">
        <v>1</v>
      </c>
      <c r="J2087" s="12">
        <v>72</v>
      </c>
      <c r="K2087" s="12">
        <v>120.8</v>
      </c>
      <c r="L2087" s="12">
        <v>8697.6</v>
      </c>
      <c r="M2087" s="12">
        <v>0</v>
      </c>
      <c r="N2087" s="12">
        <v>-869.76</v>
      </c>
      <c r="O2087" s="12">
        <v>1017.619019</v>
      </c>
      <c r="P2087" s="12">
        <v>8845.4590189999999</v>
      </c>
    </row>
    <row r="2088" spans="1:16" ht="14.5" x14ac:dyDescent="0.25">
      <c r="A2088" s="10">
        <v>46041</v>
      </c>
      <c r="B2088" s="2" t="str">
        <f t="shared" si="66"/>
        <v>Jan-2026</v>
      </c>
      <c r="C2088" s="2" t="str">
        <f t="shared" si="67"/>
        <v>Q4</v>
      </c>
      <c r="D2088" s="2" t="s">
        <v>28</v>
      </c>
      <c r="E2088" s="11" t="s">
        <v>438</v>
      </c>
      <c r="F2088" s="11" t="s">
        <v>151</v>
      </c>
      <c r="G2088" s="11" t="s">
        <v>506</v>
      </c>
      <c r="H2088" s="11" t="s">
        <v>189</v>
      </c>
      <c r="I2088" s="12">
        <v>1</v>
      </c>
      <c r="J2088" s="12">
        <v>100</v>
      </c>
      <c r="K2088" s="12">
        <v>65.040000000000006</v>
      </c>
      <c r="L2088" s="12">
        <v>6504</v>
      </c>
      <c r="M2088" s="12">
        <v>0</v>
      </c>
      <c r="N2088" s="12">
        <v>-650.4</v>
      </c>
      <c r="O2088" s="12">
        <v>760.96786499999996</v>
      </c>
      <c r="P2088" s="12">
        <v>6614.567865</v>
      </c>
    </row>
    <row r="2089" spans="1:16" ht="14.5" x14ac:dyDescent="0.25">
      <c r="A2089" s="10">
        <v>46041</v>
      </c>
      <c r="B2089" s="2" t="str">
        <f t="shared" si="66"/>
        <v>Jan-2026</v>
      </c>
      <c r="C2089" s="2" t="str">
        <f t="shared" si="67"/>
        <v>Q4</v>
      </c>
      <c r="D2089" s="2" t="s">
        <v>28</v>
      </c>
      <c r="E2089" s="11" t="s">
        <v>438</v>
      </c>
      <c r="F2089" s="11" t="s">
        <v>151</v>
      </c>
      <c r="G2089" s="11" t="s">
        <v>505</v>
      </c>
      <c r="H2089" s="11" t="s">
        <v>40</v>
      </c>
      <c r="I2089" s="12">
        <v>1</v>
      </c>
      <c r="J2089" s="12">
        <v>180</v>
      </c>
      <c r="K2089" s="12">
        <v>74.34</v>
      </c>
      <c r="L2089" s="12">
        <v>13381.199999999999</v>
      </c>
      <c r="M2089" s="12">
        <v>0</v>
      </c>
      <c r="N2089" s="12">
        <v>-1338.12</v>
      </c>
      <c r="O2089" s="12">
        <v>1565.6001219999998</v>
      </c>
      <c r="P2089" s="12">
        <v>13608.680122</v>
      </c>
    </row>
    <row r="2090" spans="1:16" ht="14.5" x14ac:dyDescent="0.25">
      <c r="A2090" s="10">
        <v>46041</v>
      </c>
      <c r="B2090" s="2" t="str">
        <f t="shared" si="66"/>
        <v>Jan-2026</v>
      </c>
      <c r="C2090" s="2" t="str">
        <f t="shared" si="67"/>
        <v>Q4</v>
      </c>
      <c r="D2090" s="2" t="s">
        <v>28</v>
      </c>
      <c r="E2090" s="11" t="s">
        <v>438</v>
      </c>
      <c r="F2090" s="11" t="s">
        <v>151</v>
      </c>
      <c r="G2090" s="11" t="s">
        <v>503</v>
      </c>
      <c r="H2090" s="11" t="s">
        <v>42</v>
      </c>
      <c r="I2090" s="12">
        <v>1</v>
      </c>
      <c r="J2090" s="12">
        <v>120</v>
      </c>
      <c r="K2090" s="12">
        <v>136.28</v>
      </c>
      <c r="L2090" s="12">
        <v>16353.6</v>
      </c>
      <c r="M2090" s="12">
        <v>0</v>
      </c>
      <c r="N2090" s="12">
        <v>-1635.36</v>
      </c>
      <c r="O2090" s="12">
        <v>1913.37086</v>
      </c>
      <c r="P2090" s="12">
        <v>16631.610860000001</v>
      </c>
    </row>
    <row r="2091" spans="1:16" ht="14.5" x14ac:dyDescent="0.25">
      <c r="A2091" s="10">
        <v>46041</v>
      </c>
      <c r="B2091" s="2" t="str">
        <f t="shared" si="66"/>
        <v>Jan-2026</v>
      </c>
      <c r="C2091" s="2" t="str">
        <f t="shared" si="67"/>
        <v>Q4</v>
      </c>
      <c r="D2091" s="2" t="s">
        <v>28</v>
      </c>
      <c r="E2091" s="11" t="s">
        <v>438</v>
      </c>
      <c r="F2091" s="11" t="s">
        <v>151</v>
      </c>
      <c r="G2091" s="11" t="s">
        <v>505</v>
      </c>
      <c r="H2091" s="11" t="s">
        <v>167</v>
      </c>
      <c r="I2091" s="12">
        <v>1</v>
      </c>
      <c r="J2091" s="12">
        <v>180</v>
      </c>
      <c r="K2091" s="12">
        <v>83.63</v>
      </c>
      <c r="L2091" s="12">
        <v>15053.4</v>
      </c>
      <c r="M2091" s="12">
        <v>0</v>
      </c>
      <c r="N2091" s="12">
        <v>-1505.3400000000001</v>
      </c>
      <c r="O2091" s="12">
        <v>1761.2474870000001</v>
      </c>
      <c r="P2091" s="12">
        <v>15309.307487</v>
      </c>
    </row>
    <row r="2092" spans="1:16" ht="14.5" x14ac:dyDescent="0.25">
      <c r="A2092" s="10">
        <v>46041</v>
      </c>
      <c r="B2092" s="2" t="str">
        <f t="shared" si="66"/>
        <v>Jan-2026</v>
      </c>
      <c r="C2092" s="2" t="str">
        <f t="shared" si="67"/>
        <v>Q4</v>
      </c>
      <c r="D2092" s="2" t="s">
        <v>28</v>
      </c>
      <c r="E2092" s="11" t="s">
        <v>438</v>
      </c>
      <c r="F2092" s="11" t="s">
        <v>151</v>
      </c>
      <c r="G2092" s="11" t="s">
        <v>503</v>
      </c>
      <c r="H2092" s="11" t="s">
        <v>174</v>
      </c>
      <c r="I2092" s="12">
        <v>1</v>
      </c>
      <c r="J2092" s="12">
        <v>180</v>
      </c>
      <c r="K2092" s="12">
        <v>76.81</v>
      </c>
      <c r="L2092" s="12">
        <v>13825.800000000001</v>
      </c>
      <c r="M2092" s="12">
        <v>0</v>
      </c>
      <c r="N2092" s="12">
        <v>-1382.58</v>
      </c>
      <c r="O2092" s="12">
        <v>1617.6183120000001</v>
      </c>
      <c r="P2092" s="12">
        <v>14060.838312</v>
      </c>
    </row>
    <row r="2093" spans="1:16" ht="14.5" x14ac:dyDescent="0.25">
      <c r="A2093" s="10">
        <v>46041</v>
      </c>
      <c r="B2093" s="2" t="str">
        <f t="shared" si="66"/>
        <v>Jan-2026</v>
      </c>
      <c r="C2093" s="2" t="str">
        <f t="shared" si="67"/>
        <v>Q4</v>
      </c>
      <c r="D2093" s="2" t="s">
        <v>28</v>
      </c>
      <c r="E2093" s="11" t="s">
        <v>438</v>
      </c>
      <c r="F2093" s="11" t="s">
        <v>151</v>
      </c>
      <c r="G2093" s="11" t="s">
        <v>503</v>
      </c>
      <c r="H2093" s="11" t="s">
        <v>52</v>
      </c>
      <c r="I2093" s="12">
        <v>1</v>
      </c>
      <c r="J2093" s="12">
        <v>180</v>
      </c>
      <c r="K2093" s="12">
        <v>65.040000000000006</v>
      </c>
      <c r="L2093" s="12">
        <v>11707.2</v>
      </c>
      <c r="M2093" s="12">
        <v>0</v>
      </c>
      <c r="N2093" s="12">
        <v>-1170.72</v>
      </c>
      <c r="O2093" s="12">
        <v>1369.742156</v>
      </c>
      <c r="P2093" s="12">
        <v>11906.222156</v>
      </c>
    </row>
    <row r="2094" spans="1:16" ht="14.5" x14ac:dyDescent="0.25">
      <c r="A2094" s="10">
        <v>46041</v>
      </c>
      <c r="B2094" s="2" t="str">
        <f t="shared" si="66"/>
        <v>Jan-2026</v>
      </c>
      <c r="C2094" s="2" t="str">
        <f t="shared" si="67"/>
        <v>Q4</v>
      </c>
      <c r="D2094" s="2" t="s">
        <v>28</v>
      </c>
      <c r="E2094" s="11" t="s">
        <v>438</v>
      </c>
      <c r="F2094" s="11" t="s">
        <v>151</v>
      </c>
      <c r="G2094" s="11" t="s">
        <v>503</v>
      </c>
      <c r="H2094" s="11" t="s">
        <v>59</v>
      </c>
      <c r="I2094" s="12">
        <v>0.5</v>
      </c>
      <c r="J2094" s="12">
        <v>90</v>
      </c>
      <c r="K2094" s="12">
        <v>56.99</v>
      </c>
      <c r="L2094" s="12">
        <v>5129.1000000000004</v>
      </c>
      <c r="M2094" s="12">
        <v>0</v>
      </c>
      <c r="N2094" s="12">
        <v>-512.91</v>
      </c>
      <c r="O2094" s="12">
        <v>600.10459300000002</v>
      </c>
      <c r="P2094" s="12">
        <v>5216.2945929999996</v>
      </c>
    </row>
    <row r="2095" spans="1:16" ht="14.5" x14ac:dyDescent="0.25">
      <c r="A2095" s="10">
        <v>46041</v>
      </c>
      <c r="B2095" s="2" t="str">
        <f t="shared" si="66"/>
        <v>Jan-2026</v>
      </c>
      <c r="C2095" s="2" t="str">
        <f t="shared" si="67"/>
        <v>Q4</v>
      </c>
      <c r="D2095" s="2" t="s">
        <v>28</v>
      </c>
      <c r="E2095" s="11" t="s">
        <v>438</v>
      </c>
      <c r="F2095" s="11" t="s">
        <v>151</v>
      </c>
      <c r="G2095" s="11" t="s">
        <v>504</v>
      </c>
      <c r="H2095" s="11" t="s">
        <v>68</v>
      </c>
      <c r="I2095" s="12">
        <v>1</v>
      </c>
      <c r="J2095" s="12">
        <v>40</v>
      </c>
      <c r="K2095" s="12">
        <v>238.5</v>
      </c>
      <c r="L2095" s="12">
        <v>9539.9999999999982</v>
      </c>
      <c r="M2095" s="12">
        <v>0</v>
      </c>
      <c r="N2095" s="12">
        <v>-954</v>
      </c>
      <c r="O2095" s="12">
        <v>1116.179801</v>
      </c>
      <c r="P2095" s="12">
        <v>9702.1798010000002</v>
      </c>
    </row>
    <row r="2096" spans="1:16" ht="14.5" x14ac:dyDescent="0.25">
      <c r="A2096" s="10">
        <v>46041</v>
      </c>
      <c r="B2096" s="2" t="str">
        <f t="shared" si="66"/>
        <v>Jan-2026</v>
      </c>
      <c r="C2096" s="2" t="str">
        <f t="shared" si="67"/>
        <v>Q4</v>
      </c>
      <c r="D2096" s="2" t="s">
        <v>28</v>
      </c>
      <c r="E2096" s="11" t="s">
        <v>438</v>
      </c>
      <c r="F2096" s="11" t="s">
        <v>151</v>
      </c>
      <c r="G2096" s="11" t="s">
        <v>503</v>
      </c>
      <c r="H2096" s="11" t="s">
        <v>46</v>
      </c>
      <c r="I2096" s="12">
        <v>1</v>
      </c>
      <c r="J2096" s="12">
        <v>120</v>
      </c>
      <c r="K2096" s="12">
        <v>108.41</v>
      </c>
      <c r="L2096" s="12">
        <v>13009.2</v>
      </c>
      <c r="M2096" s="12">
        <v>0</v>
      </c>
      <c r="N2096" s="12">
        <v>-1300.92</v>
      </c>
      <c r="O2096" s="12">
        <v>1522.076129</v>
      </c>
      <c r="P2096" s="12">
        <v>13230.356129</v>
      </c>
    </row>
    <row r="2097" spans="1:16" ht="14.5" x14ac:dyDescent="0.25">
      <c r="A2097" s="10">
        <v>46041</v>
      </c>
      <c r="B2097" s="2" t="str">
        <f t="shared" si="66"/>
        <v>Jan-2026</v>
      </c>
      <c r="C2097" s="2" t="str">
        <f t="shared" si="67"/>
        <v>Q4</v>
      </c>
      <c r="D2097" s="2" t="s">
        <v>28</v>
      </c>
      <c r="E2097" s="11" t="s">
        <v>438</v>
      </c>
      <c r="F2097" s="11" t="s">
        <v>151</v>
      </c>
      <c r="G2097" s="11" t="s">
        <v>505</v>
      </c>
      <c r="H2097" s="11" t="s">
        <v>49</v>
      </c>
      <c r="I2097" s="12">
        <v>1</v>
      </c>
      <c r="J2097" s="12">
        <v>180</v>
      </c>
      <c r="K2097" s="12">
        <v>145.58000000000001</v>
      </c>
      <c r="L2097" s="12">
        <v>26204.399999999998</v>
      </c>
      <c r="M2097" s="12">
        <v>0</v>
      </c>
      <c r="N2097" s="12">
        <v>-2620.44</v>
      </c>
      <c r="O2097" s="12">
        <v>3065.9142549999997</v>
      </c>
      <c r="P2097" s="12">
        <v>26649.874254999999</v>
      </c>
    </row>
    <row r="2098" spans="1:16" ht="14.5" x14ac:dyDescent="0.25">
      <c r="A2098" s="10">
        <v>46041</v>
      </c>
      <c r="B2098" s="2" t="str">
        <f t="shared" si="66"/>
        <v>Jan-2026</v>
      </c>
      <c r="C2098" s="2" t="str">
        <f t="shared" si="67"/>
        <v>Q4</v>
      </c>
      <c r="D2098" s="2" t="s">
        <v>28</v>
      </c>
      <c r="E2098" s="11" t="s">
        <v>438</v>
      </c>
      <c r="F2098" s="11" t="s">
        <v>151</v>
      </c>
      <c r="G2098" s="11" t="s">
        <v>504</v>
      </c>
      <c r="H2098" s="11" t="s">
        <v>66</v>
      </c>
      <c r="I2098" s="12">
        <v>1</v>
      </c>
      <c r="J2098" s="12">
        <v>100</v>
      </c>
      <c r="K2098" s="12">
        <v>99.12</v>
      </c>
      <c r="L2098" s="12">
        <v>9912</v>
      </c>
      <c r="M2098" s="12">
        <v>0</v>
      </c>
      <c r="N2098" s="12">
        <v>-991.2</v>
      </c>
      <c r="O2098" s="12">
        <v>1159.703794</v>
      </c>
      <c r="P2098" s="12">
        <v>10080.503794</v>
      </c>
    </row>
    <row r="2099" spans="1:16" ht="14.5" x14ac:dyDescent="0.25">
      <c r="A2099" s="10">
        <v>46041</v>
      </c>
      <c r="B2099" s="2" t="str">
        <f t="shared" si="66"/>
        <v>Jan-2026</v>
      </c>
      <c r="C2099" s="2" t="str">
        <f t="shared" si="67"/>
        <v>Q4</v>
      </c>
      <c r="D2099" s="2" t="s">
        <v>28</v>
      </c>
      <c r="E2099" s="11" t="s">
        <v>438</v>
      </c>
      <c r="F2099" s="11" t="s">
        <v>151</v>
      </c>
      <c r="G2099" s="11" t="s">
        <v>503</v>
      </c>
      <c r="H2099" s="11" t="s">
        <v>177</v>
      </c>
      <c r="I2099" s="12">
        <v>1</v>
      </c>
      <c r="J2099" s="12">
        <v>120</v>
      </c>
      <c r="K2099" s="12">
        <v>86.73</v>
      </c>
      <c r="L2099" s="12">
        <v>10407.6</v>
      </c>
      <c r="M2099" s="12">
        <v>0</v>
      </c>
      <c r="N2099" s="12">
        <v>-1040.76</v>
      </c>
      <c r="O2099" s="12">
        <v>1217.688983</v>
      </c>
      <c r="P2099" s="12">
        <v>10584.528983</v>
      </c>
    </row>
    <row r="2100" spans="1:16" ht="14.5" x14ac:dyDescent="0.25">
      <c r="A2100" s="10">
        <v>46041</v>
      </c>
      <c r="B2100" s="2" t="str">
        <f t="shared" si="66"/>
        <v>Jan-2026</v>
      </c>
      <c r="C2100" s="2" t="str">
        <f t="shared" si="67"/>
        <v>Q4</v>
      </c>
      <c r="D2100" s="2" t="s">
        <v>28</v>
      </c>
      <c r="E2100" s="11" t="s">
        <v>438</v>
      </c>
      <c r="F2100" s="11" t="s">
        <v>151</v>
      </c>
      <c r="G2100" s="11" t="s">
        <v>503</v>
      </c>
      <c r="H2100" s="11" t="s">
        <v>51</v>
      </c>
      <c r="I2100" s="12">
        <v>1</v>
      </c>
      <c r="J2100" s="12">
        <v>180</v>
      </c>
      <c r="K2100" s="12">
        <v>56.99</v>
      </c>
      <c r="L2100" s="12">
        <v>10258.200000000001</v>
      </c>
      <c r="M2100" s="12">
        <v>0</v>
      </c>
      <c r="N2100" s="12">
        <v>-1025.82</v>
      </c>
      <c r="O2100" s="12">
        <v>1200.2091869999999</v>
      </c>
      <c r="P2100" s="12">
        <v>10432.589187</v>
      </c>
    </row>
    <row r="2101" spans="1:16" ht="14.5" x14ac:dyDescent="0.25">
      <c r="A2101" s="10">
        <v>46041</v>
      </c>
      <c r="B2101" s="2" t="str">
        <f t="shared" si="66"/>
        <v>Jan-2026</v>
      </c>
      <c r="C2101" s="2" t="str">
        <f t="shared" si="67"/>
        <v>Q4</v>
      </c>
      <c r="D2101" s="2" t="s">
        <v>28</v>
      </c>
      <c r="E2101" s="11" t="s">
        <v>438</v>
      </c>
      <c r="F2101" s="11" t="s">
        <v>151</v>
      </c>
      <c r="G2101" s="11" t="s">
        <v>503</v>
      </c>
      <c r="H2101" s="11" t="s">
        <v>47</v>
      </c>
      <c r="I2101" s="12">
        <v>1</v>
      </c>
      <c r="J2101" s="12">
        <v>120</v>
      </c>
      <c r="K2101" s="12">
        <v>108.41</v>
      </c>
      <c r="L2101" s="12">
        <v>13009.2</v>
      </c>
      <c r="M2101" s="12">
        <v>0</v>
      </c>
      <c r="N2101" s="12">
        <v>-1300.92</v>
      </c>
      <c r="O2101" s="12">
        <v>1522.076129</v>
      </c>
      <c r="P2101" s="12">
        <v>13230.356129</v>
      </c>
    </row>
    <row r="2102" spans="1:16" ht="14.5" x14ac:dyDescent="0.25">
      <c r="A2102" s="10">
        <v>46041</v>
      </c>
      <c r="B2102" s="2" t="str">
        <f t="shared" si="66"/>
        <v>Jan-2026</v>
      </c>
      <c r="C2102" s="2" t="str">
        <f t="shared" si="67"/>
        <v>Q4</v>
      </c>
      <c r="D2102" s="2" t="s">
        <v>28</v>
      </c>
      <c r="E2102" s="11" t="s">
        <v>438</v>
      </c>
      <c r="F2102" s="11" t="s">
        <v>151</v>
      </c>
      <c r="G2102" s="11" t="s">
        <v>503</v>
      </c>
      <c r="H2102" s="11" t="s">
        <v>48</v>
      </c>
      <c r="I2102" s="12">
        <v>1</v>
      </c>
      <c r="J2102" s="12">
        <v>180</v>
      </c>
      <c r="K2102" s="12">
        <v>123.89</v>
      </c>
      <c r="L2102" s="12">
        <v>22300.2</v>
      </c>
      <c r="M2102" s="12">
        <v>0</v>
      </c>
      <c r="N2102" s="12">
        <v>-2230.02</v>
      </c>
      <c r="O2102" s="12">
        <v>2609.1229360000002</v>
      </c>
      <c r="P2102" s="12">
        <v>22679.302936</v>
      </c>
    </row>
    <row r="2103" spans="1:16" ht="14.5" x14ac:dyDescent="0.25">
      <c r="A2103" s="10">
        <v>46041</v>
      </c>
      <c r="B2103" s="2" t="str">
        <f t="shared" si="66"/>
        <v>Jan-2026</v>
      </c>
      <c r="C2103" s="2" t="str">
        <f t="shared" si="67"/>
        <v>Q4</v>
      </c>
      <c r="D2103" s="2" t="s">
        <v>28</v>
      </c>
      <c r="E2103" s="11" t="s">
        <v>438</v>
      </c>
      <c r="F2103" s="11" t="s">
        <v>151</v>
      </c>
      <c r="G2103" s="11" t="s">
        <v>508</v>
      </c>
      <c r="H2103" s="11" t="s">
        <v>178</v>
      </c>
      <c r="I2103" s="12">
        <v>1</v>
      </c>
      <c r="J2103" s="12">
        <v>60</v>
      </c>
      <c r="K2103" s="12">
        <v>136.28</v>
      </c>
      <c r="L2103" s="12">
        <v>8176.8</v>
      </c>
      <c r="M2103" s="12">
        <v>0</v>
      </c>
      <c r="N2103" s="12">
        <v>-817.68</v>
      </c>
      <c r="O2103" s="12">
        <v>956.68543</v>
      </c>
      <c r="P2103" s="12">
        <v>8315.8054300000003</v>
      </c>
    </row>
    <row r="2104" spans="1:16" ht="14.5" x14ac:dyDescent="0.25">
      <c r="A2104" s="10">
        <v>46041</v>
      </c>
      <c r="B2104" s="2" t="str">
        <f t="shared" si="66"/>
        <v>Jan-2026</v>
      </c>
      <c r="C2104" s="2" t="str">
        <f t="shared" si="67"/>
        <v>Q4</v>
      </c>
      <c r="D2104" s="2" t="s">
        <v>28</v>
      </c>
      <c r="E2104" s="11" t="s">
        <v>439</v>
      </c>
      <c r="F2104" s="11" t="s">
        <v>151</v>
      </c>
      <c r="G2104" s="11" t="s">
        <v>503</v>
      </c>
      <c r="H2104" s="11" t="s">
        <v>44</v>
      </c>
      <c r="I2104" s="12">
        <v>1</v>
      </c>
      <c r="J2104" s="12">
        <v>180</v>
      </c>
      <c r="K2104" s="12">
        <v>142.47999999999999</v>
      </c>
      <c r="L2104" s="12">
        <v>25646.399999999998</v>
      </c>
      <c r="M2104" s="12">
        <v>0</v>
      </c>
      <c r="N2104" s="12">
        <v>-2564.6402320000002</v>
      </c>
      <c r="O2104" s="12">
        <v>3000.6285720000001</v>
      </c>
      <c r="P2104" s="12">
        <v>26082.388340000001</v>
      </c>
    </row>
    <row r="2105" spans="1:16" ht="14.5" x14ac:dyDescent="0.25">
      <c r="A2105" s="10">
        <v>46041</v>
      </c>
      <c r="B2105" s="2" t="str">
        <f t="shared" si="66"/>
        <v>Jan-2026</v>
      </c>
      <c r="C2105" s="2" t="str">
        <f t="shared" si="67"/>
        <v>Q4</v>
      </c>
      <c r="D2105" s="2" t="s">
        <v>28</v>
      </c>
      <c r="E2105" s="11" t="s">
        <v>439</v>
      </c>
      <c r="F2105" s="11" t="s">
        <v>151</v>
      </c>
      <c r="G2105" s="11" t="s">
        <v>503</v>
      </c>
      <c r="H2105" s="11" t="s">
        <v>190</v>
      </c>
      <c r="I2105" s="12">
        <v>1</v>
      </c>
      <c r="J2105" s="12">
        <v>180</v>
      </c>
      <c r="K2105" s="12">
        <v>74.34</v>
      </c>
      <c r="L2105" s="12">
        <v>13381.199999999999</v>
      </c>
      <c r="M2105" s="12">
        <v>0</v>
      </c>
      <c r="N2105" s="12">
        <v>-1338.1201209999999</v>
      </c>
      <c r="O2105" s="12">
        <v>1565.600281</v>
      </c>
      <c r="P2105" s="12">
        <v>13608.68016</v>
      </c>
    </row>
    <row r="2106" spans="1:16" ht="14.5" x14ac:dyDescent="0.25">
      <c r="A2106" s="10">
        <v>46041</v>
      </c>
      <c r="B2106" s="2" t="str">
        <f t="shared" si="66"/>
        <v>Jan-2026</v>
      </c>
      <c r="C2106" s="2" t="str">
        <f t="shared" si="67"/>
        <v>Q4</v>
      </c>
      <c r="D2106" s="2" t="s">
        <v>28</v>
      </c>
      <c r="E2106" s="11" t="s">
        <v>439</v>
      </c>
      <c r="F2106" s="11" t="s">
        <v>151</v>
      </c>
      <c r="G2106" s="11" t="s">
        <v>503</v>
      </c>
      <c r="H2106" s="11" t="s">
        <v>57</v>
      </c>
      <c r="I2106" s="12">
        <v>1</v>
      </c>
      <c r="J2106" s="12">
        <v>180</v>
      </c>
      <c r="K2106" s="12">
        <v>108.41</v>
      </c>
      <c r="L2106" s="12">
        <v>19513.8</v>
      </c>
      <c r="M2106" s="12">
        <v>0</v>
      </c>
      <c r="N2106" s="12">
        <v>-1951.3801770000002</v>
      </c>
      <c r="O2106" s="12">
        <v>2283.114427</v>
      </c>
      <c r="P2106" s="12">
        <v>19845.534250000001</v>
      </c>
    </row>
    <row r="2107" spans="1:16" ht="14.5" x14ac:dyDescent="0.25">
      <c r="A2107" s="10">
        <v>46041</v>
      </c>
      <c r="B2107" s="2" t="str">
        <f t="shared" si="66"/>
        <v>Jan-2026</v>
      </c>
      <c r="C2107" s="2" t="str">
        <f t="shared" si="67"/>
        <v>Q4</v>
      </c>
      <c r="D2107" s="2" t="s">
        <v>28</v>
      </c>
      <c r="E2107" s="11" t="s">
        <v>439</v>
      </c>
      <c r="F2107" s="11" t="s">
        <v>151</v>
      </c>
      <c r="G2107" s="11" t="s">
        <v>506</v>
      </c>
      <c r="H2107" s="11" t="s">
        <v>351</v>
      </c>
      <c r="I2107" s="12">
        <v>1</v>
      </c>
      <c r="J2107" s="12">
        <v>72</v>
      </c>
      <c r="K2107" s="12">
        <v>164.16</v>
      </c>
      <c r="L2107" s="12">
        <v>11819.52</v>
      </c>
      <c r="M2107" s="12">
        <v>0</v>
      </c>
      <c r="N2107" s="12">
        <v>-1181.9521069999998</v>
      </c>
      <c r="O2107" s="12">
        <v>1382.8837349999999</v>
      </c>
      <c r="P2107" s="12">
        <v>12020.451628000001</v>
      </c>
    </row>
    <row r="2108" spans="1:16" ht="14.5" x14ac:dyDescent="0.25">
      <c r="A2108" s="10">
        <v>46041</v>
      </c>
      <c r="B2108" s="2" t="str">
        <f t="shared" si="66"/>
        <v>Jan-2026</v>
      </c>
      <c r="C2108" s="2" t="str">
        <f t="shared" si="67"/>
        <v>Q4</v>
      </c>
      <c r="D2108" s="2" t="s">
        <v>28</v>
      </c>
      <c r="E2108" s="11" t="s">
        <v>439</v>
      </c>
      <c r="F2108" s="11" t="s">
        <v>151</v>
      </c>
      <c r="G2108" s="11" t="s">
        <v>503</v>
      </c>
      <c r="H2108" s="11" t="s">
        <v>166</v>
      </c>
      <c r="I2108" s="12">
        <v>1</v>
      </c>
      <c r="J2108" s="12">
        <v>120</v>
      </c>
      <c r="K2108" s="12">
        <v>58.85</v>
      </c>
      <c r="L2108" s="12">
        <v>7062.0000000000009</v>
      </c>
      <c r="M2108" s="12">
        <v>0</v>
      </c>
      <c r="N2108" s="12">
        <v>-706.200064</v>
      </c>
      <c r="O2108" s="12">
        <v>826.25393699999995</v>
      </c>
      <c r="P2108" s="12">
        <v>7182.0538729999998</v>
      </c>
    </row>
    <row r="2109" spans="1:16" ht="14.5" x14ac:dyDescent="0.25">
      <c r="A2109" s="10">
        <v>46041</v>
      </c>
      <c r="B2109" s="2" t="str">
        <f t="shared" si="66"/>
        <v>Jan-2026</v>
      </c>
      <c r="C2109" s="2" t="str">
        <f t="shared" si="67"/>
        <v>Q4</v>
      </c>
      <c r="D2109" s="2" t="s">
        <v>28</v>
      </c>
      <c r="E2109" s="11" t="s">
        <v>439</v>
      </c>
      <c r="F2109" s="11" t="s">
        <v>151</v>
      </c>
      <c r="G2109" s="11" t="s">
        <v>503</v>
      </c>
      <c r="H2109" s="11" t="s">
        <v>87</v>
      </c>
      <c r="I2109" s="12">
        <v>1</v>
      </c>
      <c r="J2109" s="12">
        <v>180</v>
      </c>
      <c r="K2109" s="12">
        <v>105.31</v>
      </c>
      <c r="L2109" s="12">
        <v>18955.8</v>
      </c>
      <c r="M2109" s="12">
        <v>0</v>
      </c>
      <c r="N2109" s="12">
        <v>-1895.5801719999999</v>
      </c>
      <c r="O2109" s="12">
        <v>2217.8284319999998</v>
      </c>
      <c r="P2109" s="12">
        <v>19278.04826</v>
      </c>
    </row>
    <row r="2110" spans="1:16" ht="14.5" x14ac:dyDescent="0.25">
      <c r="A2110" s="10">
        <v>46041</v>
      </c>
      <c r="B2110" s="2" t="str">
        <f t="shared" si="66"/>
        <v>Jan-2026</v>
      </c>
      <c r="C2110" s="2" t="str">
        <f t="shared" si="67"/>
        <v>Q4</v>
      </c>
      <c r="D2110" s="2" t="s">
        <v>28</v>
      </c>
      <c r="E2110" s="11" t="s">
        <v>439</v>
      </c>
      <c r="F2110" s="11" t="s">
        <v>151</v>
      </c>
      <c r="G2110" s="11" t="s">
        <v>506</v>
      </c>
      <c r="H2110" s="11" t="s">
        <v>181</v>
      </c>
      <c r="I2110" s="12">
        <v>1</v>
      </c>
      <c r="J2110" s="12">
        <v>100</v>
      </c>
      <c r="K2110" s="12">
        <v>89.82</v>
      </c>
      <c r="L2110" s="12">
        <v>8982</v>
      </c>
      <c r="M2110" s="12">
        <v>0</v>
      </c>
      <c r="N2110" s="12">
        <v>-898.20008099999995</v>
      </c>
      <c r="O2110" s="12">
        <v>1050.89392</v>
      </c>
      <c r="P2110" s="12">
        <v>9134.6938389999996</v>
      </c>
    </row>
    <row r="2111" spans="1:16" ht="14.5" x14ac:dyDescent="0.25">
      <c r="A2111" s="10">
        <v>46041</v>
      </c>
      <c r="B2111" s="2" t="str">
        <f t="shared" si="66"/>
        <v>Jan-2026</v>
      </c>
      <c r="C2111" s="2" t="str">
        <f t="shared" si="67"/>
        <v>Q4</v>
      </c>
      <c r="D2111" s="2" t="s">
        <v>28</v>
      </c>
      <c r="E2111" s="11" t="s">
        <v>439</v>
      </c>
      <c r="F2111" s="11" t="s">
        <v>151</v>
      </c>
      <c r="G2111" s="11" t="s">
        <v>504</v>
      </c>
      <c r="H2111" s="11" t="s">
        <v>67</v>
      </c>
      <c r="I2111" s="12">
        <v>1</v>
      </c>
      <c r="J2111" s="12">
        <v>40</v>
      </c>
      <c r="K2111" s="12">
        <v>360.53</v>
      </c>
      <c r="L2111" s="12">
        <v>14421.199999999999</v>
      </c>
      <c r="M2111" s="12">
        <v>0</v>
      </c>
      <c r="N2111" s="12">
        <v>-1442.1201310000001</v>
      </c>
      <c r="O2111" s="12">
        <v>1687.280272</v>
      </c>
      <c r="P2111" s="12">
        <v>14666.360140999999</v>
      </c>
    </row>
    <row r="2112" spans="1:16" ht="14.5" x14ac:dyDescent="0.25">
      <c r="A2112" s="10">
        <v>46041</v>
      </c>
      <c r="B2112" s="2" t="str">
        <f t="shared" si="66"/>
        <v>Jan-2026</v>
      </c>
      <c r="C2112" s="2" t="str">
        <f t="shared" si="67"/>
        <v>Q4</v>
      </c>
      <c r="D2112" s="2" t="s">
        <v>28</v>
      </c>
      <c r="E2112" s="11" t="s">
        <v>439</v>
      </c>
      <c r="F2112" s="11" t="s">
        <v>151</v>
      </c>
      <c r="G2112" s="11" t="s">
        <v>503</v>
      </c>
      <c r="H2112" s="11" t="s">
        <v>170</v>
      </c>
      <c r="I2112" s="12">
        <v>0.5</v>
      </c>
      <c r="J2112" s="12">
        <v>40</v>
      </c>
      <c r="K2112" s="12">
        <v>154.87</v>
      </c>
      <c r="L2112" s="12">
        <v>6194.8</v>
      </c>
      <c r="M2112" s="12">
        <v>0</v>
      </c>
      <c r="N2112" s="12">
        <v>-619.48005599999999</v>
      </c>
      <c r="O2112" s="12">
        <v>724.79154499999993</v>
      </c>
      <c r="P2112" s="12">
        <v>6300.1114889999999</v>
      </c>
    </row>
    <row r="2113" spans="1:16" ht="14.5" x14ac:dyDescent="0.25">
      <c r="A2113" s="10">
        <v>46041</v>
      </c>
      <c r="B2113" s="2" t="str">
        <f t="shared" si="66"/>
        <v>Jan-2026</v>
      </c>
      <c r="C2113" s="2" t="str">
        <f t="shared" si="67"/>
        <v>Q4</v>
      </c>
      <c r="D2113" s="2" t="s">
        <v>28</v>
      </c>
      <c r="E2113" s="11" t="s">
        <v>439</v>
      </c>
      <c r="F2113" s="11" t="s">
        <v>151</v>
      </c>
      <c r="G2113" s="11" t="s">
        <v>503</v>
      </c>
      <c r="H2113" s="11" t="s">
        <v>45</v>
      </c>
      <c r="I2113" s="12">
        <v>1</v>
      </c>
      <c r="J2113" s="12">
        <v>180</v>
      </c>
      <c r="K2113" s="12">
        <v>56.99</v>
      </c>
      <c r="L2113" s="12">
        <v>10258.200000000001</v>
      </c>
      <c r="M2113" s="12">
        <v>0</v>
      </c>
      <c r="N2113" s="12">
        <v>-1025.820093</v>
      </c>
      <c r="O2113" s="12">
        <v>1200.2093090000001</v>
      </c>
      <c r="P2113" s="12">
        <v>10432.589216</v>
      </c>
    </row>
    <row r="2114" spans="1:16" ht="14.5" x14ac:dyDescent="0.25">
      <c r="A2114" s="10">
        <v>46041</v>
      </c>
      <c r="B2114" s="2" t="str">
        <f t="shared" si="66"/>
        <v>Jan-2026</v>
      </c>
      <c r="C2114" s="2" t="str">
        <f t="shared" si="67"/>
        <v>Q4</v>
      </c>
      <c r="D2114" s="2" t="s">
        <v>28</v>
      </c>
      <c r="E2114" s="11" t="s">
        <v>439</v>
      </c>
      <c r="F2114" s="11" t="s">
        <v>151</v>
      </c>
      <c r="G2114" s="11" t="s">
        <v>506</v>
      </c>
      <c r="H2114" s="11" t="s">
        <v>58</v>
      </c>
      <c r="I2114" s="12">
        <v>1</v>
      </c>
      <c r="J2114" s="12">
        <v>72</v>
      </c>
      <c r="K2114" s="12">
        <v>136.28</v>
      </c>
      <c r="L2114" s="12">
        <v>9812.16</v>
      </c>
      <c r="M2114" s="12">
        <v>0</v>
      </c>
      <c r="N2114" s="12">
        <v>-981.21608900000001</v>
      </c>
      <c r="O2114" s="12">
        <v>1148.022633</v>
      </c>
      <c r="P2114" s="12">
        <v>9978.9665440000008</v>
      </c>
    </row>
    <row r="2115" spans="1:16" ht="14.5" x14ac:dyDescent="0.25">
      <c r="A2115" s="10">
        <v>46041</v>
      </c>
      <c r="B2115" s="2" t="str">
        <f t="shared" si="66"/>
        <v>Jan-2026</v>
      </c>
      <c r="C2115" s="2" t="str">
        <f t="shared" si="67"/>
        <v>Q4</v>
      </c>
      <c r="D2115" s="2" t="s">
        <v>28</v>
      </c>
      <c r="E2115" s="11" t="s">
        <v>439</v>
      </c>
      <c r="F2115" s="11" t="s">
        <v>151</v>
      </c>
      <c r="G2115" s="11" t="s">
        <v>503</v>
      </c>
      <c r="H2115" s="11" t="s">
        <v>175</v>
      </c>
      <c r="I2115" s="12">
        <v>0.5</v>
      </c>
      <c r="J2115" s="12">
        <v>60</v>
      </c>
      <c r="K2115" s="12">
        <v>71.239999999999995</v>
      </c>
      <c r="L2115" s="12">
        <v>4274.3999999999996</v>
      </c>
      <c r="M2115" s="12">
        <v>0</v>
      </c>
      <c r="N2115" s="12">
        <v>-427.44003899999996</v>
      </c>
      <c r="O2115" s="12">
        <v>500.10476200000005</v>
      </c>
      <c r="P2115" s="12">
        <v>4347.0647230000004</v>
      </c>
    </row>
    <row r="2116" spans="1:16" ht="14.5" x14ac:dyDescent="0.25">
      <c r="A2116" s="10">
        <v>46041</v>
      </c>
      <c r="B2116" s="2" t="str">
        <f t="shared" si="66"/>
        <v>Jan-2026</v>
      </c>
      <c r="C2116" s="2" t="str">
        <f t="shared" si="67"/>
        <v>Q4</v>
      </c>
      <c r="D2116" s="2" t="s">
        <v>28</v>
      </c>
      <c r="E2116" s="11" t="s">
        <v>439</v>
      </c>
      <c r="F2116" s="11" t="s">
        <v>151</v>
      </c>
      <c r="G2116" s="11" t="s">
        <v>504</v>
      </c>
      <c r="H2116" s="11" t="s">
        <v>69</v>
      </c>
      <c r="I2116" s="12">
        <v>1</v>
      </c>
      <c r="J2116" s="12">
        <v>100</v>
      </c>
      <c r="K2116" s="12">
        <v>148.66999999999999</v>
      </c>
      <c r="L2116" s="12">
        <v>14867</v>
      </c>
      <c r="M2116" s="12">
        <v>0</v>
      </c>
      <c r="N2116" s="12">
        <v>-1486.7001349999998</v>
      </c>
      <c r="O2116" s="12">
        <v>1739.438868</v>
      </c>
      <c r="P2116" s="12">
        <v>15119.738733</v>
      </c>
    </row>
    <row r="2117" spans="1:16" ht="14.5" x14ac:dyDescent="0.25">
      <c r="A2117" s="10">
        <v>46041</v>
      </c>
      <c r="B2117" s="2" t="str">
        <f t="shared" si="66"/>
        <v>Jan-2026</v>
      </c>
      <c r="C2117" s="2" t="str">
        <f t="shared" si="67"/>
        <v>Q4</v>
      </c>
      <c r="D2117" s="2" t="s">
        <v>28</v>
      </c>
      <c r="E2117" s="11" t="s">
        <v>439</v>
      </c>
      <c r="F2117" s="11" t="s">
        <v>151</v>
      </c>
      <c r="G2117" s="11" t="s">
        <v>503</v>
      </c>
      <c r="H2117" s="11" t="s">
        <v>41</v>
      </c>
      <c r="I2117" s="12">
        <v>1</v>
      </c>
      <c r="J2117" s="12">
        <v>180</v>
      </c>
      <c r="K2117" s="12">
        <v>55.75</v>
      </c>
      <c r="L2117" s="12">
        <v>10035</v>
      </c>
      <c r="M2117" s="12">
        <v>0</v>
      </c>
      <c r="N2117" s="12">
        <v>-1003.500091</v>
      </c>
      <c r="O2117" s="12">
        <v>1174.0949109999999</v>
      </c>
      <c r="P2117" s="12">
        <v>10205.59482</v>
      </c>
    </row>
    <row r="2118" spans="1:16" ht="14.5" x14ac:dyDescent="0.25">
      <c r="A2118" s="10">
        <v>46041</v>
      </c>
      <c r="B2118" s="2" t="str">
        <f t="shared" si="66"/>
        <v>Jan-2026</v>
      </c>
      <c r="C2118" s="2" t="str">
        <f t="shared" si="67"/>
        <v>Q4</v>
      </c>
      <c r="D2118" s="2" t="s">
        <v>28</v>
      </c>
      <c r="E2118" s="11" t="s">
        <v>439</v>
      </c>
      <c r="F2118" s="11" t="s">
        <v>151</v>
      </c>
      <c r="G2118" s="11" t="s">
        <v>505</v>
      </c>
      <c r="H2118" s="11" t="s">
        <v>168</v>
      </c>
      <c r="I2118" s="12">
        <v>1</v>
      </c>
      <c r="J2118" s="12">
        <v>80</v>
      </c>
      <c r="K2118" s="12">
        <v>210.62</v>
      </c>
      <c r="L2118" s="12">
        <v>16849.599999999999</v>
      </c>
      <c r="M2118" s="12">
        <v>0</v>
      </c>
      <c r="N2118" s="12">
        <v>-1684.960153</v>
      </c>
      <c r="O2118" s="12">
        <v>1971.4030499999999</v>
      </c>
      <c r="P2118" s="12">
        <v>17136.042896999999</v>
      </c>
    </row>
    <row r="2119" spans="1:16" ht="14.5" x14ac:dyDescent="0.25">
      <c r="A2119" s="10">
        <v>46041</v>
      </c>
      <c r="B2119" s="2" t="str">
        <f t="shared" si="66"/>
        <v>Jan-2026</v>
      </c>
      <c r="C2119" s="2" t="str">
        <f t="shared" si="67"/>
        <v>Q4</v>
      </c>
      <c r="D2119" s="2" t="s">
        <v>28</v>
      </c>
      <c r="E2119" s="11" t="s">
        <v>439</v>
      </c>
      <c r="F2119" s="11" t="s">
        <v>151</v>
      </c>
      <c r="G2119" s="11" t="s">
        <v>503</v>
      </c>
      <c r="H2119" s="11" t="s">
        <v>172</v>
      </c>
      <c r="I2119" s="12">
        <v>1</v>
      </c>
      <c r="J2119" s="12">
        <v>180</v>
      </c>
      <c r="K2119" s="12">
        <v>89.82</v>
      </c>
      <c r="L2119" s="12">
        <v>16167.6</v>
      </c>
      <c r="M2119" s="12">
        <v>0</v>
      </c>
      <c r="N2119" s="12">
        <v>-1616.7601460000001</v>
      </c>
      <c r="O2119" s="12">
        <v>1891.6090570000001</v>
      </c>
      <c r="P2119" s="12">
        <v>16442.448910999999</v>
      </c>
    </row>
    <row r="2120" spans="1:16" ht="14.5" x14ac:dyDescent="0.25">
      <c r="A2120" s="10">
        <v>46041</v>
      </c>
      <c r="B2120" s="2" t="str">
        <f t="shared" si="66"/>
        <v>Jan-2026</v>
      </c>
      <c r="C2120" s="2" t="str">
        <f t="shared" si="67"/>
        <v>Q4</v>
      </c>
      <c r="D2120" s="2" t="s">
        <v>28</v>
      </c>
      <c r="E2120" s="11" t="s">
        <v>439</v>
      </c>
      <c r="F2120" s="11" t="s">
        <v>151</v>
      </c>
      <c r="G2120" s="11" t="s">
        <v>503</v>
      </c>
      <c r="H2120" s="11" t="s">
        <v>89</v>
      </c>
      <c r="I2120" s="12">
        <v>1</v>
      </c>
      <c r="J2120" s="12">
        <v>120</v>
      </c>
      <c r="K2120" s="12">
        <v>105.31</v>
      </c>
      <c r="L2120" s="12">
        <v>12637.199999999999</v>
      </c>
      <c r="M2120" s="12">
        <v>0</v>
      </c>
      <c r="N2120" s="12">
        <v>-1263.720114</v>
      </c>
      <c r="O2120" s="12">
        <v>1478.5522880000001</v>
      </c>
      <c r="P2120" s="12">
        <v>12852.032174</v>
      </c>
    </row>
    <row r="2121" spans="1:16" ht="14.5" x14ac:dyDescent="0.25">
      <c r="A2121" s="10">
        <v>46041</v>
      </c>
      <c r="B2121" s="2" t="str">
        <f t="shared" si="66"/>
        <v>Jan-2026</v>
      </c>
      <c r="C2121" s="2" t="str">
        <f t="shared" si="67"/>
        <v>Q4</v>
      </c>
      <c r="D2121" s="2" t="s">
        <v>28</v>
      </c>
      <c r="E2121" s="11" t="s">
        <v>440</v>
      </c>
      <c r="F2121" s="11" t="s">
        <v>21</v>
      </c>
      <c r="G2121" s="11" t="s">
        <v>503</v>
      </c>
      <c r="H2121" s="11" t="s">
        <v>48</v>
      </c>
      <c r="I2121" s="12">
        <v>-0.67</v>
      </c>
      <c r="J2121" s="12">
        <v>-120</v>
      </c>
      <c r="K2121" s="12">
        <v>127.43</v>
      </c>
      <c r="L2121" s="12">
        <v>-15291.6</v>
      </c>
      <c r="M2121" s="12">
        <v>0</v>
      </c>
      <c r="N2121" s="12">
        <v>0</v>
      </c>
      <c r="O2121" s="12">
        <v>-1987.91</v>
      </c>
      <c r="P2121" s="12">
        <v>-17279.509999999998</v>
      </c>
    </row>
    <row r="2122" spans="1:16" ht="14.5" x14ac:dyDescent="0.25">
      <c r="A2122" s="10">
        <v>46045</v>
      </c>
      <c r="B2122" s="2" t="str">
        <f t="shared" si="66"/>
        <v>Jan-2026</v>
      </c>
      <c r="C2122" s="2" t="str">
        <f t="shared" si="67"/>
        <v>Q4</v>
      </c>
      <c r="D2122" s="2" t="s">
        <v>28</v>
      </c>
      <c r="E2122" s="11" t="s">
        <v>441</v>
      </c>
      <c r="F2122" s="11" t="s">
        <v>14</v>
      </c>
      <c r="G2122" s="11" t="s">
        <v>503</v>
      </c>
      <c r="H2122" s="11" t="s">
        <v>63</v>
      </c>
      <c r="I2122" s="12">
        <v>-1</v>
      </c>
      <c r="J2122" s="12">
        <v>-80</v>
      </c>
      <c r="K2122" s="12">
        <v>185.92</v>
      </c>
      <c r="L2122" s="12">
        <v>-14873.6</v>
      </c>
      <c r="M2122" s="12">
        <v>1352.01</v>
      </c>
      <c r="N2122" s="12">
        <v>0</v>
      </c>
      <c r="O2122" s="12">
        <v>-1757.8053220000002</v>
      </c>
      <c r="P2122" s="12">
        <v>-15279.395322</v>
      </c>
    </row>
    <row r="2123" spans="1:16" ht="14.5" x14ac:dyDescent="0.25">
      <c r="A2123" s="10">
        <v>46045</v>
      </c>
      <c r="B2123" s="2" t="str">
        <f t="shared" si="66"/>
        <v>Jan-2026</v>
      </c>
      <c r="C2123" s="2" t="str">
        <f t="shared" si="67"/>
        <v>Q4</v>
      </c>
      <c r="D2123" s="2" t="s">
        <v>28</v>
      </c>
      <c r="E2123" s="11" t="s">
        <v>441</v>
      </c>
      <c r="F2123" s="11" t="s">
        <v>14</v>
      </c>
      <c r="G2123" s="11" t="s">
        <v>506</v>
      </c>
      <c r="H2123" s="11" t="s">
        <v>54</v>
      </c>
      <c r="I2123" s="12">
        <v>-1</v>
      </c>
      <c r="J2123" s="12">
        <v>-48</v>
      </c>
      <c r="K2123" s="12">
        <v>297.45999999999998</v>
      </c>
      <c r="L2123" s="12">
        <v>-14278.08</v>
      </c>
      <c r="M2123" s="12">
        <v>1297.8800000000001</v>
      </c>
      <c r="N2123" s="12">
        <v>0</v>
      </c>
      <c r="O2123" s="12">
        <v>-1687.4246780000001</v>
      </c>
      <c r="P2123" s="12">
        <v>-14667.624678</v>
      </c>
    </row>
    <row r="2124" spans="1:16" ht="14.5" x14ac:dyDescent="0.25">
      <c r="A2124" s="10">
        <v>46049</v>
      </c>
      <c r="B2124" s="2" t="str">
        <f t="shared" si="66"/>
        <v>Jan-2026</v>
      </c>
      <c r="C2124" s="2" t="str">
        <f t="shared" si="67"/>
        <v>Q4</v>
      </c>
      <c r="D2124" s="2" t="s">
        <v>28</v>
      </c>
      <c r="E2124" s="11" t="s">
        <v>442</v>
      </c>
      <c r="F2124" s="11" t="s">
        <v>236</v>
      </c>
      <c r="G2124" s="11" t="s">
        <v>503</v>
      </c>
      <c r="H2124" s="11" t="s">
        <v>42</v>
      </c>
      <c r="I2124" s="12">
        <v>1</v>
      </c>
      <c r="J2124" s="12">
        <v>120</v>
      </c>
      <c r="K2124" s="12">
        <v>148.72999999999999</v>
      </c>
      <c r="L2124" s="12">
        <v>17847.600000000002</v>
      </c>
      <c r="M2124" s="12">
        <v>-1622.3500000000001</v>
      </c>
      <c r="N2124" s="12">
        <v>0</v>
      </c>
      <c r="O2124" s="12">
        <v>2109.2809470000002</v>
      </c>
      <c r="P2124" s="12">
        <v>18334.530946999999</v>
      </c>
    </row>
    <row r="2125" spans="1:16" ht="14.5" x14ac:dyDescent="0.25">
      <c r="A2125" s="10">
        <v>46049</v>
      </c>
      <c r="B2125" s="2" t="str">
        <f t="shared" si="66"/>
        <v>Jan-2026</v>
      </c>
      <c r="C2125" s="2" t="str">
        <f t="shared" si="67"/>
        <v>Q4</v>
      </c>
      <c r="D2125" s="2" t="s">
        <v>28</v>
      </c>
      <c r="E2125" s="11" t="s">
        <v>442</v>
      </c>
      <c r="F2125" s="11" t="s">
        <v>236</v>
      </c>
      <c r="G2125" s="11" t="s">
        <v>503</v>
      </c>
      <c r="H2125" s="11" t="s">
        <v>190</v>
      </c>
      <c r="I2125" s="12">
        <v>1</v>
      </c>
      <c r="J2125" s="12">
        <v>180</v>
      </c>
      <c r="K2125" s="12">
        <v>81.13</v>
      </c>
      <c r="L2125" s="12">
        <v>14603.400000000001</v>
      </c>
      <c r="M2125" s="12">
        <v>-1327.45</v>
      </c>
      <c r="N2125" s="12">
        <v>0</v>
      </c>
      <c r="O2125" s="12">
        <v>1725.8722290000001</v>
      </c>
      <c r="P2125" s="12">
        <v>15001.822228999999</v>
      </c>
    </row>
    <row r="2126" spans="1:16" ht="14.5" x14ac:dyDescent="0.25">
      <c r="A2126" s="10">
        <v>46049</v>
      </c>
      <c r="B2126" s="2" t="str">
        <f t="shared" si="66"/>
        <v>Jan-2026</v>
      </c>
      <c r="C2126" s="2" t="str">
        <f t="shared" si="67"/>
        <v>Q4</v>
      </c>
      <c r="D2126" s="2" t="s">
        <v>28</v>
      </c>
      <c r="E2126" s="11" t="s">
        <v>442</v>
      </c>
      <c r="F2126" s="11" t="s">
        <v>236</v>
      </c>
      <c r="G2126" s="11" t="s">
        <v>503</v>
      </c>
      <c r="H2126" s="11" t="s">
        <v>45</v>
      </c>
      <c r="I2126" s="12">
        <v>1</v>
      </c>
      <c r="J2126" s="12">
        <v>180</v>
      </c>
      <c r="K2126" s="12">
        <v>64.23</v>
      </c>
      <c r="L2126" s="12">
        <v>11561.4</v>
      </c>
      <c r="M2126" s="12">
        <v>-1050.9299999999998</v>
      </c>
      <c r="N2126" s="12">
        <v>0</v>
      </c>
      <c r="O2126" s="12">
        <v>1366.3600940000001</v>
      </c>
      <c r="P2126" s="12">
        <v>11876.830094000001</v>
      </c>
    </row>
    <row r="2127" spans="1:16" ht="14.5" x14ac:dyDescent="0.25">
      <c r="A2127" s="10">
        <v>46049</v>
      </c>
      <c r="B2127" s="2" t="str">
        <f t="shared" si="66"/>
        <v>Jan-2026</v>
      </c>
      <c r="C2127" s="2" t="str">
        <f t="shared" si="67"/>
        <v>Q4</v>
      </c>
      <c r="D2127" s="2" t="s">
        <v>28</v>
      </c>
      <c r="E2127" s="11" t="s">
        <v>442</v>
      </c>
      <c r="F2127" s="11" t="s">
        <v>236</v>
      </c>
      <c r="G2127" s="11" t="s">
        <v>503</v>
      </c>
      <c r="H2127" s="11" t="s">
        <v>166</v>
      </c>
      <c r="I2127" s="12">
        <v>1</v>
      </c>
      <c r="J2127" s="12">
        <v>120</v>
      </c>
      <c r="K2127" s="12">
        <v>64.23</v>
      </c>
      <c r="L2127" s="12">
        <v>7707.5999999999995</v>
      </c>
      <c r="M2127" s="12">
        <v>-700.62</v>
      </c>
      <c r="N2127" s="12">
        <v>0</v>
      </c>
      <c r="O2127" s="12">
        <v>910.90672900000004</v>
      </c>
      <c r="P2127" s="12">
        <v>7917.8867289999998</v>
      </c>
    </row>
    <row r="2128" spans="1:16" ht="14.5" x14ac:dyDescent="0.25">
      <c r="A2128" s="10">
        <v>46049</v>
      </c>
      <c r="B2128" s="2" t="str">
        <f t="shared" si="66"/>
        <v>Jan-2026</v>
      </c>
      <c r="C2128" s="2" t="str">
        <f t="shared" si="67"/>
        <v>Q4</v>
      </c>
      <c r="D2128" s="2" t="s">
        <v>28</v>
      </c>
      <c r="E2128" s="11" t="s">
        <v>443</v>
      </c>
      <c r="F2128" s="11" t="s">
        <v>21</v>
      </c>
      <c r="G2128" s="11" t="s">
        <v>506</v>
      </c>
      <c r="H2128" s="11" t="s">
        <v>58</v>
      </c>
      <c r="I2128" s="12">
        <v>1.5</v>
      </c>
      <c r="J2128" s="12">
        <v>108</v>
      </c>
      <c r="K2128" s="12">
        <v>140.18</v>
      </c>
      <c r="L2128" s="12">
        <v>15139.44</v>
      </c>
      <c r="M2128" s="12">
        <v>0</v>
      </c>
      <c r="N2128" s="12">
        <v>0</v>
      </c>
      <c r="O2128" s="12">
        <v>1968.1299999999999</v>
      </c>
      <c r="P2128" s="12">
        <v>17107.57</v>
      </c>
    </row>
    <row r="2129" spans="1:16" ht="14.5" x14ac:dyDescent="0.25">
      <c r="A2129" s="10">
        <v>46050</v>
      </c>
      <c r="B2129" s="2" t="str">
        <f t="shared" si="66"/>
        <v>Jan-2026</v>
      </c>
      <c r="C2129" s="2" t="str">
        <f t="shared" si="67"/>
        <v>Q4</v>
      </c>
      <c r="D2129" s="2" t="s">
        <v>28</v>
      </c>
      <c r="E2129" s="11" t="s">
        <v>444</v>
      </c>
      <c r="F2129" s="11" t="s">
        <v>151</v>
      </c>
      <c r="G2129" s="11" t="s">
        <v>504</v>
      </c>
      <c r="H2129" s="11" t="s">
        <v>68</v>
      </c>
      <c r="I2129" s="12">
        <v>4</v>
      </c>
      <c r="J2129" s="12">
        <v>160</v>
      </c>
      <c r="K2129" s="12">
        <v>238.5</v>
      </c>
      <c r="L2129" s="12">
        <v>38159.999999999993</v>
      </c>
      <c r="M2129" s="12">
        <v>0</v>
      </c>
      <c r="N2129" s="12">
        <v>0</v>
      </c>
      <c r="O2129" s="12">
        <v>4960.800193</v>
      </c>
      <c r="P2129" s="12">
        <v>43120.800193000003</v>
      </c>
    </row>
    <row r="2130" spans="1:16" ht="14.5" x14ac:dyDescent="0.25">
      <c r="A2130" s="10">
        <v>46050</v>
      </c>
      <c r="B2130" s="2" t="str">
        <f t="shared" si="66"/>
        <v>Jan-2026</v>
      </c>
      <c r="C2130" s="2" t="str">
        <f t="shared" si="67"/>
        <v>Q4</v>
      </c>
      <c r="D2130" s="2" t="s">
        <v>28</v>
      </c>
      <c r="E2130" s="11" t="s">
        <v>444</v>
      </c>
      <c r="F2130" s="11" t="s">
        <v>151</v>
      </c>
      <c r="G2130" s="11" t="s">
        <v>503</v>
      </c>
      <c r="H2130" s="11" t="s">
        <v>48</v>
      </c>
      <c r="I2130" s="12">
        <v>2.5</v>
      </c>
      <c r="J2130" s="12">
        <v>450</v>
      </c>
      <c r="K2130" s="12">
        <v>123.89</v>
      </c>
      <c r="L2130" s="12">
        <v>55750.5</v>
      </c>
      <c r="M2130" s="12">
        <v>0</v>
      </c>
      <c r="N2130" s="12">
        <v>0</v>
      </c>
      <c r="O2130" s="12">
        <v>7247.5652820000005</v>
      </c>
      <c r="P2130" s="12">
        <v>62998.065282000003</v>
      </c>
    </row>
    <row r="2131" spans="1:16" ht="14.5" x14ac:dyDescent="0.25">
      <c r="A2131" s="10">
        <v>46050</v>
      </c>
      <c r="B2131" s="2" t="str">
        <f t="shared" si="66"/>
        <v>Jan-2026</v>
      </c>
      <c r="C2131" s="2" t="str">
        <f t="shared" si="67"/>
        <v>Q4</v>
      </c>
      <c r="D2131" s="2" t="s">
        <v>28</v>
      </c>
      <c r="E2131" s="11" t="s">
        <v>444</v>
      </c>
      <c r="F2131" s="11" t="s">
        <v>151</v>
      </c>
      <c r="G2131" s="11" t="s">
        <v>503</v>
      </c>
      <c r="H2131" s="11" t="s">
        <v>46</v>
      </c>
      <c r="I2131" s="12">
        <v>1.58</v>
      </c>
      <c r="J2131" s="12">
        <v>190</v>
      </c>
      <c r="K2131" s="12">
        <v>108.41</v>
      </c>
      <c r="L2131" s="12">
        <v>20597.899999999998</v>
      </c>
      <c r="M2131" s="12">
        <v>0</v>
      </c>
      <c r="N2131" s="12">
        <v>0</v>
      </c>
      <c r="O2131" s="12">
        <v>2677.7271040000001</v>
      </c>
      <c r="P2131" s="12">
        <v>23275.627103999999</v>
      </c>
    </row>
    <row r="2132" spans="1:16" ht="14.5" x14ac:dyDescent="0.25">
      <c r="A2132" s="10">
        <v>46050</v>
      </c>
      <c r="B2132" s="2" t="str">
        <f t="shared" si="66"/>
        <v>Jan-2026</v>
      </c>
      <c r="C2132" s="2" t="str">
        <f t="shared" si="67"/>
        <v>Q4</v>
      </c>
      <c r="D2132" s="2" t="s">
        <v>28</v>
      </c>
      <c r="E2132" s="11" t="s">
        <v>444</v>
      </c>
      <c r="F2132" s="11" t="s">
        <v>151</v>
      </c>
      <c r="G2132" s="11" t="s">
        <v>503</v>
      </c>
      <c r="H2132" s="11" t="s">
        <v>52</v>
      </c>
      <c r="I2132" s="12">
        <v>2.5</v>
      </c>
      <c r="J2132" s="12">
        <v>450</v>
      </c>
      <c r="K2132" s="12">
        <v>65.040000000000006</v>
      </c>
      <c r="L2132" s="12">
        <v>29268</v>
      </c>
      <c r="M2132" s="12">
        <v>0</v>
      </c>
      <c r="N2132" s="12">
        <v>0</v>
      </c>
      <c r="O2132" s="12">
        <v>3804.8401479999998</v>
      </c>
      <c r="P2132" s="12">
        <v>33072.840148000003</v>
      </c>
    </row>
    <row r="2133" spans="1:16" ht="14.5" x14ac:dyDescent="0.25">
      <c r="A2133" s="10">
        <v>46050</v>
      </c>
      <c r="B2133" s="2" t="str">
        <f t="shared" si="66"/>
        <v>Jan-2026</v>
      </c>
      <c r="C2133" s="2" t="str">
        <f t="shared" si="67"/>
        <v>Q4</v>
      </c>
      <c r="D2133" s="2" t="s">
        <v>28</v>
      </c>
      <c r="E2133" s="11" t="s">
        <v>444</v>
      </c>
      <c r="F2133" s="11" t="s">
        <v>151</v>
      </c>
      <c r="G2133" s="11" t="s">
        <v>505</v>
      </c>
      <c r="H2133" s="11" t="s">
        <v>167</v>
      </c>
      <c r="I2133" s="12">
        <v>0.22</v>
      </c>
      <c r="J2133" s="12">
        <v>40</v>
      </c>
      <c r="K2133" s="12">
        <v>83.63</v>
      </c>
      <c r="L2133" s="12">
        <v>3345.2</v>
      </c>
      <c r="M2133" s="12">
        <v>0</v>
      </c>
      <c r="N2133" s="12">
        <v>0</v>
      </c>
      <c r="O2133" s="12">
        <v>434.87601699999999</v>
      </c>
      <c r="P2133" s="12">
        <v>3780.0760169999999</v>
      </c>
    </row>
    <row r="2134" spans="1:16" ht="14.5" x14ac:dyDescent="0.25">
      <c r="A2134" s="10">
        <v>46050</v>
      </c>
      <c r="B2134" s="2" t="str">
        <f t="shared" si="66"/>
        <v>Jan-2026</v>
      </c>
      <c r="C2134" s="2" t="str">
        <f t="shared" si="67"/>
        <v>Q4</v>
      </c>
      <c r="D2134" s="2" t="s">
        <v>28</v>
      </c>
      <c r="E2134" s="11" t="s">
        <v>444</v>
      </c>
      <c r="F2134" s="11" t="s">
        <v>151</v>
      </c>
      <c r="G2134" s="11" t="s">
        <v>503</v>
      </c>
      <c r="H2134" s="11" t="s">
        <v>47</v>
      </c>
      <c r="I2134" s="12">
        <v>3.75</v>
      </c>
      <c r="J2134" s="12">
        <v>450</v>
      </c>
      <c r="K2134" s="12">
        <v>108.41</v>
      </c>
      <c r="L2134" s="12">
        <v>48784.5</v>
      </c>
      <c r="M2134" s="12">
        <v>0</v>
      </c>
      <c r="N2134" s="12">
        <v>0</v>
      </c>
      <c r="O2134" s="12">
        <v>6341.9852470000005</v>
      </c>
      <c r="P2134" s="12">
        <v>55126.485246999997</v>
      </c>
    </row>
    <row r="2135" spans="1:16" ht="14.5" x14ac:dyDescent="0.25">
      <c r="A2135" s="10">
        <v>46050</v>
      </c>
      <c r="B2135" s="2" t="str">
        <f t="shared" si="66"/>
        <v>Jan-2026</v>
      </c>
      <c r="C2135" s="2" t="str">
        <f t="shared" si="67"/>
        <v>Q4</v>
      </c>
      <c r="D2135" s="2" t="s">
        <v>28</v>
      </c>
      <c r="E2135" s="11" t="s">
        <v>444</v>
      </c>
      <c r="F2135" s="11" t="s">
        <v>151</v>
      </c>
      <c r="G2135" s="11" t="s">
        <v>505</v>
      </c>
      <c r="H2135" s="11" t="s">
        <v>40</v>
      </c>
      <c r="I2135" s="12">
        <v>1</v>
      </c>
      <c r="J2135" s="12">
        <v>180</v>
      </c>
      <c r="K2135" s="12">
        <v>74.34</v>
      </c>
      <c r="L2135" s="12">
        <v>13381.199999999999</v>
      </c>
      <c r="M2135" s="12">
        <v>0</v>
      </c>
      <c r="N2135" s="12">
        <v>0</v>
      </c>
      <c r="O2135" s="12">
        <v>1739.5560680000001</v>
      </c>
      <c r="P2135" s="12">
        <v>15120.756068000001</v>
      </c>
    </row>
    <row r="2136" spans="1:16" ht="14.5" x14ac:dyDescent="0.25">
      <c r="A2136" s="10">
        <v>46050</v>
      </c>
      <c r="B2136" s="2" t="str">
        <f t="shared" si="66"/>
        <v>Jan-2026</v>
      </c>
      <c r="C2136" s="2" t="str">
        <f t="shared" si="67"/>
        <v>Q4</v>
      </c>
      <c r="D2136" s="2" t="s">
        <v>28</v>
      </c>
      <c r="E2136" s="11" t="s">
        <v>444</v>
      </c>
      <c r="F2136" s="11" t="s">
        <v>151</v>
      </c>
      <c r="G2136" s="11" t="s">
        <v>503</v>
      </c>
      <c r="H2136" s="11" t="s">
        <v>87</v>
      </c>
      <c r="I2136" s="12">
        <v>1</v>
      </c>
      <c r="J2136" s="12">
        <v>180</v>
      </c>
      <c r="K2136" s="12">
        <v>105.31</v>
      </c>
      <c r="L2136" s="12">
        <v>18955.8</v>
      </c>
      <c r="M2136" s="12">
        <v>0</v>
      </c>
      <c r="N2136" s="12">
        <v>0</v>
      </c>
      <c r="O2136" s="12">
        <v>2464.2540960000001</v>
      </c>
      <c r="P2136" s="12">
        <v>21420.054096</v>
      </c>
    </row>
    <row r="2137" spans="1:16" ht="14.5" x14ac:dyDescent="0.25">
      <c r="A2137" s="10">
        <v>46050</v>
      </c>
      <c r="B2137" s="2" t="str">
        <f t="shared" si="66"/>
        <v>Jan-2026</v>
      </c>
      <c r="C2137" s="2" t="str">
        <f t="shared" si="67"/>
        <v>Q4</v>
      </c>
      <c r="D2137" s="2" t="s">
        <v>28</v>
      </c>
      <c r="E2137" s="11" t="s">
        <v>444</v>
      </c>
      <c r="F2137" s="11" t="s">
        <v>151</v>
      </c>
      <c r="G2137" s="11" t="s">
        <v>504</v>
      </c>
      <c r="H2137" s="11" t="s">
        <v>66</v>
      </c>
      <c r="I2137" s="12">
        <v>2.4</v>
      </c>
      <c r="J2137" s="12">
        <v>240</v>
      </c>
      <c r="K2137" s="12">
        <v>99.12</v>
      </c>
      <c r="L2137" s="12">
        <v>23788.799999999999</v>
      </c>
      <c r="M2137" s="12">
        <v>0</v>
      </c>
      <c r="N2137" s="12">
        <v>0</v>
      </c>
      <c r="O2137" s="12">
        <v>3092.54412</v>
      </c>
      <c r="P2137" s="12">
        <v>26881.344120000002</v>
      </c>
    </row>
    <row r="2138" spans="1:16" ht="14.5" x14ac:dyDescent="0.25">
      <c r="A2138" s="10">
        <v>46050</v>
      </c>
      <c r="B2138" s="2" t="str">
        <f t="shared" si="66"/>
        <v>Jan-2026</v>
      </c>
      <c r="C2138" s="2" t="str">
        <f t="shared" si="67"/>
        <v>Q4</v>
      </c>
      <c r="D2138" s="2" t="s">
        <v>28</v>
      </c>
      <c r="E2138" s="11" t="s">
        <v>444</v>
      </c>
      <c r="F2138" s="11" t="s">
        <v>151</v>
      </c>
      <c r="G2138" s="11" t="s">
        <v>503</v>
      </c>
      <c r="H2138" s="11" t="s">
        <v>177</v>
      </c>
      <c r="I2138" s="12">
        <v>0.33</v>
      </c>
      <c r="J2138" s="12">
        <v>40</v>
      </c>
      <c r="K2138" s="12">
        <v>86.73</v>
      </c>
      <c r="L2138" s="12">
        <v>3469.2</v>
      </c>
      <c r="M2138" s="12">
        <v>0</v>
      </c>
      <c r="N2138" s="12">
        <v>0</v>
      </c>
      <c r="O2138" s="12">
        <v>450.99601799999999</v>
      </c>
      <c r="P2138" s="12">
        <v>3920.1960180000001</v>
      </c>
    </row>
    <row r="2139" spans="1:16" ht="14.5" x14ac:dyDescent="0.25">
      <c r="A2139" s="10">
        <v>46050</v>
      </c>
      <c r="B2139" s="2" t="str">
        <f t="shared" si="66"/>
        <v>Jan-2026</v>
      </c>
      <c r="C2139" s="2" t="str">
        <f t="shared" si="67"/>
        <v>Q4</v>
      </c>
      <c r="D2139" s="2" t="s">
        <v>28</v>
      </c>
      <c r="E2139" s="11" t="s">
        <v>444</v>
      </c>
      <c r="F2139" s="11" t="s">
        <v>151</v>
      </c>
      <c r="G2139" s="11" t="s">
        <v>506</v>
      </c>
      <c r="H2139" s="11" t="s">
        <v>351</v>
      </c>
      <c r="I2139" s="12">
        <v>0.57999999999999996</v>
      </c>
      <c r="J2139" s="12">
        <v>42</v>
      </c>
      <c r="K2139" s="12">
        <v>164.16</v>
      </c>
      <c r="L2139" s="12">
        <v>6894.72</v>
      </c>
      <c r="M2139" s="12">
        <v>0</v>
      </c>
      <c r="N2139" s="12">
        <v>0</v>
      </c>
      <c r="O2139" s="12">
        <v>896.31363500000009</v>
      </c>
      <c r="P2139" s="12">
        <v>7791.0336349999998</v>
      </c>
    </row>
    <row r="2140" spans="1:16" ht="14.5" x14ac:dyDescent="0.25">
      <c r="A2140" s="10">
        <v>46050</v>
      </c>
      <c r="B2140" s="2" t="str">
        <f t="shared" si="66"/>
        <v>Jan-2026</v>
      </c>
      <c r="C2140" s="2" t="str">
        <f t="shared" si="67"/>
        <v>Q4</v>
      </c>
      <c r="D2140" s="2" t="s">
        <v>28</v>
      </c>
      <c r="E2140" s="11" t="s">
        <v>444</v>
      </c>
      <c r="F2140" s="11" t="s">
        <v>151</v>
      </c>
      <c r="G2140" s="11" t="s">
        <v>506</v>
      </c>
      <c r="H2140" s="11" t="s">
        <v>181</v>
      </c>
      <c r="I2140" s="12">
        <v>1</v>
      </c>
      <c r="J2140" s="12">
        <v>100</v>
      </c>
      <c r="K2140" s="12">
        <v>89.82</v>
      </c>
      <c r="L2140" s="12">
        <v>8982</v>
      </c>
      <c r="M2140" s="12">
        <v>0</v>
      </c>
      <c r="N2140" s="12">
        <v>0</v>
      </c>
      <c r="O2140" s="12">
        <v>1167.6600450000001</v>
      </c>
      <c r="P2140" s="12">
        <v>10149.660045000001</v>
      </c>
    </row>
    <row r="2141" spans="1:16" ht="14.5" x14ac:dyDescent="0.25">
      <c r="A2141" s="10">
        <v>46050</v>
      </c>
      <c r="B2141" s="2" t="str">
        <f t="shared" si="66"/>
        <v>Jan-2026</v>
      </c>
      <c r="C2141" s="2" t="str">
        <f t="shared" si="67"/>
        <v>Q4</v>
      </c>
      <c r="D2141" s="2" t="s">
        <v>28</v>
      </c>
      <c r="E2141" s="11" t="s">
        <v>444</v>
      </c>
      <c r="F2141" s="11" t="s">
        <v>151</v>
      </c>
      <c r="G2141" s="11" t="s">
        <v>503</v>
      </c>
      <c r="H2141" s="11" t="s">
        <v>57</v>
      </c>
      <c r="I2141" s="12">
        <v>2</v>
      </c>
      <c r="J2141" s="12">
        <v>360</v>
      </c>
      <c r="K2141" s="12">
        <v>108.41</v>
      </c>
      <c r="L2141" s="12">
        <v>39027.599999999999</v>
      </c>
      <c r="M2141" s="12">
        <v>0</v>
      </c>
      <c r="N2141" s="12">
        <v>0</v>
      </c>
      <c r="O2141" s="12">
        <v>5073.5881980000004</v>
      </c>
      <c r="P2141" s="12">
        <v>44101.188198000003</v>
      </c>
    </row>
    <row r="2142" spans="1:16" ht="14.5" x14ac:dyDescent="0.25">
      <c r="A2142" s="10">
        <v>46050</v>
      </c>
      <c r="B2142" s="2" t="str">
        <f t="shared" si="66"/>
        <v>Jan-2026</v>
      </c>
      <c r="C2142" s="2" t="str">
        <f t="shared" si="67"/>
        <v>Q4</v>
      </c>
      <c r="D2142" s="2" t="s">
        <v>28</v>
      </c>
      <c r="E2142" s="11" t="s">
        <v>444</v>
      </c>
      <c r="F2142" s="11" t="s">
        <v>151</v>
      </c>
      <c r="G2142" s="11" t="s">
        <v>504</v>
      </c>
      <c r="H2142" s="11" t="s">
        <v>69</v>
      </c>
      <c r="I2142" s="12">
        <v>1.5</v>
      </c>
      <c r="J2142" s="12">
        <v>150</v>
      </c>
      <c r="K2142" s="12">
        <v>148.66999999999999</v>
      </c>
      <c r="L2142" s="12">
        <v>22300.500000000004</v>
      </c>
      <c r="M2142" s="12">
        <v>0</v>
      </c>
      <c r="N2142" s="12">
        <v>0</v>
      </c>
      <c r="O2142" s="12">
        <v>2899.0651130000001</v>
      </c>
      <c r="P2142" s="12">
        <v>25199.565113000001</v>
      </c>
    </row>
    <row r="2143" spans="1:16" ht="14.5" x14ac:dyDescent="0.25">
      <c r="A2143" s="10">
        <v>46050</v>
      </c>
      <c r="B2143" s="2" t="str">
        <f t="shared" si="66"/>
        <v>Jan-2026</v>
      </c>
      <c r="C2143" s="2" t="str">
        <f t="shared" si="67"/>
        <v>Q4</v>
      </c>
      <c r="D2143" s="2" t="s">
        <v>28</v>
      </c>
      <c r="E2143" s="11" t="s">
        <v>444</v>
      </c>
      <c r="F2143" s="11" t="s">
        <v>151</v>
      </c>
      <c r="G2143" s="11" t="s">
        <v>505</v>
      </c>
      <c r="H2143" s="11" t="s">
        <v>49</v>
      </c>
      <c r="I2143" s="12">
        <v>2</v>
      </c>
      <c r="J2143" s="12">
        <v>360</v>
      </c>
      <c r="K2143" s="12">
        <v>145.58000000000001</v>
      </c>
      <c r="L2143" s="12">
        <v>52408.799999999996</v>
      </c>
      <c r="M2143" s="12">
        <v>0</v>
      </c>
      <c r="N2143" s="12">
        <v>0</v>
      </c>
      <c r="O2143" s="12">
        <v>6813.1442650000008</v>
      </c>
      <c r="P2143" s="12">
        <v>59221.944264999998</v>
      </c>
    </row>
    <row r="2144" spans="1:16" ht="14.5" x14ac:dyDescent="0.25">
      <c r="A2144" s="10">
        <v>46050</v>
      </c>
      <c r="B2144" s="2" t="str">
        <f t="shared" si="66"/>
        <v>Jan-2026</v>
      </c>
      <c r="C2144" s="2" t="str">
        <f t="shared" si="67"/>
        <v>Q4</v>
      </c>
      <c r="D2144" s="2" t="s">
        <v>28</v>
      </c>
      <c r="E2144" s="11" t="s">
        <v>444</v>
      </c>
      <c r="F2144" s="11" t="s">
        <v>151</v>
      </c>
      <c r="G2144" s="11" t="s">
        <v>503</v>
      </c>
      <c r="H2144" s="11" t="s">
        <v>44</v>
      </c>
      <c r="I2144" s="12">
        <v>1.22</v>
      </c>
      <c r="J2144" s="12">
        <v>220</v>
      </c>
      <c r="K2144" s="12">
        <v>142.47999999999999</v>
      </c>
      <c r="L2144" s="12">
        <v>31345.600000000002</v>
      </c>
      <c r="M2144" s="12">
        <v>0</v>
      </c>
      <c r="N2144" s="12">
        <v>0</v>
      </c>
      <c r="O2144" s="12">
        <v>4074.9281590000001</v>
      </c>
      <c r="P2144" s="12">
        <v>35420.528159000001</v>
      </c>
    </row>
    <row r="2145" spans="1:16" ht="14.5" x14ac:dyDescent="0.25">
      <c r="A2145" s="10">
        <v>46050</v>
      </c>
      <c r="B2145" s="2" t="str">
        <f t="shared" si="66"/>
        <v>Jan-2026</v>
      </c>
      <c r="C2145" s="2" t="str">
        <f t="shared" si="67"/>
        <v>Q4</v>
      </c>
      <c r="D2145" s="2" t="s">
        <v>28</v>
      </c>
      <c r="E2145" s="11" t="s">
        <v>444</v>
      </c>
      <c r="F2145" s="11" t="s">
        <v>151</v>
      </c>
      <c r="G2145" s="11" t="s">
        <v>504</v>
      </c>
      <c r="H2145" s="11" t="s">
        <v>67</v>
      </c>
      <c r="I2145" s="12">
        <v>1</v>
      </c>
      <c r="J2145" s="12">
        <v>40</v>
      </c>
      <c r="K2145" s="12">
        <v>360.53</v>
      </c>
      <c r="L2145" s="12">
        <v>14421.199999999999</v>
      </c>
      <c r="M2145" s="12">
        <v>0</v>
      </c>
      <c r="N2145" s="12">
        <v>0</v>
      </c>
      <c r="O2145" s="12">
        <v>1874.756073</v>
      </c>
      <c r="P2145" s="12">
        <v>16295.956072999999</v>
      </c>
    </row>
    <row r="2146" spans="1:16" ht="14.5" x14ac:dyDescent="0.25">
      <c r="A2146" s="10">
        <v>46050</v>
      </c>
      <c r="B2146" s="2" t="str">
        <f t="shared" si="66"/>
        <v>Jan-2026</v>
      </c>
      <c r="C2146" s="2" t="str">
        <f t="shared" si="67"/>
        <v>Q4</v>
      </c>
      <c r="D2146" s="2" t="s">
        <v>28</v>
      </c>
      <c r="E2146" s="11" t="s">
        <v>444</v>
      </c>
      <c r="F2146" s="11" t="s">
        <v>151</v>
      </c>
      <c r="G2146" s="11" t="s">
        <v>503</v>
      </c>
      <c r="H2146" s="11" t="s">
        <v>41</v>
      </c>
      <c r="I2146" s="12">
        <v>2</v>
      </c>
      <c r="J2146" s="12">
        <v>360</v>
      </c>
      <c r="K2146" s="12">
        <v>55.75</v>
      </c>
      <c r="L2146" s="12">
        <v>20070</v>
      </c>
      <c r="M2146" s="12">
        <v>0</v>
      </c>
      <c r="N2146" s="12">
        <v>0</v>
      </c>
      <c r="O2146" s="12">
        <v>2609.1001019999999</v>
      </c>
      <c r="P2146" s="12">
        <v>22679.100102</v>
      </c>
    </row>
    <row r="2147" spans="1:16" ht="14.5" x14ac:dyDescent="0.25">
      <c r="A2147" s="10">
        <v>46050</v>
      </c>
      <c r="B2147" s="2" t="str">
        <f t="shared" ref="B2147:B2191" si="68">+TEXT(A2147,"MMM-yyy")</f>
        <v>Jan-2026</v>
      </c>
      <c r="C2147" s="2" t="str">
        <f t="shared" ref="C2147:C2191" si="69">"Q" &amp; CHOOSE(MONTH(A2147),4,4,4,1,1,1,2,2,2,3,3,3)</f>
        <v>Q4</v>
      </c>
      <c r="D2147" s="2" t="s">
        <v>28</v>
      </c>
      <c r="E2147" s="11" t="s">
        <v>444</v>
      </c>
      <c r="F2147" s="11" t="s">
        <v>151</v>
      </c>
      <c r="G2147" s="11" t="s">
        <v>506</v>
      </c>
      <c r="H2147" s="11" t="s">
        <v>189</v>
      </c>
      <c r="I2147" s="12">
        <v>0.4</v>
      </c>
      <c r="J2147" s="12">
        <v>40</v>
      </c>
      <c r="K2147" s="12">
        <v>65.040000000000006</v>
      </c>
      <c r="L2147" s="12">
        <v>2601.6</v>
      </c>
      <c r="M2147" s="12">
        <v>0</v>
      </c>
      <c r="N2147" s="12">
        <v>0</v>
      </c>
      <c r="O2147" s="12">
        <v>338.20801299999999</v>
      </c>
      <c r="P2147" s="12">
        <v>2939.8080129999998</v>
      </c>
    </row>
    <row r="2148" spans="1:16" ht="14.5" x14ac:dyDescent="0.25">
      <c r="A2148" s="10">
        <v>46050</v>
      </c>
      <c r="B2148" s="2" t="str">
        <f t="shared" si="68"/>
        <v>Jan-2026</v>
      </c>
      <c r="C2148" s="2" t="str">
        <f t="shared" si="69"/>
        <v>Q4</v>
      </c>
      <c r="D2148" s="2" t="s">
        <v>28</v>
      </c>
      <c r="E2148" s="11" t="s">
        <v>444</v>
      </c>
      <c r="F2148" s="11" t="s">
        <v>151</v>
      </c>
      <c r="G2148" s="11" t="s">
        <v>503</v>
      </c>
      <c r="H2148" s="11" t="s">
        <v>51</v>
      </c>
      <c r="I2148" s="12">
        <v>2</v>
      </c>
      <c r="J2148" s="12">
        <v>360</v>
      </c>
      <c r="K2148" s="12">
        <v>56.99</v>
      </c>
      <c r="L2148" s="12">
        <v>20516.400000000001</v>
      </c>
      <c r="M2148" s="12">
        <v>0</v>
      </c>
      <c r="N2148" s="12">
        <v>0</v>
      </c>
      <c r="O2148" s="12">
        <v>2667.1321040000003</v>
      </c>
      <c r="P2148" s="12">
        <v>23183.532104000002</v>
      </c>
    </row>
    <row r="2149" spans="1:16" ht="14.5" x14ac:dyDescent="0.25">
      <c r="A2149" s="10">
        <v>46050</v>
      </c>
      <c r="B2149" s="2" t="str">
        <f t="shared" si="68"/>
        <v>Jan-2026</v>
      </c>
      <c r="C2149" s="2" t="str">
        <f t="shared" si="69"/>
        <v>Q4</v>
      </c>
      <c r="D2149" s="2" t="s">
        <v>28</v>
      </c>
      <c r="E2149" s="11" t="s">
        <v>445</v>
      </c>
      <c r="F2149" s="11" t="s">
        <v>151</v>
      </c>
      <c r="G2149" s="11" t="s">
        <v>504</v>
      </c>
      <c r="H2149" s="11" t="s">
        <v>61</v>
      </c>
      <c r="I2149" s="12">
        <v>4</v>
      </c>
      <c r="J2149" s="12">
        <v>160</v>
      </c>
      <c r="K2149" s="12">
        <v>308</v>
      </c>
      <c r="L2149" s="12">
        <v>49280</v>
      </c>
      <c r="M2149" s="12" t="s">
        <v>113</v>
      </c>
      <c r="N2149" s="12" t="s">
        <v>113</v>
      </c>
      <c r="O2149" s="12" t="s">
        <v>113</v>
      </c>
      <c r="P2149" s="12">
        <v>49280</v>
      </c>
    </row>
    <row r="2150" spans="1:16" ht="14.5" x14ac:dyDescent="0.25">
      <c r="A2150" s="10">
        <v>46050</v>
      </c>
      <c r="B2150" s="2" t="str">
        <f t="shared" si="68"/>
        <v>Jan-2026</v>
      </c>
      <c r="C2150" s="2" t="str">
        <f t="shared" si="69"/>
        <v>Q4</v>
      </c>
      <c r="D2150" s="2" t="s">
        <v>28</v>
      </c>
      <c r="E2150" s="11" t="s">
        <v>445</v>
      </c>
      <c r="F2150" s="11" t="s">
        <v>151</v>
      </c>
      <c r="G2150" s="11" t="s">
        <v>504</v>
      </c>
      <c r="H2150" s="11" t="s">
        <v>53</v>
      </c>
      <c r="I2150" s="12">
        <v>2.5</v>
      </c>
      <c r="J2150" s="12">
        <v>250</v>
      </c>
      <c r="K2150" s="12">
        <v>126</v>
      </c>
      <c r="L2150" s="12">
        <v>31500</v>
      </c>
      <c r="M2150" s="12" t="s">
        <v>113</v>
      </c>
      <c r="N2150" s="12" t="s">
        <v>113</v>
      </c>
      <c r="O2150" s="12" t="s">
        <v>113</v>
      </c>
      <c r="P2150" s="12">
        <v>31500</v>
      </c>
    </row>
    <row r="2151" spans="1:16" ht="14.5" x14ac:dyDescent="0.25">
      <c r="A2151" s="10">
        <v>46050</v>
      </c>
      <c r="B2151" s="2" t="str">
        <f t="shared" si="68"/>
        <v>Jan-2026</v>
      </c>
      <c r="C2151" s="2" t="str">
        <f t="shared" si="69"/>
        <v>Q4</v>
      </c>
      <c r="D2151" s="2" t="s">
        <v>28</v>
      </c>
      <c r="E2151" s="11" t="s">
        <v>446</v>
      </c>
      <c r="F2151" s="11" t="s">
        <v>14</v>
      </c>
      <c r="G2151" s="11" t="s">
        <v>506</v>
      </c>
      <c r="H2151" s="11" t="s">
        <v>54</v>
      </c>
      <c r="I2151" s="12">
        <v>1</v>
      </c>
      <c r="J2151" s="12">
        <v>48</v>
      </c>
      <c r="K2151" s="12">
        <v>297.45999999999998</v>
      </c>
      <c r="L2151" s="12">
        <v>14278.08</v>
      </c>
      <c r="M2151" s="12">
        <v>-1297.8800000000001</v>
      </c>
      <c r="N2151" s="12">
        <v>0</v>
      </c>
      <c r="O2151" s="12">
        <v>1687.4262779999999</v>
      </c>
      <c r="P2151" s="12">
        <v>14667.626278</v>
      </c>
    </row>
    <row r="2152" spans="1:16" ht="14.5" x14ac:dyDescent="0.25">
      <c r="A2152" s="10">
        <v>46050</v>
      </c>
      <c r="B2152" s="2" t="str">
        <f t="shared" si="68"/>
        <v>Jan-2026</v>
      </c>
      <c r="C2152" s="2" t="str">
        <f t="shared" si="69"/>
        <v>Q4</v>
      </c>
      <c r="D2152" s="2" t="s">
        <v>28</v>
      </c>
      <c r="E2152" s="11" t="s">
        <v>446</v>
      </c>
      <c r="F2152" s="11" t="s">
        <v>14</v>
      </c>
      <c r="G2152" s="11" t="s">
        <v>503</v>
      </c>
      <c r="H2152" s="11" t="s">
        <v>46</v>
      </c>
      <c r="I2152" s="12">
        <v>1</v>
      </c>
      <c r="J2152" s="12">
        <v>120</v>
      </c>
      <c r="K2152" s="12">
        <v>121.69</v>
      </c>
      <c r="L2152" s="12">
        <v>14602.800000000001</v>
      </c>
      <c r="M2152" s="12">
        <v>-1327.39</v>
      </c>
      <c r="N2152" s="12">
        <v>0</v>
      </c>
      <c r="O2152" s="12">
        <v>1725.803584</v>
      </c>
      <c r="P2152" s="12">
        <v>15001.213583999999</v>
      </c>
    </row>
    <row r="2153" spans="1:16" ht="14.5" x14ac:dyDescent="0.25">
      <c r="A2153" s="10">
        <v>46050</v>
      </c>
      <c r="B2153" s="2" t="str">
        <f t="shared" si="68"/>
        <v>Jan-2026</v>
      </c>
      <c r="C2153" s="2" t="str">
        <f t="shared" si="69"/>
        <v>Q4</v>
      </c>
      <c r="D2153" s="2" t="s">
        <v>28</v>
      </c>
      <c r="E2153" s="11" t="s">
        <v>446</v>
      </c>
      <c r="F2153" s="11" t="s">
        <v>14</v>
      </c>
      <c r="G2153" s="11" t="s">
        <v>503</v>
      </c>
      <c r="H2153" s="11" t="s">
        <v>51</v>
      </c>
      <c r="I2153" s="12">
        <v>1</v>
      </c>
      <c r="J2153" s="12">
        <v>180</v>
      </c>
      <c r="K2153" s="12">
        <v>64.23</v>
      </c>
      <c r="L2153" s="12">
        <v>11561.4</v>
      </c>
      <c r="M2153" s="12">
        <v>-1050.9299999999998</v>
      </c>
      <c r="N2153" s="12">
        <v>0</v>
      </c>
      <c r="O2153" s="12">
        <v>1366.3613250000001</v>
      </c>
      <c r="P2153" s="12">
        <v>11876.831324999999</v>
      </c>
    </row>
    <row r="2154" spans="1:16" ht="14.5" x14ac:dyDescent="0.25">
      <c r="A2154" s="10">
        <v>46050</v>
      </c>
      <c r="B2154" s="2" t="str">
        <f t="shared" si="68"/>
        <v>Jan-2026</v>
      </c>
      <c r="C2154" s="2" t="str">
        <f t="shared" si="69"/>
        <v>Q4</v>
      </c>
      <c r="D2154" s="2" t="s">
        <v>28</v>
      </c>
      <c r="E2154" s="11" t="s">
        <v>446</v>
      </c>
      <c r="F2154" s="11" t="s">
        <v>14</v>
      </c>
      <c r="G2154" s="11" t="s">
        <v>505</v>
      </c>
      <c r="H2154" s="11" t="s">
        <v>49</v>
      </c>
      <c r="I2154" s="12">
        <v>1</v>
      </c>
      <c r="J2154" s="12">
        <v>180</v>
      </c>
      <c r="K2154" s="12">
        <v>182.53</v>
      </c>
      <c r="L2154" s="12">
        <v>32855.4</v>
      </c>
      <c r="M2154" s="12">
        <v>-2986.56</v>
      </c>
      <c r="N2154" s="12">
        <v>0</v>
      </c>
      <c r="O2154" s="12">
        <v>3882.9498400000002</v>
      </c>
      <c r="P2154" s="12">
        <v>33751.789839999998</v>
      </c>
    </row>
    <row r="2155" spans="1:16" ht="14.5" x14ac:dyDescent="0.25">
      <c r="A2155" s="10">
        <v>46050</v>
      </c>
      <c r="B2155" s="2" t="str">
        <f t="shared" si="68"/>
        <v>Jan-2026</v>
      </c>
      <c r="C2155" s="2" t="str">
        <f t="shared" si="69"/>
        <v>Q4</v>
      </c>
      <c r="D2155" s="2" t="s">
        <v>28</v>
      </c>
      <c r="E2155" s="11" t="s">
        <v>446</v>
      </c>
      <c r="F2155" s="11" t="s">
        <v>14</v>
      </c>
      <c r="G2155" s="11" t="s">
        <v>506</v>
      </c>
      <c r="H2155" s="11" t="s">
        <v>39</v>
      </c>
      <c r="I2155" s="12">
        <v>0.5</v>
      </c>
      <c r="J2155" s="12">
        <v>36</v>
      </c>
      <c r="K2155" s="12">
        <v>131.83000000000001</v>
      </c>
      <c r="L2155" s="12">
        <v>4745.88</v>
      </c>
      <c r="M2155" s="12">
        <v>-431.4</v>
      </c>
      <c r="N2155" s="12">
        <v>0</v>
      </c>
      <c r="O2155" s="12">
        <v>560.88249200000007</v>
      </c>
      <c r="P2155" s="12">
        <v>4875.3624920000002</v>
      </c>
    </row>
    <row r="2156" spans="1:16" ht="14.5" x14ac:dyDescent="0.25">
      <c r="A2156" s="10">
        <v>46050</v>
      </c>
      <c r="B2156" s="2" t="str">
        <f t="shared" si="68"/>
        <v>Jan-2026</v>
      </c>
      <c r="C2156" s="2" t="str">
        <f t="shared" si="69"/>
        <v>Q4</v>
      </c>
      <c r="D2156" s="2" t="s">
        <v>28</v>
      </c>
      <c r="E2156" s="11" t="s">
        <v>446</v>
      </c>
      <c r="F2156" s="11" t="s">
        <v>14</v>
      </c>
      <c r="G2156" s="11" t="s">
        <v>504</v>
      </c>
      <c r="H2156" s="11" t="s">
        <v>68</v>
      </c>
      <c r="I2156" s="12">
        <v>1</v>
      </c>
      <c r="J2156" s="12">
        <v>40</v>
      </c>
      <c r="K2156" s="12">
        <v>260.27999999999997</v>
      </c>
      <c r="L2156" s="12">
        <v>10411.200000000001</v>
      </c>
      <c r="M2156" s="12">
        <v>-946.38</v>
      </c>
      <c r="N2156" s="12">
        <v>0</v>
      </c>
      <c r="O2156" s="12">
        <v>1230.4268030000001</v>
      </c>
      <c r="P2156" s="12">
        <v>10695.246803</v>
      </c>
    </row>
    <row r="2157" spans="1:16" ht="14.5" x14ac:dyDescent="0.25">
      <c r="A2157" s="10">
        <v>46050</v>
      </c>
      <c r="B2157" s="2" t="str">
        <f t="shared" si="68"/>
        <v>Jan-2026</v>
      </c>
      <c r="C2157" s="2" t="str">
        <f t="shared" si="69"/>
        <v>Q4</v>
      </c>
      <c r="D2157" s="2" t="s">
        <v>28</v>
      </c>
      <c r="E2157" s="11" t="s">
        <v>446</v>
      </c>
      <c r="F2157" s="11" t="s">
        <v>14</v>
      </c>
      <c r="G2157" s="11" t="s">
        <v>503</v>
      </c>
      <c r="H2157" s="11" t="s">
        <v>41</v>
      </c>
      <c r="I2157" s="12">
        <v>1</v>
      </c>
      <c r="J2157" s="12">
        <v>180</v>
      </c>
      <c r="K2157" s="12">
        <v>60.84</v>
      </c>
      <c r="L2157" s="12">
        <v>10951.199999999999</v>
      </c>
      <c r="M2157" s="12">
        <v>-995.46</v>
      </c>
      <c r="N2157" s="12">
        <v>0</v>
      </c>
      <c r="O2157" s="12">
        <v>1294.2464129999998</v>
      </c>
      <c r="P2157" s="12">
        <v>11249.986413000001</v>
      </c>
    </row>
    <row r="2158" spans="1:16" ht="14.5" x14ac:dyDescent="0.25">
      <c r="A2158" s="10">
        <v>46050</v>
      </c>
      <c r="B2158" s="2" t="str">
        <f t="shared" si="68"/>
        <v>Jan-2026</v>
      </c>
      <c r="C2158" s="2" t="str">
        <f t="shared" si="69"/>
        <v>Q4</v>
      </c>
      <c r="D2158" s="2" t="s">
        <v>28</v>
      </c>
      <c r="E2158" s="11" t="s">
        <v>446</v>
      </c>
      <c r="F2158" s="11" t="s">
        <v>14</v>
      </c>
      <c r="G2158" s="11" t="s">
        <v>503</v>
      </c>
      <c r="H2158" s="11" t="s">
        <v>166</v>
      </c>
      <c r="I2158" s="12">
        <v>1</v>
      </c>
      <c r="J2158" s="12">
        <v>120</v>
      </c>
      <c r="K2158" s="12">
        <v>64.23</v>
      </c>
      <c r="L2158" s="12">
        <v>7707.5999999999995</v>
      </c>
      <c r="M2158" s="12">
        <v>-700.62</v>
      </c>
      <c r="N2158" s="12">
        <v>0</v>
      </c>
      <c r="O2158" s="12">
        <v>910.90755000000001</v>
      </c>
      <c r="P2158" s="12">
        <v>7917.8875500000004</v>
      </c>
    </row>
    <row r="2159" spans="1:16" ht="14.5" x14ac:dyDescent="0.25">
      <c r="A2159" s="10">
        <v>46050</v>
      </c>
      <c r="B2159" s="2" t="str">
        <f t="shared" si="68"/>
        <v>Jan-2026</v>
      </c>
      <c r="C2159" s="2" t="str">
        <f t="shared" si="69"/>
        <v>Q4</v>
      </c>
      <c r="D2159" s="2" t="s">
        <v>28</v>
      </c>
      <c r="E2159" s="11" t="s">
        <v>446</v>
      </c>
      <c r="F2159" s="11" t="s">
        <v>14</v>
      </c>
      <c r="G2159" s="11" t="s">
        <v>504</v>
      </c>
      <c r="H2159" s="11" t="s">
        <v>67</v>
      </c>
      <c r="I2159" s="12">
        <v>1</v>
      </c>
      <c r="J2159" s="12">
        <v>40</v>
      </c>
      <c r="K2159" s="12">
        <v>393.46</v>
      </c>
      <c r="L2159" s="12">
        <v>15738.4</v>
      </c>
      <c r="M2159" s="12">
        <v>-1430.6200000000001</v>
      </c>
      <c r="N2159" s="12">
        <v>0</v>
      </c>
      <c r="O2159" s="12">
        <v>1860.0117070000001</v>
      </c>
      <c r="P2159" s="12">
        <v>16167.791707</v>
      </c>
    </row>
    <row r="2160" spans="1:16" ht="14.5" x14ac:dyDescent="0.25">
      <c r="A2160" s="10">
        <v>46050</v>
      </c>
      <c r="B2160" s="2" t="str">
        <f t="shared" si="68"/>
        <v>Jan-2026</v>
      </c>
      <c r="C2160" s="2" t="str">
        <f t="shared" si="69"/>
        <v>Q4</v>
      </c>
      <c r="D2160" s="2" t="s">
        <v>28</v>
      </c>
      <c r="E2160" s="11" t="s">
        <v>446</v>
      </c>
      <c r="F2160" s="11" t="s">
        <v>14</v>
      </c>
      <c r="G2160" s="11" t="s">
        <v>505</v>
      </c>
      <c r="H2160" s="11" t="s">
        <v>40</v>
      </c>
      <c r="I2160" s="12">
        <v>1</v>
      </c>
      <c r="J2160" s="12">
        <v>180</v>
      </c>
      <c r="K2160" s="12">
        <v>94.65</v>
      </c>
      <c r="L2160" s="12">
        <v>17037</v>
      </c>
      <c r="M2160" s="12">
        <v>-1548.6599999999999</v>
      </c>
      <c r="N2160" s="12">
        <v>0</v>
      </c>
      <c r="O2160" s="12">
        <v>2013.4845319999999</v>
      </c>
      <c r="P2160" s="12">
        <v>17501.824531999999</v>
      </c>
    </row>
    <row r="2161" spans="1:16" ht="14.5" x14ac:dyDescent="0.25">
      <c r="A2161" s="10">
        <v>46050</v>
      </c>
      <c r="B2161" s="2" t="str">
        <f t="shared" si="68"/>
        <v>Jan-2026</v>
      </c>
      <c r="C2161" s="2" t="str">
        <f t="shared" si="69"/>
        <v>Q4</v>
      </c>
      <c r="D2161" s="2" t="s">
        <v>28</v>
      </c>
      <c r="E2161" s="11" t="s">
        <v>446</v>
      </c>
      <c r="F2161" s="11" t="s">
        <v>14</v>
      </c>
      <c r="G2161" s="11" t="s">
        <v>503</v>
      </c>
      <c r="H2161" s="11" t="s">
        <v>45</v>
      </c>
      <c r="I2161" s="12">
        <v>1</v>
      </c>
      <c r="J2161" s="12">
        <v>180</v>
      </c>
      <c r="K2161" s="12">
        <v>64.23</v>
      </c>
      <c r="L2161" s="12">
        <v>11561.4</v>
      </c>
      <c r="M2161" s="12">
        <v>-1050.9299999999998</v>
      </c>
      <c r="N2161" s="12">
        <v>0</v>
      </c>
      <c r="O2161" s="12">
        <v>1366.3613250000001</v>
      </c>
      <c r="P2161" s="12">
        <v>11876.831324999999</v>
      </c>
    </row>
    <row r="2162" spans="1:16" ht="14.5" x14ac:dyDescent="0.25">
      <c r="A2162" s="10">
        <v>46050</v>
      </c>
      <c r="B2162" s="2" t="str">
        <f t="shared" si="68"/>
        <v>Jan-2026</v>
      </c>
      <c r="C2162" s="2" t="str">
        <f t="shared" si="69"/>
        <v>Q4</v>
      </c>
      <c r="D2162" s="2" t="s">
        <v>28</v>
      </c>
      <c r="E2162" s="11" t="s">
        <v>446</v>
      </c>
      <c r="F2162" s="11" t="s">
        <v>14</v>
      </c>
      <c r="G2162" s="11" t="s">
        <v>504</v>
      </c>
      <c r="H2162" s="11" t="s">
        <v>66</v>
      </c>
      <c r="I2162" s="12">
        <v>1</v>
      </c>
      <c r="J2162" s="12">
        <v>100</v>
      </c>
      <c r="K2162" s="12">
        <v>108.17</v>
      </c>
      <c r="L2162" s="12">
        <v>10817</v>
      </c>
      <c r="M2162" s="12">
        <v>-983.2700000000001</v>
      </c>
      <c r="N2162" s="12">
        <v>0</v>
      </c>
      <c r="O2162" s="12">
        <v>1278.3851110000001</v>
      </c>
      <c r="P2162" s="12">
        <v>11112.115110999999</v>
      </c>
    </row>
    <row r="2163" spans="1:16" ht="14.5" x14ac:dyDescent="0.25">
      <c r="A2163" s="10">
        <v>46050</v>
      </c>
      <c r="B2163" s="2" t="str">
        <f t="shared" si="68"/>
        <v>Jan-2026</v>
      </c>
      <c r="C2163" s="2" t="str">
        <f t="shared" si="69"/>
        <v>Q4</v>
      </c>
      <c r="D2163" s="2" t="s">
        <v>28</v>
      </c>
      <c r="E2163" s="11" t="s">
        <v>446</v>
      </c>
      <c r="F2163" s="11" t="s">
        <v>14</v>
      </c>
      <c r="G2163" s="11" t="s">
        <v>503</v>
      </c>
      <c r="H2163" s="11" t="s">
        <v>52</v>
      </c>
      <c r="I2163" s="12">
        <v>1</v>
      </c>
      <c r="J2163" s="12">
        <v>180</v>
      </c>
      <c r="K2163" s="12">
        <v>70.989999999999995</v>
      </c>
      <c r="L2163" s="12">
        <v>12778.2</v>
      </c>
      <c r="M2163" s="12">
        <v>-1161.54</v>
      </c>
      <c r="N2163" s="12">
        <v>0</v>
      </c>
      <c r="O2163" s="12">
        <v>1510.1660490000002</v>
      </c>
      <c r="P2163" s="12">
        <v>13126.826048999999</v>
      </c>
    </row>
    <row r="2164" spans="1:16" ht="14.5" x14ac:dyDescent="0.25">
      <c r="A2164" s="10">
        <v>46050</v>
      </c>
      <c r="B2164" s="2" t="str">
        <f t="shared" si="68"/>
        <v>Jan-2026</v>
      </c>
      <c r="C2164" s="2" t="str">
        <f t="shared" si="69"/>
        <v>Q4</v>
      </c>
      <c r="D2164" s="2" t="s">
        <v>28</v>
      </c>
      <c r="E2164" s="11" t="s">
        <v>446</v>
      </c>
      <c r="F2164" s="11" t="s">
        <v>14</v>
      </c>
      <c r="G2164" s="11" t="s">
        <v>503</v>
      </c>
      <c r="H2164" s="11" t="s">
        <v>63</v>
      </c>
      <c r="I2164" s="12">
        <v>1</v>
      </c>
      <c r="J2164" s="12">
        <v>80</v>
      </c>
      <c r="K2164" s="12">
        <v>185.92</v>
      </c>
      <c r="L2164" s="12">
        <v>14873.6</v>
      </c>
      <c r="M2164" s="12">
        <v>-1352.01</v>
      </c>
      <c r="N2164" s="12">
        <v>0</v>
      </c>
      <c r="O2164" s="12">
        <v>1757.80699</v>
      </c>
      <c r="P2164" s="12">
        <v>15279.396989999999</v>
      </c>
    </row>
    <row r="2165" spans="1:16" ht="14.5" x14ac:dyDescent="0.25">
      <c r="A2165" s="10">
        <v>46051</v>
      </c>
      <c r="B2165" s="2" t="str">
        <f t="shared" si="68"/>
        <v>Jan-2026</v>
      </c>
      <c r="C2165" s="2" t="str">
        <f t="shared" si="69"/>
        <v>Q4</v>
      </c>
      <c r="D2165" s="2" t="s">
        <v>28</v>
      </c>
      <c r="E2165" s="11" t="s">
        <v>447</v>
      </c>
      <c r="F2165" s="11" t="s">
        <v>38</v>
      </c>
      <c r="G2165" s="11" t="s">
        <v>504</v>
      </c>
      <c r="H2165" s="11" t="s">
        <v>66</v>
      </c>
      <c r="I2165" s="12">
        <v>0.02</v>
      </c>
      <c r="J2165" s="12">
        <v>2</v>
      </c>
      <c r="K2165" s="12">
        <v>108.17</v>
      </c>
      <c r="L2165" s="12">
        <v>216.34</v>
      </c>
      <c r="M2165" s="12">
        <v>-19.670000000000002</v>
      </c>
      <c r="N2165" s="12">
        <v>0</v>
      </c>
      <c r="O2165" s="12">
        <v>25.566976</v>
      </c>
      <c r="P2165" s="12">
        <v>222.236976</v>
      </c>
    </row>
    <row r="2166" spans="1:16" ht="14.5" x14ac:dyDescent="0.25">
      <c r="A2166" s="10">
        <v>46051</v>
      </c>
      <c r="B2166" s="2" t="str">
        <f t="shared" si="68"/>
        <v>Jan-2026</v>
      </c>
      <c r="C2166" s="2" t="str">
        <f t="shared" si="69"/>
        <v>Q4</v>
      </c>
      <c r="D2166" s="2" t="s">
        <v>28</v>
      </c>
      <c r="E2166" s="11" t="s">
        <v>447</v>
      </c>
      <c r="F2166" s="11" t="s">
        <v>38</v>
      </c>
      <c r="G2166" s="11" t="s">
        <v>507</v>
      </c>
      <c r="H2166" s="11" t="s">
        <v>60</v>
      </c>
      <c r="I2166" s="12">
        <v>0.03</v>
      </c>
      <c r="J2166" s="12">
        <v>2</v>
      </c>
      <c r="K2166" s="12">
        <v>98.03</v>
      </c>
      <c r="L2166" s="12">
        <v>196.06</v>
      </c>
      <c r="M2166" s="12">
        <v>-17.82</v>
      </c>
      <c r="N2166" s="12">
        <v>0</v>
      </c>
      <c r="O2166" s="12">
        <v>23.171088000000001</v>
      </c>
      <c r="P2166" s="12">
        <v>201.41108800000001</v>
      </c>
    </row>
    <row r="2167" spans="1:16" ht="14.5" x14ac:dyDescent="0.25">
      <c r="A2167" s="10">
        <v>46051</v>
      </c>
      <c r="B2167" s="2" t="str">
        <f t="shared" si="68"/>
        <v>Jan-2026</v>
      </c>
      <c r="C2167" s="2" t="str">
        <f t="shared" si="69"/>
        <v>Q4</v>
      </c>
      <c r="D2167" s="2" t="s">
        <v>28</v>
      </c>
      <c r="E2167" s="11" t="s">
        <v>447</v>
      </c>
      <c r="F2167" s="11" t="s">
        <v>38</v>
      </c>
      <c r="G2167" s="11" t="s">
        <v>503</v>
      </c>
      <c r="H2167" s="11" t="s">
        <v>48</v>
      </c>
      <c r="I2167" s="12">
        <v>0.01</v>
      </c>
      <c r="J2167" s="12">
        <v>1</v>
      </c>
      <c r="K2167" s="12">
        <v>135.21</v>
      </c>
      <c r="L2167" s="12">
        <v>135.21</v>
      </c>
      <c r="M2167" s="12">
        <v>-12.29</v>
      </c>
      <c r="N2167" s="12">
        <v>0</v>
      </c>
      <c r="O2167" s="12">
        <v>15.979521999999999</v>
      </c>
      <c r="P2167" s="12">
        <v>138.89952199999999</v>
      </c>
    </row>
    <row r="2168" spans="1:16" ht="14.5" x14ac:dyDescent="0.25">
      <c r="A2168" s="10">
        <v>46051</v>
      </c>
      <c r="B2168" s="2" t="str">
        <f t="shared" si="68"/>
        <v>Jan-2026</v>
      </c>
      <c r="C2168" s="2" t="str">
        <f t="shared" si="69"/>
        <v>Q4</v>
      </c>
      <c r="D2168" s="2" t="s">
        <v>28</v>
      </c>
      <c r="E2168" s="11" t="s">
        <v>447</v>
      </c>
      <c r="F2168" s="11" t="s">
        <v>38</v>
      </c>
      <c r="G2168" s="11" t="s">
        <v>504</v>
      </c>
      <c r="H2168" s="11" t="s">
        <v>69</v>
      </c>
      <c r="I2168" s="12">
        <v>0.02</v>
      </c>
      <c r="J2168" s="12">
        <v>2</v>
      </c>
      <c r="K2168" s="12">
        <v>162.26</v>
      </c>
      <c r="L2168" s="12">
        <v>324.52</v>
      </c>
      <c r="M2168" s="12">
        <v>-29.5</v>
      </c>
      <c r="N2168" s="12">
        <v>0</v>
      </c>
      <c r="O2168" s="12">
        <v>38.352414000000003</v>
      </c>
      <c r="P2168" s="12">
        <v>333.37241399999999</v>
      </c>
    </row>
    <row r="2169" spans="1:16" ht="14.5" x14ac:dyDescent="0.25">
      <c r="A2169" s="10">
        <v>46051</v>
      </c>
      <c r="B2169" s="2" t="str">
        <f t="shared" si="68"/>
        <v>Jan-2026</v>
      </c>
      <c r="C2169" s="2" t="str">
        <f t="shared" si="69"/>
        <v>Q4</v>
      </c>
      <c r="D2169" s="2" t="s">
        <v>28</v>
      </c>
      <c r="E2169" s="11" t="s">
        <v>448</v>
      </c>
      <c r="F2169" s="11" t="s">
        <v>337</v>
      </c>
      <c r="G2169" s="11" t="s">
        <v>503</v>
      </c>
      <c r="H2169" s="11" t="s">
        <v>42</v>
      </c>
      <c r="I2169" s="12">
        <v>0.5</v>
      </c>
      <c r="J2169" s="12">
        <v>60</v>
      </c>
      <c r="K2169" s="12">
        <v>148.72999999999999</v>
      </c>
      <c r="L2169" s="12">
        <v>8923.8000000000011</v>
      </c>
      <c r="M2169" s="12">
        <v>-811.17</v>
      </c>
      <c r="N2169" s="12">
        <v>0</v>
      </c>
      <c r="O2169" s="12">
        <v>1054.641768</v>
      </c>
      <c r="P2169" s="12">
        <v>9167.2717680000005</v>
      </c>
    </row>
    <row r="2170" spans="1:16" ht="14.5" x14ac:dyDescent="0.25">
      <c r="A2170" s="10">
        <v>46051</v>
      </c>
      <c r="B2170" s="2" t="str">
        <f t="shared" si="68"/>
        <v>Jan-2026</v>
      </c>
      <c r="C2170" s="2" t="str">
        <f t="shared" si="69"/>
        <v>Q4</v>
      </c>
      <c r="D2170" s="2" t="s">
        <v>28</v>
      </c>
      <c r="E2170" s="11" t="s">
        <v>448</v>
      </c>
      <c r="F2170" s="11" t="s">
        <v>337</v>
      </c>
      <c r="G2170" s="11" t="s">
        <v>503</v>
      </c>
      <c r="H2170" s="11" t="s">
        <v>177</v>
      </c>
      <c r="I2170" s="12">
        <v>0.5</v>
      </c>
      <c r="J2170" s="12">
        <v>60</v>
      </c>
      <c r="K2170" s="12">
        <v>94.66</v>
      </c>
      <c r="L2170" s="12">
        <v>5679.6</v>
      </c>
      <c r="M2170" s="12">
        <v>-516.28</v>
      </c>
      <c r="N2170" s="12">
        <v>0</v>
      </c>
      <c r="O2170" s="12">
        <v>671.23151600000006</v>
      </c>
      <c r="P2170" s="12">
        <v>5834.5515160000004</v>
      </c>
    </row>
    <row r="2171" spans="1:16" ht="14.5" x14ac:dyDescent="0.25">
      <c r="A2171" s="10">
        <v>46051</v>
      </c>
      <c r="B2171" s="2" t="str">
        <f t="shared" si="68"/>
        <v>Jan-2026</v>
      </c>
      <c r="C2171" s="2" t="str">
        <f t="shared" si="69"/>
        <v>Q4</v>
      </c>
      <c r="D2171" s="2" t="s">
        <v>28</v>
      </c>
      <c r="E2171" s="11" t="s">
        <v>448</v>
      </c>
      <c r="F2171" s="11" t="s">
        <v>337</v>
      </c>
      <c r="G2171" s="11" t="s">
        <v>503</v>
      </c>
      <c r="H2171" s="11" t="s">
        <v>175</v>
      </c>
      <c r="I2171" s="12">
        <v>0.25</v>
      </c>
      <c r="J2171" s="12">
        <v>30</v>
      </c>
      <c r="K2171" s="12">
        <v>77.75</v>
      </c>
      <c r="L2171" s="12">
        <v>2332.5</v>
      </c>
      <c r="M2171" s="12">
        <v>-212.02</v>
      </c>
      <c r="N2171" s="12">
        <v>0</v>
      </c>
      <c r="O2171" s="12">
        <v>275.66236500000002</v>
      </c>
      <c r="P2171" s="12">
        <v>2396.1423650000002</v>
      </c>
    </row>
    <row r="2172" spans="1:16" ht="14.5" x14ac:dyDescent="0.25">
      <c r="A2172" s="10">
        <v>46051</v>
      </c>
      <c r="B2172" s="2" t="str">
        <f t="shared" si="68"/>
        <v>Jan-2026</v>
      </c>
      <c r="C2172" s="2" t="str">
        <f t="shared" si="69"/>
        <v>Q4</v>
      </c>
      <c r="D2172" s="2" t="s">
        <v>28</v>
      </c>
      <c r="E2172" s="11" t="s">
        <v>448</v>
      </c>
      <c r="F2172" s="11" t="s">
        <v>337</v>
      </c>
      <c r="G2172" s="11" t="s">
        <v>505</v>
      </c>
      <c r="H2172" s="11" t="s">
        <v>167</v>
      </c>
      <c r="I2172" s="12">
        <v>0.17</v>
      </c>
      <c r="J2172" s="12">
        <v>30</v>
      </c>
      <c r="K2172" s="12">
        <v>91.27</v>
      </c>
      <c r="L2172" s="12">
        <v>2738.1</v>
      </c>
      <c r="M2172" s="12">
        <v>-248.89</v>
      </c>
      <c r="N2172" s="12">
        <v>0</v>
      </c>
      <c r="O2172" s="12">
        <v>323.59725900000001</v>
      </c>
      <c r="P2172" s="12">
        <v>2812.8072590000002</v>
      </c>
    </row>
    <row r="2173" spans="1:16" ht="14.5" x14ac:dyDescent="0.25">
      <c r="A2173" s="10">
        <v>46051</v>
      </c>
      <c r="B2173" s="2" t="str">
        <f t="shared" si="68"/>
        <v>Jan-2026</v>
      </c>
      <c r="C2173" s="2" t="str">
        <f t="shared" si="69"/>
        <v>Q4</v>
      </c>
      <c r="D2173" s="2" t="s">
        <v>28</v>
      </c>
      <c r="E2173" s="11" t="s">
        <v>448</v>
      </c>
      <c r="F2173" s="11" t="s">
        <v>337</v>
      </c>
      <c r="G2173" s="11" t="s">
        <v>503</v>
      </c>
      <c r="H2173" s="11" t="s">
        <v>48</v>
      </c>
      <c r="I2173" s="12">
        <v>0.22</v>
      </c>
      <c r="J2173" s="12">
        <v>40</v>
      </c>
      <c r="K2173" s="12">
        <v>135.21</v>
      </c>
      <c r="L2173" s="12">
        <v>5408.4</v>
      </c>
      <c r="M2173" s="12">
        <v>-491.62</v>
      </c>
      <c r="N2173" s="12">
        <v>0</v>
      </c>
      <c r="O2173" s="12">
        <v>639.18131999999991</v>
      </c>
      <c r="P2173" s="12">
        <v>5555.9613200000003</v>
      </c>
    </row>
    <row r="2174" spans="1:16" ht="14.5" x14ac:dyDescent="0.25">
      <c r="A2174" s="10">
        <v>46051</v>
      </c>
      <c r="B2174" s="2" t="str">
        <f t="shared" si="68"/>
        <v>Jan-2026</v>
      </c>
      <c r="C2174" s="2" t="str">
        <f t="shared" si="69"/>
        <v>Q4</v>
      </c>
      <c r="D2174" s="2" t="s">
        <v>28</v>
      </c>
      <c r="E2174" s="11" t="s">
        <v>448</v>
      </c>
      <c r="F2174" s="11" t="s">
        <v>337</v>
      </c>
      <c r="G2174" s="11" t="s">
        <v>503</v>
      </c>
      <c r="H2174" s="11" t="s">
        <v>45</v>
      </c>
      <c r="I2174" s="12">
        <v>1</v>
      </c>
      <c r="J2174" s="12">
        <v>180</v>
      </c>
      <c r="K2174" s="12">
        <v>64.23</v>
      </c>
      <c r="L2174" s="12">
        <v>11561.4</v>
      </c>
      <c r="M2174" s="12">
        <v>-1050.9299999999998</v>
      </c>
      <c r="N2174" s="12">
        <v>0</v>
      </c>
      <c r="O2174" s="12">
        <v>1366.3609290000002</v>
      </c>
      <c r="P2174" s="12">
        <v>11876.830929</v>
      </c>
    </row>
    <row r="2175" spans="1:16" ht="14.5" x14ac:dyDescent="0.25">
      <c r="A2175" s="10">
        <v>46051</v>
      </c>
      <c r="B2175" s="2" t="str">
        <f t="shared" si="68"/>
        <v>Jan-2026</v>
      </c>
      <c r="C2175" s="2" t="str">
        <f t="shared" si="69"/>
        <v>Q4</v>
      </c>
      <c r="D2175" s="2" t="s">
        <v>28</v>
      </c>
      <c r="E2175" s="11" t="s">
        <v>448</v>
      </c>
      <c r="F2175" s="11" t="s">
        <v>337</v>
      </c>
      <c r="G2175" s="11" t="s">
        <v>503</v>
      </c>
      <c r="H2175" s="11" t="s">
        <v>172</v>
      </c>
      <c r="I2175" s="12">
        <v>0.5</v>
      </c>
      <c r="J2175" s="12">
        <v>90</v>
      </c>
      <c r="K2175" s="12">
        <v>98.03</v>
      </c>
      <c r="L2175" s="12">
        <v>8822.7000000000007</v>
      </c>
      <c r="M2175" s="12">
        <v>-801.98</v>
      </c>
      <c r="N2175" s="12">
        <v>0</v>
      </c>
      <c r="O2175" s="12">
        <v>1042.6934690000001</v>
      </c>
      <c r="P2175" s="12">
        <v>9063.4134689999992</v>
      </c>
    </row>
    <row r="2176" spans="1:16" ht="14.5" x14ac:dyDescent="0.25">
      <c r="A2176" s="10">
        <v>46051</v>
      </c>
      <c r="B2176" s="2" t="str">
        <f t="shared" si="68"/>
        <v>Jan-2026</v>
      </c>
      <c r="C2176" s="2" t="str">
        <f t="shared" si="69"/>
        <v>Q4</v>
      </c>
      <c r="D2176" s="2" t="s">
        <v>28</v>
      </c>
      <c r="E2176" s="11" t="s">
        <v>448</v>
      </c>
      <c r="F2176" s="11" t="s">
        <v>337</v>
      </c>
      <c r="G2176" s="11" t="s">
        <v>503</v>
      </c>
      <c r="H2176" s="11" t="s">
        <v>51</v>
      </c>
      <c r="I2176" s="12">
        <v>0.5</v>
      </c>
      <c r="J2176" s="12">
        <v>90</v>
      </c>
      <c r="K2176" s="12">
        <v>64.23</v>
      </c>
      <c r="L2176" s="12">
        <v>5780.7</v>
      </c>
      <c r="M2176" s="12">
        <v>-525.47</v>
      </c>
      <c r="N2176" s="12">
        <v>0</v>
      </c>
      <c r="O2176" s="12">
        <v>683.17981399999996</v>
      </c>
      <c r="P2176" s="12">
        <v>5938.4098139999996</v>
      </c>
    </row>
    <row r="2177" spans="1:16" ht="14.5" x14ac:dyDescent="0.25">
      <c r="A2177" s="10">
        <v>46051</v>
      </c>
      <c r="B2177" s="2" t="str">
        <f t="shared" si="68"/>
        <v>Jan-2026</v>
      </c>
      <c r="C2177" s="2" t="str">
        <f t="shared" si="69"/>
        <v>Q4</v>
      </c>
      <c r="D2177" s="2" t="s">
        <v>28</v>
      </c>
      <c r="E2177" s="11" t="s">
        <v>448</v>
      </c>
      <c r="F2177" s="11" t="s">
        <v>337</v>
      </c>
      <c r="G2177" s="11" t="s">
        <v>503</v>
      </c>
      <c r="H2177" s="11" t="s">
        <v>190</v>
      </c>
      <c r="I2177" s="12">
        <v>0.22</v>
      </c>
      <c r="J2177" s="12">
        <v>40</v>
      </c>
      <c r="K2177" s="12">
        <v>81.13</v>
      </c>
      <c r="L2177" s="12">
        <v>3245.2</v>
      </c>
      <c r="M2177" s="12">
        <v>-294.99</v>
      </c>
      <c r="N2177" s="12">
        <v>0</v>
      </c>
      <c r="O2177" s="12">
        <v>383.52725199999998</v>
      </c>
      <c r="P2177" s="12">
        <v>3333.7372519999999</v>
      </c>
    </row>
    <row r="2178" spans="1:16" ht="14.5" x14ac:dyDescent="0.25">
      <c r="A2178" s="10">
        <v>46051</v>
      </c>
      <c r="B2178" s="2" t="str">
        <f t="shared" si="68"/>
        <v>Jan-2026</v>
      </c>
      <c r="C2178" s="2" t="str">
        <f t="shared" si="69"/>
        <v>Q4</v>
      </c>
      <c r="D2178" s="2" t="s">
        <v>28</v>
      </c>
      <c r="E2178" s="11" t="s">
        <v>448</v>
      </c>
      <c r="F2178" s="11" t="s">
        <v>337</v>
      </c>
      <c r="G2178" s="11" t="s">
        <v>503</v>
      </c>
      <c r="H2178" s="11" t="s">
        <v>166</v>
      </c>
      <c r="I2178" s="12">
        <v>0.5</v>
      </c>
      <c r="J2178" s="12">
        <v>60</v>
      </c>
      <c r="K2178" s="12">
        <v>64.23</v>
      </c>
      <c r="L2178" s="12">
        <v>3853.7999999999997</v>
      </c>
      <c r="M2178" s="12">
        <v>-350.31</v>
      </c>
      <c r="N2178" s="12">
        <v>0</v>
      </c>
      <c r="O2178" s="12">
        <v>455.453643</v>
      </c>
      <c r="P2178" s="12">
        <v>3958.9436430000001</v>
      </c>
    </row>
    <row r="2179" spans="1:16" ht="14.5" x14ac:dyDescent="0.25">
      <c r="A2179" s="10">
        <v>46051</v>
      </c>
      <c r="B2179" s="2" t="str">
        <f t="shared" si="68"/>
        <v>Jan-2026</v>
      </c>
      <c r="C2179" s="2" t="str">
        <f t="shared" si="69"/>
        <v>Q4</v>
      </c>
      <c r="D2179" s="2" t="s">
        <v>28</v>
      </c>
      <c r="E2179" s="11" t="s">
        <v>448</v>
      </c>
      <c r="F2179" s="11" t="s">
        <v>337</v>
      </c>
      <c r="G2179" s="11" t="s">
        <v>503</v>
      </c>
      <c r="H2179" s="11" t="s">
        <v>41</v>
      </c>
      <c r="I2179" s="12">
        <v>0.22</v>
      </c>
      <c r="J2179" s="12">
        <v>40</v>
      </c>
      <c r="K2179" s="12">
        <v>60.84</v>
      </c>
      <c r="L2179" s="12">
        <v>2433.6</v>
      </c>
      <c r="M2179" s="12">
        <v>-221.21</v>
      </c>
      <c r="N2179" s="12">
        <v>0</v>
      </c>
      <c r="O2179" s="12">
        <v>287.61066399999999</v>
      </c>
      <c r="P2179" s="12">
        <v>2500.0006640000001</v>
      </c>
    </row>
    <row r="2180" spans="1:16" ht="14.5" x14ac:dyDescent="0.25">
      <c r="A2180" s="10">
        <v>46052</v>
      </c>
      <c r="B2180" s="2" t="str">
        <f t="shared" si="68"/>
        <v>Jan-2026</v>
      </c>
      <c r="C2180" s="2" t="str">
        <f t="shared" si="69"/>
        <v>Q4</v>
      </c>
      <c r="D2180" s="2" t="s">
        <v>28</v>
      </c>
      <c r="E2180" s="11" t="s">
        <v>449</v>
      </c>
      <c r="F2180" s="11" t="s">
        <v>416</v>
      </c>
      <c r="G2180" s="11" t="s">
        <v>503</v>
      </c>
      <c r="H2180" s="11" t="s">
        <v>166</v>
      </c>
      <c r="I2180" s="12">
        <v>1</v>
      </c>
      <c r="J2180" s="12">
        <v>120</v>
      </c>
      <c r="K2180" s="12">
        <v>64.23</v>
      </c>
      <c r="L2180" s="12">
        <v>7707.5999999999995</v>
      </c>
      <c r="M2180" s="12">
        <v>-700.62</v>
      </c>
      <c r="N2180" s="12">
        <v>0</v>
      </c>
      <c r="O2180" s="12">
        <v>910.91000000000008</v>
      </c>
      <c r="P2180" s="12">
        <v>7917.89</v>
      </c>
    </row>
    <row r="2181" spans="1:16" ht="14.5" x14ac:dyDescent="0.25">
      <c r="A2181" s="10">
        <v>46052</v>
      </c>
      <c r="B2181" s="2" t="str">
        <f t="shared" si="68"/>
        <v>Jan-2026</v>
      </c>
      <c r="C2181" s="2" t="str">
        <f t="shared" si="69"/>
        <v>Q4</v>
      </c>
      <c r="D2181" s="2" t="s">
        <v>28</v>
      </c>
      <c r="E2181" s="11" t="s">
        <v>450</v>
      </c>
      <c r="F2181" s="11" t="s">
        <v>95</v>
      </c>
      <c r="G2181" s="11" t="s">
        <v>505</v>
      </c>
      <c r="H2181" s="11" t="s">
        <v>49</v>
      </c>
      <c r="I2181" s="12">
        <v>10</v>
      </c>
      <c r="J2181" s="12">
        <v>1800</v>
      </c>
      <c r="K2181" s="12">
        <v>182.53</v>
      </c>
      <c r="L2181" s="12">
        <v>328554</v>
      </c>
      <c r="M2181" s="12">
        <v>-29865.56</v>
      </c>
      <c r="N2181" s="12">
        <v>0</v>
      </c>
      <c r="O2181" s="12">
        <v>38829.497553999994</v>
      </c>
      <c r="P2181" s="12">
        <v>337517.937554</v>
      </c>
    </row>
    <row r="2182" spans="1:16" ht="14.5" x14ac:dyDescent="0.25">
      <c r="A2182" s="10">
        <v>46052</v>
      </c>
      <c r="B2182" s="2" t="str">
        <f t="shared" si="68"/>
        <v>Jan-2026</v>
      </c>
      <c r="C2182" s="2" t="str">
        <f t="shared" si="69"/>
        <v>Q4</v>
      </c>
      <c r="D2182" s="2" t="s">
        <v>28</v>
      </c>
      <c r="E2182" s="11" t="s">
        <v>450</v>
      </c>
      <c r="F2182" s="11" t="s">
        <v>95</v>
      </c>
      <c r="G2182" s="11" t="s">
        <v>503</v>
      </c>
      <c r="H2182" s="11" t="s">
        <v>44</v>
      </c>
      <c r="I2182" s="12">
        <v>1</v>
      </c>
      <c r="J2182" s="12">
        <v>180</v>
      </c>
      <c r="K2182" s="12">
        <v>155.49</v>
      </c>
      <c r="L2182" s="12">
        <v>27988.2</v>
      </c>
      <c r="M2182" s="12">
        <v>-2544.13</v>
      </c>
      <c r="N2182" s="12">
        <v>0</v>
      </c>
      <c r="O2182" s="12">
        <v>3307.7291300000002</v>
      </c>
      <c r="P2182" s="12">
        <v>28751.799129999999</v>
      </c>
    </row>
    <row r="2183" spans="1:16" ht="14.5" x14ac:dyDescent="0.25">
      <c r="A2183" s="10">
        <v>46052</v>
      </c>
      <c r="B2183" s="2" t="str">
        <f t="shared" si="68"/>
        <v>Jan-2026</v>
      </c>
      <c r="C2183" s="2" t="str">
        <f t="shared" si="69"/>
        <v>Q4</v>
      </c>
      <c r="D2183" s="2" t="s">
        <v>28</v>
      </c>
      <c r="E2183" s="11" t="s">
        <v>450</v>
      </c>
      <c r="F2183" s="11" t="s">
        <v>95</v>
      </c>
      <c r="G2183" s="11" t="s">
        <v>503</v>
      </c>
      <c r="H2183" s="11" t="s">
        <v>46</v>
      </c>
      <c r="I2183" s="12">
        <v>1</v>
      </c>
      <c r="J2183" s="12">
        <v>120</v>
      </c>
      <c r="K2183" s="12">
        <v>121.69</v>
      </c>
      <c r="L2183" s="12">
        <v>14602.800000000001</v>
      </c>
      <c r="M2183" s="12">
        <v>-1327.39</v>
      </c>
      <c r="N2183" s="12">
        <v>0</v>
      </c>
      <c r="O2183" s="12">
        <v>1725.803316</v>
      </c>
      <c r="P2183" s="12">
        <v>15001.213315999999</v>
      </c>
    </row>
    <row r="2184" spans="1:16" ht="14.5" x14ac:dyDescent="0.25">
      <c r="A2184" s="10">
        <v>46052</v>
      </c>
      <c r="B2184" s="2" t="str">
        <f t="shared" si="68"/>
        <v>Jan-2026</v>
      </c>
      <c r="C2184" s="2" t="str">
        <f t="shared" si="69"/>
        <v>Q4</v>
      </c>
      <c r="D2184" s="2" t="s">
        <v>28</v>
      </c>
      <c r="E2184" s="11" t="s">
        <v>451</v>
      </c>
      <c r="F2184" s="11" t="s">
        <v>15</v>
      </c>
      <c r="G2184" s="11" t="s">
        <v>503</v>
      </c>
      <c r="H2184" s="11" t="s">
        <v>42</v>
      </c>
      <c r="I2184" s="12">
        <v>1</v>
      </c>
      <c r="J2184" s="12">
        <v>120</v>
      </c>
      <c r="K2184" s="12">
        <v>148.72999999999999</v>
      </c>
      <c r="L2184" s="12">
        <v>17847.600000000002</v>
      </c>
      <c r="M2184" s="12">
        <v>-1622.3500000000001</v>
      </c>
      <c r="N2184" s="12">
        <v>0</v>
      </c>
      <c r="O2184" s="12">
        <v>2109.2823309999999</v>
      </c>
      <c r="P2184" s="12">
        <v>18334.532330999999</v>
      </c>
    </row>
    <row r="2185" spans="1:16" ht="14.5" x14ac:dyDescent="0.25">
      <c r="A2185" s="10">
        <v>46052</v>
      </c>
      <c r="B2185" s="2" t="str">
        <f t="shared" si="68"/>
        <v>Jan-2026</v>
      </c>
      <c r="C2185" s="2" t="str">
        <f t="shared" si="69"/>
        <v>Q4</v>
      </c>
      <c r="D2185" s="2" t="s">
        <v>28</v>
      </c>
      <c r="E2185" s="11" t="s">
        <v>451</v>
      </c>
      <c r="F2185" s="11" t="s">
        <v>15</v>
      </c>
      <c r="G2185" s="11" t="s">
        <v>503</v>
      </c>
      <c r="H2185" s="11" t="s">
        <v>51</v>
      </c>
      <c r="I2185" s="12">
        <v>1</v>
      </c>
      <c r="J2185" s="12">
        <v>180</v>
      </c>
      <c r="K2185" s="12">
        <v>62.21</v>
      </c>
      <c r="L2185" s="12">
        <v>11197.8</v>
      </c>
      <c r="M2185" s="12">
        <v>-1017.88</v>
      </c>
      <c r="N2185" s="12">
        <v>0</v>
      </c>
      <c r="O2185" s="12">
        <v>1323.389494</v>
      </c>
      <c r="P2185" s="12">
        <v>11503.309493999999</v>
      </c>
    </row>
    <row r="2186" spans="1:16" ht="14.5" x14ac:dyDescent="0.25">
      <c r="A2186" s="10">
        <v>46052</v>
      </c>
      <c r="B2186" s="2" t="str">
        <f t="shared" si="68"/>
        <v>Jan-2026</v>
      </c>
      <c r="C2186" s="2" t="str">
        <f t="shared" si="69"/>
        <v>Q4</v>
      </c>
      <c r="D2186" s="2" t="s">
        <v>28</v>
      </c>
      <c r="E2186" s="11" t="s">
        <v>451</v>
      </c>
      <c r="F2186" s="11" t="s">
        <v>15</v>
      </c>
      <c r="G2186" s="11" t="s">
        <v>503</v>
      </c>
      <c r="H2186" s="11" t="s">
        <v>47</v>
      </c>
      <c r="I2186" s="12">
        <v>0.5</v>
      </c>
      <c r="J2186" s="12">
        <v>60</v>
      </c>
      <c r="K2186" s="12">
        <v>118.3</v>
      </c>
      <c r="L2186" s="12">
        <v>7097.9999999999991</v>
      </c>
      <c r="M2186" s="12">
        <v>-645.20999999999992</v>
      </c>
      <c r="N2186" s="12">
        <v>0</v>
      </c>
      <c r="O2186" s="12">
        <v>838.86263300000007</v>
      </c>
      <c r="P2186" s="12">
        <v>7291.6526329999997</v>
      </c>
    </row>
    <row r="2187" spans="1:16" ht="14.5" x14ac:dyDescent="0.25">
      <c r="A2187" s="10">
        <v>46052</v>
      </c>
      <c r="B2187" s="2" t="str">
        <f t="shared" si="68"/>
        <v>Jan-2026</v>
      </c>
      <c r="C2187" s="2" t="str">
        <f t="shared" si="69"/>
        <v>Q4</v>
      </c>
      <c r="D2187" s="2" t="s">
        <v>28</v>
      </c>
      <c r="E2187" s="11" t="s">
        <v>451</v>
      </c>
      <c r="F2187" s="11" t="s">
        <v>15</v>
      </c>
      <c r="G2187" s="11" t="s">
        <v>505</v>
      </c>
      <c r="H2187" s="11" t="s">
        <v>49</v>
      </c>
      <c r="I2187" s="12">
        <v>0.5</v>
      </c>
      <c r="J2187" s="12">
        <v>90</v>
      </c>
      <c r="K2187" s="12">
        <v>158.87</v>
      </c>
      <c r="L2187" s="12">
        <v>14298.3</v>
      </c>
      <c r="M2187" s="12">
        <v>-1299.72</v>
      </c>
      <c r="N2187" s="12">
        <v>0</v>
      </c>
      <c r="O2187" s="12">
        <v>1689.815265</v>
      </c>
      <c r="P2187" s="12">
        <v>14688.395264999999</v>
      </c>
    </row>
    <row r="2188" spans="1:16" ht="14.5" x14ac:dyDescent="0.25">
      <c r="A2188" s="10">
        <v>46052</v>
      </c>
      <c r="B2188" s="2" t="str">
        <f t="shared" si="68"/>
        <v>Jan-2026</v>
      </c>
      <c r="C2188" s="2" t="str">
        <f t="shared" si="69"/>
        <v>Q4</v>
      </c>
      <c r="D2188" s="2" t="s">
        <v>28</v>
      </c>
      <c r="E2188" s="11" t="s">
        <v>451</v>
      </c>
      <c r="F2188" s="11" t="s">
        <v>15</v>
      </c>
      <c r="G2188" s="11" t="s">
        <v>503</v>
      </c>
      <c r="H2188" s="11" t="s">
        <v>52</v>
      </c>
      <c r="I2188" s="12">
        <v>1</v>
      </c>
      <c r="J2188" s="12">
        <v>180</v>
      </c>
      <c r="K2188" s="12">
        <v>70.989999999999995</v>
      </c>
      <c r="L2188" s="12">
        <v>12778.2</v>
      </c>
      <c r="M2188" s="12">
        <v>-1161.54</v>
      </c>
      <c r="N2188" s="12">
        <v>0</v>
      </c>
      <c r="O2188" s="12">
        <v>1510.165679</v>
      </c>
      <c r="P2188" s="12">
        <v>13126.825679</v>
      </c>
    </row>
    <row r="2189" spans="1:16" ht="14.5" x14ac:dyDescent="0.25">
      <c r="A2189" s="10">
        <v>46052</v>
      </c>
      <c r="B2189" s="2" t="str">
        <f t="shared" si="68"/>
        <v>Jan-2026</v>
      </c>
      <c r="C2189" s="2" t="str">
        <f t="shared" si="69"/>
        <v>Q4</v>
      </c>
      <c r="D2189" s="2" t="s">
        <v>28</v>
      </c>
      <c r="E2189" s="11" t="s">
        <v>451</v>
      </c>
      <c r="F2189" s="11" t="s">
        <v>15</v>
      </c>
      <c r="G2189" s="11" t="s">
        <v>503</v>
      </c>
      <c r="H2189" s="11" t="s">
        <v>57</v>
      </c>
      <c r="I2189" s="12">
        <v>0.5</v>
      </c>
      <c r="J2189" s="12">
        <v>90</v>
      </c>
      <c r="K2189" s="12">
        <v>118.3</v>
      </c>
      <c r="L2189" s="12">
        <v>10647</v>
      </c>
      <c r="M2189" s="12">
        <v>-967.81</v>
      </c>
      <c r="N2189" s="12">
        <v>0</v>
      </c>
      <c r="O2189" s="12">
        <v>1258.2945990000001</v>
      </c>
      <c r="P2189" s="12">
        <v>10937.484598999999</v>
      </c>
    </row>
    <row r="2190" spans="1:16" ht="14.5" x14ac:dyDescent="0.25">
      <c r="A2190" s="10">
        <v>46052</v>
      </c>
      <c r="B2190" s="2" t="str">
        <f t="shared" si="68"/>
        <v>Jan-2026</v>
      </c>
      <c r="C2190" s="2" t="str">
        <f t="shared" si="69"/>
        <v>Q4</v>
      </c>
      <c r="D2190" s="2" t="s">
        <v>28</v>
      </c>
      <c r="E2190" s="11" t="s">
        <v>452</v>
      </c>
      <c r="F2190" s="11" t="s">
        <v>15</v>
      </c>
      <c r="G2190" s="11" t="s">
        <v>504</v>
      </c>
      <c r="H2190" s="11" t="s">
        <v>53</v>
      </c>
      <c r="I2190" s="12">
        <v>1</v>
      </c>
      <c r="J2190" s="12">
        <v>100</v>
      </c>
      <c r="K2190" s="12">
        <v>137.5</v>
      </c>
      <c r="L2190" s="12">
        <v>13750</v>
      </c>
      <c r="M2190" s="12">
        <v>-1249.8800000000001</v>
      </c>
      <c r="N2190" s="12">
        <v>0</v>
      </c>
      <c r="O2190" s="12">
        <v>0</v>
      </c>
      <c r="P2190" s="12">
        <v>12500.12</v>
      </c>
    </row>
    <row r="2191" spans="1:16" ht="14.5" x14ac:dyDescent="0.25">
      <c r="A2191" s="10">
        <v>46052</v>
      </c>
      <c r="B2191" s="2" t="str">
        <f t="shared" si="68"/>
        <v>Jan-2026</v>
      </c>
      <c r="C2191" s="2" t="str">
        <f t="shared" si="69"/>
        <v>Q4</v>
      </c>
      <c r="D2191" s="2" t="s">
        <v>28</v>
      </c>
      <c r="E2191" s="11" t="s">
        <v>452</v>
      </c>
      <c r="F2191" s="11" t="s">
        <v>15</v>
      </c>
      <c r="G2191" s="11" t="s">
        <v>504</v>
      </c>
      <c r="H2191" s="11" t="s">
        <v>61</v>
      </c>
      <c r="I2191" s="12">
        <v>1</v>
      </c>
      <c r="J2191" s="12">
        <v>40</v>
      </c>
      <c r="K2191" s="12">
        <v>336.13</v>
      </c>
      <c r="L2191" s="12">
        <v>13445.199999999999</v>
      </c>
      <c r="M2191" s="12">
        <v>-1222.1699999999998</v>
      </c>
      <c r="N2191" s="12">
        <v>0</v>
      </c>
      <c r="O2191" s="12">
        <v>0</v>
      </c>
      <c r="P2191" s="12">
        <v>12223.03</v>
      </c>
    </row>
    <row r="2192" spans="1:16" ht="14.5" hidden="1" x14ac:dyDescent="0.25">
      <c r="A2192" s="17">
        <v>46055</v>
      </c>
      <c r="B2192" s="2" t="str">
        <f t="shared" ref="B2192:B2255" si="70">+TEXT(A2192,"MMM-yyy")</f>
        <v>Feb-2026</v>
      </c>
      <c r="C2192" s="2" t="str">
        <f t="shared" ref="C2192:C2255" si="71">"Q" &amp; CHOOSE(MONTH(A2192),4,4,4,1,1,1,2,2,2,3,3,3)</f>
        <v>Q4</v>
      </c>
      <c r="D2192" s="2" t="s">
        <v>28</v>
      </c>
      <c r="E2192" s="2" t="s">
        <v>459</v>
      </c>
      <c r="F2192" s="2" t="s">
        <v>460</v>
      </c>
      <c r="G2192" s="11" t="s">
        <v>503</v>
      </c>
      <c r="H2192" s="2" t="s">
        <v>42</v>
      </c>
      <c r="I2192" s="16">
        <v>0.5</v>
      </c>
      <c r="J2192" s="16">
        <v>60</v>
      </c>
      <c r="K2192" s="16">
        <v>148.72999999999999</v>
      </c>
      <c r="L2192" s="16">
        <v>8923.8000000000011</v>
      </c>
      <c r="M2192" s="16">
        <v>-811.17</v>
      </c>
      <c r="N2192" s="16">
        <v>0</v>
      </c>
      <c r="O2192" s="16">
        <v>1054.6420390000001</v>
      </c>
      <c r="P2192" s="16">
        <v>9167.2720389999995</v>
      </c>
    </row>
    <row r="2193" spans="1:16" ht="14.5" hidden="1" x14ac:dyDescent="0.25">
      <c r="A2193" s="17">
        <v>46055</v>
      </c>
      <c r="B2193" s="2" t="str">
        <f t="shared" si="70"/>
        <v>Feb-2026</v>
      </c>
      <c r="C2193" s="2" t="str">
        <f t="shared" si="71"/>
        <v>Q4</v>
      </c>
      <c r="D2193" s="2" t="s">
        <v>28</v>
      </c>
      <c r="E2193" s="2" t="s">
        <v>459</v>
      </c>
      <c r="F2193" s="2" t="s">
        <v>460</v>
      </c>
      <c r="G2193" s="11" t="s">
        <v>503</v>
      </c>
      <c r="H2193" s="2" t="s">
        <v>44</v>
      </c>
      <c r="I2193" s="16">
        <v>0.5</v>
      </c>
      <c r="J2193" s="16">
        <v>90</v>
      </c>
      <c r="K2193" s="16">
        <v>155.49</v>
      </c>
      <c r="L2193" s="16">
        <v>13994.1</v>
      </c>
      <c r="M2193" s="16">
        <v>-1272.0600000000002</v>
      </c>
      <c r="N2193" s="16">
        <v>0</v>
      </c>
      <c r="O2193" s="16">
        <v>1653.865417</v>
      </c>
      <c r="P2193" s="16">
        <v>14375.905417</v>
      </c>
    </row>
    <row r="2194" spans="1:16" ht="14.5" hidden="1" x14ac:dyDescent="0.25">
      <c r="A2194" s="17">
        <v>46055</v>
      </c>
      <c r="B2194" s="2" t="str">
        <f t="shared" si="70"/>
        <v>Feb-2026</v>
      </c>
      <c r="C2194" s="2" t="str">
        <f t="shared" si="71"/>
        <v>Q4</v>
      </c>
      <c r="D2194" s="2" t="s">
        <v>28</v>
      </c>
      <c r="E2194" s="2" t="s">
        <v>459</v>
      </c>
      <c r="F2194" s="2" t="s">
        <v>460</v>
      </c>
      <c r="G2194" s="11" t="s">
        <v>505</v>
      </c>
      <c r="H2194" s="2" t="s">
        <v>49</v>
      </c>
      <c r="I2194" s="16">
        <v>1</v>
      </c>
      <c r="J2194" s="16">
        <v>180</v>
      </c>
      <c r="K2194" s="16">
        <v>158.87</v>
      </c>
      <c r="L2194" s="16">
        <v>28596.6</v>
      </c>
      <c r="M2194" s="16">
        <v>-2599.4300000000003</v>
      </c>
      <c r="N2194" s="16">
        <v>0</v>
      </c>
      <c r="O2194" s="16">
        <v>3379.6325440000001</v>
      </c>
      <c r="P2194" s="16">
        <v>29376.802543999998</v>
      </c>
    </row>
    <row r="2195" spans="1:16" ht="14.5" hidden="1" x14ac:dyDescent="0.25">
      <c r="A2195" s="17">
        <v>46055</v>
      </c>
      <c r="B2195" s="2" t="str">
        <f t="shared" si="70"/>
        <v>Feb-2026</v>
      </c>
      <c r="C2195" s="2" t="str">
        <f t="shared" si="71"/>
        <v>Q4</v>
      </c>
      <c r="D2195" s="2" t="s">
        <v>28</v>
      </c>
      <c r="E2195" s="2" t="s">
        <v>461</v>
      </c>
      <c r="F2195" s="2" t="s">
        <v>104</v>
      </c>
      <c r="G2195" s="11" t="s">
        <v>506</v>
      </c>
      <c r="H2195" s="2" t="s">
        <v>39</v>
      </c>
      <c r="I2195" s="16">
        <v>-0.15</v>
      </c>
      <c r="J2195" s="16">
        <v>-11</v>
      </c>
      <c r="K2195" s="16">
        <v>138.05000000000001</v>
      </c>
      <c r="L2195" s="16">
        <v>-1518.55</v>
      </c>
      <c r="M2195" s="16">
        <v>0</v>
      </c>
      <c r="N2195" s="16">
        <v>0</v>
      </c>
      <c r="O2195" s="16">
        <v>-197.41</v>
      </c>
      <c r="P2195" s="16">
        <v>-1715.96</v>
      </c>
    </row>
    <row r="2196" spans="1:16" ht="14.5" hidden="1" x14ac:dyDescent="0.25">
      <c r="A2196" s="17">
        <v>46056</v>
      </c>
      <c r="B2196" s="2" t="str">
        <f t="shared" si="70"/>
        <v>Feb-2026</v>
      </c>
      <c r="C2196" s="2" t="str">
        <f t="shared" si="71"/>
        <v>Q4</v>
      </c>
      <c r="D2196" s="2" t="s">
        <v>28</v>
      </c>
      <c r="E2196" s="2" t="s">
        <v>462</v>
      </c>
      <c r="F2196" s="2" t="s">
        <v>416</v>
      </c>
      <c r="G2196" s="11" t="s">
        <v>503</v>
      </c>
      <c r="H2196" s="2" t="s">
        <v>45</v>
      </c>
      <c r="I2196" s="16">
        <v>1</v>
      </c>
      <c r="J2196" s="16">
        <v>180</v>
      </c>
      <c r="K2196" s="16">
        <v>64.23</v>
      </c>
      <c r="L2196" s="16">
        <v>11561.4</v>
      </c>
      <c r="M2196" s="16">
        <v>-1050.9299999999998</v>
      </c>
      <c r="N2196" s="16">
        <v>0</v>
      </c>
      <c r="O2196" s="16">
        <v>1366.362214</v>
      </c>
      <c r="P2196" s="16">
        <v>11876.832214</v>
      </c>
    </row>
    <row r="2197" spans="1:16" ht="14.5" hidden="1" x14ac:dyDescent="0.25">
      <c r="A2197" s="17">
        <v>46056</v>
      </c>
      <c r="B2197" s="2" t="str">
        <f t="shared" si="70"/>
        <v>Feb-2026</v>
      </c>
      <c r="C2197" s="2" t="str">
        <f t="shared" si="71"/>
        <v>Q4</v>
      </c>
      <c r="D2197" s="2" t="s">
        <v>28</v>
      </c>
      <c r="E2197" s="2" t="s">
        <v>462</v>
      </c>
      <c r="F2197" s="2" t="s">
        <v>416</v>
      </c>
      <c r="G2197" s="11" t="s">
        <v>503</v>
      </c>
      <c r="H2197" s="2" t="s">
        <v>51</v>
      </c>
      <c r="I2197" s="16">
        <v>1</v>
      </c>
      <c r="J2197" s="16">
        <v>180</v>
      </c>
      <c r="K2197" s="16">
        <v>64.23</v>
      </c>
      <c r="L2197" s="16">
        <v>11561.4</v>
      </c>
      <c r="M2197" s="16">
        <v>-1050.9299999999998</v>
      </c>
      <c r="N2197" s="16">
        <v>0</v>
      </c>
      <c r="O2197" s="16">
        <v>1366.362214</v>
      </c>
      <c r="P2197" s="16">
        <v>11876.832214</v>
      </c>
    </row>
    <row r="2198" spans="1:16" ht="14.5" hidden="1" x14ac:dyDescent="0.25">
      <c r="A2198" s="17">
        <v>46056</v>
      </c>
      <c r="B2198" s="2" t="str">
        <f t="shared" si="70"/>
        <v>Feb-2026</v>
      </c>
      <c r="C2198" s="2" t="str">
        <f t="shared" si="71"/>
        <v>Q4</v>
      </c>
      <c r="D2198" s="2" t="s">
        <v>28</v>
      </c>
      <c r="E2198" s="2" t="s">
        <v>462</v>
      </c>
      <c r="F2198" s="2" t="s">
        <v>416</v>
      </c>
      <c r="G2198" s="11" t="s">
        <v>505</v>
      </c>
      <c r="H2198" s="2" t="s">
        <v>168</v>
      </c>
      <c r="I2198" s="16">
        <v>1</v>
      </c>
      <c r="J2198" s="16">
        <v>80</v>
      </c>
      <c r="K2198" s="16">
        <v>229.86</v>
      </c>
      <c r="L2198" s="16">
        <v>18388.8</v>
      </c>
      <c r="M2198" s="16">
        <v>-1671.54</v>
      </c>
      <c r="N2198" s="16">
        <v>0</v>
      </c>
      <c r="O2198" s="16">
        <v>2173.2455719999998</v>
      </c>
      <c r="P2198" s="16">
        <v>18890.505571999998</v>
      </c>
    </row>
    <row r="2199" spans="1:16" ht="14.5" hidden="1" x14ac:dyDescent="0.25">
      <c r="A2199" s="17">
        <v>46056</v>
      </c>
      <c r="B2199" s="2" t="str">
        <f t="shared" si="70"/>
        <v>Feb-2026</v>
      </c>
      <c r="C2199" s="2" t="str">
        <f t="shared" si="71"/>
        <v>Q4</v>
      </c>
      <c r="D2199" s="2" t="s">
        <v>28</v>
      </c>
      <c r="E2199" s="2" t="s">
        <v>463</v>
      </c>
      <c r="F2199" s="2" t="s">
        <v>19</v>
      </c>
      <c r="G2199" s="11" t="s">
        <v>503</v>
      </c>
      <c r="H2199" s="2" t="s">
        <v>45</v>
      </c>
      <c r="I2199" s="16">
        <v>-0.92</v>
      </c>
      <c r="J2199" s="16">
        <v>-165</v>
      </c>
      <c r="K2199" s="16">
        <v>64.23</v>
      </c>
      <c r="L2199" s="16">
        <v>-10597.16</v>
      </c>
      <c r="M2199" s="16">
        <v>963.28</v>
      </c>
      <c r="N2199" s="16">
        <v>0</v>
      </c>
      <c r="O2199" s="16">
        <v>-1252.404135</v>
      </c>
      <c r="P2199" s="16">
        <v>-10886.284135</v>
      </c>
    </row>
    <row r="2200" spans="1:16" ht="14.5" hidden="1" x14ac:dyDescent="0.25">
      <c r="A2200" s="17">
        <v>46056</v>
      </c>
      <c r="B2200" s="2" t="str">
        <f t="shared" si="70"/>
        <v>Feb-2026</v>
      </c>
      <c r="C2200" s="2" t="str">
        <f t="shared" si="71"/>
        <v>Q4</v>
      </c>
      <c r="D2200" s="2" t="s">
        <v>28</v>
      </c>
      <c r="E2200" s="2" t="s">
        <v>463</v>
      </c>
      <c r="F2200" s="2" t="s">
        <v>19</v>
      </c>
      <c r="G2200" s="11" t="s">
        <v>505</v>
      </c>
      <c r="H2200" s="2" t="s">
        <v>40</v>
      </c>
      <c r="I2200" s="16">
        <v>-0.82</v>
      </c>
      <c r="J2200" s="16">
        <v>-148</v>
      </c>
      <c r="K2200" s="16">
        <v>94.65</v>
      </c>
      <c r="L2200" s="16">
        <v>-14007.85</v>
      </c>
      <c r="M2200" s="16">
        <v>1273.3100000000002</v>
      </c>
      <c r="N2200" s="16">
        <v>0</v>
      </c>
      <c r="O2200" s="16">
        <v>-1655.4898499999999</v>
      </c>
      <c r="P2200" s="16">
        <v>-14390.029850000001</v>
      </c>
    </row>
    <row r="2201" spans="1:16" ht="14.5" hidden="1" x14ac:dyDescent="0.25">
      <c r="A2201" s="17">
        <v>46056</v>
      </c>
      <c r="B2201" s="2" t="str">
        <f t="shared" si="70"/>
        <v>Feb-2026</v>
      </c>
      <c r="C2201" s="2" t="str">
        <f t="shared" si="71"/>
        <v>Q4</v>
      </c>
      <c r="D2201" s="2" t="s">
        <v>28</v>
      </c>
      <c r="E2201" s="2" t="s">
        <v>463</v>
      </c>
      <c r="F2201" s="2" t="s">
        <v>19</v>
      </c>
      <c r="G2201" s="11" t="s">
        <v>503</v>
      </c>
      <c r="H2201" s="2" t="s">
        <v>59</v>
      </c>
      <c r="I2201" s="16">
        <v>-0.92</v>
      </c>
      <c r="J2201" s="16">
        <v>-166</v>
      </c>
      <c r="K2201" s="16">
        <v>64.23</v>
      </c>
      <c r="L2201" s="16">
        <v>-10661.380000000001</v>
      </c>
      <c r="M2201" s="16">
        <v>969.12</v>
      </c>
      <c r="N2201" s="16">
        <v>0</v>
      </c>
      <c r="O2201" s="16">
        <v>-1259.9935329999998</v>
      </c>
      <c r="P2201" s="16">
        <v>-10952.253532999999</v>
      </c>
    </row>
    <row r="2202" spans="1:16" ht="14.5" hidden="1" x14ac:dyDescent="0.25">
      <c r="A2202" s="17">
        <v>46056</v>
      </c>
      <c r="B2202" s="2" t="str">
        <f t="shared" si="70"/>
        <v>Feb-2026</v>
      </c>
      <c r="C2202" s="2" t="str">
        <f t="shared" si="71"/>
        <v>Q4</v>
      </c>
      <c r="D2202" s="2" t="s">
        <v>28</v>
      </c>
      <c r="E2202" s="2" t="s">
        <v>463</v>
      </c>
      <c r="F2202" s="2" t="s">
        <v>19</v>
      </c>
      <c r="G2202" s="11" t="s">
        <v>503</v>
      </c>
      <c r="H2202" s="2" t="s">
        <v>51</v>
      </c>
      <c r="I2202" s="16">
        <v>-0.88</v>
      </c>
      <c r="J2202" s="16">
        <v>-159</v>
      </c>
      <c r="K2202" s="16">
        <v>64.23</v>
      </c>
      <c r="L2202" s="16">
        <v>-10211.800000000001</v>
      </c>
      <c r="M2202" s="16">
        <v>928.24999999999989</v>
      </c>
      <c r="N2202" s="16">
        <v>0</v>
      </c>
      <c r="O2202" s="16">
        <v>-1206.8612450000001</v>
      </c>
      <c r="P2202" s="16">
        <v>-10490.411244999999</v>
      </c>
    </row>
    <row r="2203" spans="1:16" ht="14.5" hidden="1" x14ac:dyDescent="0.25">
      <c r="A2203" s="17">
        <v>46056</v>
      </c>
      <c r="B2203" s="2" t="str">
        <f t="shared" si="70"/>
        <v>Feb-2026</v>
      </c>
      <c r="C2203" s="2" t="str">
        <f t="shared" si="71"/>
        <v>Q4</v>
      </c>
      <c r="D2203" s="2" t="s">
        <v>28</v>
      </c>
      <c r="E2203" s="2" t="s">
        <v>463</v>
      </c>
      <c r="F2203" s="2" t="s">
        <v>19</v>
      </c>
      <c r="G2203" s="11" t="s">
        <v>503</v>
      </c>
      <c r="H2203" s="2" t="s">
        <v>166</v>
      </c>
      <c r="I2203" s="16">
        <v>-0.98</v>
      </c>
      <c r="J2203" s="16">
        <v>-118</v>
      </c>
      <c r="K2203" s="16">
        <v>64.23</v>
      </c>
      <c r="L2203" s="16">
        <v>-7578.57</v>
      </c>
      <c r="M2203" s="16">
        <v>688.89</v>
      </c>
      <c r="N2203" s="16">
        <v>0</v>
      </c>
      <c r="O2203" s="16">
        <v>-895.65821100000005</v>
      </c>
      <c r="P2203" s="16">
        <v>-7785.3382110000002</v>
      </c>
    </row>
    <row r="2204" spans="1:16" ht="14.5" hidden="1" x14ac:dyDescent="0.25">
      <c r="A2204" s="17">
        <v>46056</v>
      </c>
      <c r="B2204" s="2" t="str">
        <f t="shared" si="70"/>
        <v>Feb-2026</v>
      </c>
      <c r="C2204" s="2" t="str">
        <f t="shared" si="71"/>
        <v>Q4</v>
      </c>
      <c r="D2204" s="2" t="s">
        <v>28</v>
      </c>
      <c r="E2204" s="2" t="s">
        <v>463</v>
      </c>
      <c r="F2204" s="2" t="s">
        <v>19</v>
      </c>
      <c r="G2204" s="11" t="s">
        <v>503</v>
      </c>
      <c r="H2204" s="2" t="s">
        <v>52</v>
      </c>
      <c r="I2204" s="16">
        <v>-0.92</v>
      </c>
      <c r="J2204" s="16">
        <v>-166</v>
      </c>
      <c r="K2204" s="16">
        <v>70.989999999999995</v>
      </c>
      <c r="L2204" s="16">
        <v>-11783.630000000001</v>
      </c>
      <c r="M2204" s="16">
        <v>1071.1299999999999</v>
      </c>
      <c r="N2204" s="16">
        <v>0</v>
      </c>
      <c r="O2204" s="16">
        <v>-1392.6247049999999</v>
      </c>
      <c r="P2204" s="16">
        <v>-12105.124705</v>
      </c>
    </row>
    <row r="2205" spans="1:16" ht="14.5" hidden="1" x14ac:dyDescent="0.25">
      <c r="A2205" s="17">
        <v>46056</v>
      </c>
      <c r="B2205" s="2" t="str">
        <f t="shared" si="70"/>
        <v>Feb-2026</v>
      </c>
      <c r="C2205" s="2" t="str">
        <f t="shared" si="71"/>
        <v>Q4</v>
      </c>
      <c r="D2205" s="2" t="s">
        <v>28</v>
      </c>
      <c r="E2205" s="2" t="s">
        <v>463</v>
      </c>
      <c r="F2205" s="2" t="s">
        <v>19</v>
      </c>
      <c r="G2205" s="11" t="s">
        <v>503</v>
      </c>
      <c r="H2205" s="2" t="s">
        <v>177</v>
      </c>
      <c r="I2205" s="16">
        <v>-0.98</v>
      </c>
      <c r="J2205" s="16">
        <v>-118</v>
      </c>
      <c r="K2205" s="16">
        <v>94.65</v>
      </c>
      <c r="L2205" s="16">
        <v>-11168.429999999998</v>
      </c>
      <c r="M2205" s="16">
        <v>1015.2099999999999</v>
      </c>
      <c r="N2205" s="16">
        <v>0</v>
      </c>
      <c r="O2205" s="16">
        <v>-1319.9183210000001</v>
      </c>
      <c r="P2205" s="16">
        <v>-11473.138321</v>
      </c>
    </row>
    <row r="2206" spans="1:16" ht="14.5" hidden="1" x14ac:dyDescent="0.25">
      <c r="A2206" s="17">
        <v>46056</v>
      </c>
      <c r="B2206" s="2" t="str">
        <f t="shared" si="70"/>
        <v>Feb-2026</v>
      </c>
      <c r="C2206" s="2" t="str">
        <f t="shared" si="71"/>
        <v>Q4</v>
      </c>
      <c r="D2206" s="2" t="s">
        <v>28</v>
      </c>
      <c r="E2206" s="2" t="s">
        <v>464</v>
      </c>
      <c r="F2206" s="2" t="s">
        <v>236</v>
      </c>
      <c r="G2206" s="11" t="s">
        <v>505</v>
      </c>
      <c r="H2206" s="2" t="s">
        <v>55</v>
      </c>
      <c r="I2206" s="16">
        <v>-7.0000000000000007E-2</v>
      </c>
      <c r="J2206" s="16">
        <v>-8</v>
      </c>
      <c r="K2206" s="16">
        <v>152.11000000000001</v>
      </c>
      <c r="L2206" s="16">
        <v>-1216.8800000000001</v>
      </c>
      <c r="M2206" s="16">
        <v>110.61</v>
      </c>
      <c r="N2206" s="16">
        <v>0</v>
      </c>
      <c r="O2206" s="16">
        <v>-143.81499299999999</v>
      </c>
      <c r="P2206" s="16">
        <v>-1250.0849929999999</v>
      </c>
    </row>
    <row r="2207" spans="1:16" ht="14.5" hidden="1" x14ac:dyDescent="0.25">
      <c r="A2207" s="17">
        <v>46056</v>
      </c>
      <c r="B2207" s="2" t="str">
        <f t="shared" si="70"/>
        <v>Feb-2026</v>
      </c>
      <c r="C2207" s="2" t="str">
        <f t="shared" si="71"/>
        <v>Q4</v>
      </c>
      <c r="D2207" s="2" t="s">
        <v>28</v>
      </c>
      <c r="E2207" s="2" t="s">
        <v>464</v>
      </c>
      <c r="F2207" s="2" t="s">
        <v>236</v>
      </c>
      <c r="G2207" s="11" t="s">
        <v>503</v>
      </c>
      <c r="H2207" s="2" t="s">
        <v>59</v>
      </c>
      <c r="I2207" s="16">
        <v>-0.68</v>
      </c>
      <c r="J2207" s="16">
        <v>-122</v>
      </c>
      <c r="K2207" s="16">
        <v>64.23</v>
      </c>
      <c r="L2207" s="16">
        <v>-7836.0599999999995</v>
      </c>
      <c r="M2207" s="16">
        <v>712.3</v>
      </c>
      <c r="N2207" s="16">
        <v>0</v>
      </c>
      <c r="O2207" s="16">
        <v>-926.08810999999992</v>
      </c>
      <c r="P2207" s="16">
        <v>-8049.8481099999999</v>
      </c>
    </row>
    <row r="2208" spans="1:16" ht="14.5" hidden="1" x14ac:dyDescent="0.25">
      <c r="A2208" s="17">
        <v>46056</v>
      </c>
      <c r="B2208" s="2" t="str">
        <f t="shared" si="70"/>
        <v>Feb-2026</v>
      </c>
      <c r="C2208" s="2" t="str">
        <f t="shared" si="71"/>
        <v>Q4</v>
      </c>
      <c r="D2208" s="2" t="s">
        <v>28</v>
      </c>
      <c r="E2208" s="2" t="s">
        <v>464</v>
      </c>
      <c r="F2208" s="2" t="s">
        <v>236</v>
      </c>
      <c r="G2208" s="11" t="s">
        <v>504</v>
      </c>
      <c r="H2208" s="2" t="s">
        <v>66</v>
      </c>
      <c r="I2208" s="16">
        <v>-0.75</v>
      </c>
      <c r="J2208" s="16">
        <v>-75</v>
      </c>
      <c r="K2208" s="16">
        <v>108.17</v>
      </c>
      <c r="L2208" s="16">
        <v>-8112.75</v>
      </c>
      <c r="M2208" s="16">
        <v>737.44999999999993</v>
      </c>
      <c r="N2208" s="16">
        <v>0</v>
      </c>
      <c r="O2208" s="16">
        <v>-958.78828599999997</v>
      </c>
      <c r="P2208" s="16">
        <v>-8334.0882860000002</v>
      </c>
    </row>
    <row r="2209" spans="1:16" ht="14.5" hidden="1" x14ac:dyDescent="0.25">
      <c r="A2209" s="17">
        <v>46056</v>
      </c>
      <c r="B2209" s="2" t="str">
        <f t="shared" si="70"/>
        <v>Feb-2026</v>
      </c>
      <c r="C2209" s="2" t="str">
        <f t="shared" si="71"/>
        <v>Q4</v>
      </c>
      <c r="D2209" s="2" t="s">
        <v>28</v>
      </c>
      <c r="E2209" s="2" t="s">
        <v>464</v>
      </c>
      <c r="F2209" s="2" t="s">
        <v>236</v>
      </c>
      <c r="G2209" s="11" t="s">
        <v>503</v>
      </c>
      <c r="H2209" s="2" t="s">
        <v>52</v>
      </c>
      <c r="I2209" s="16">
        <v>-0.51</v>
      </c>
      <c r="J2209" s="16">
        <v>-91</v>
      </c>
      <c r="K2209" s="16">
        <v>70.989999999999995</v>
      </c>
      <c r="L2209" s="16">
        <v>-6460.09</v>
      </c>
      <c r="M2209" s="16">
        <v>587.22</v>
      </c>
      <c r="N2209" s="16">
        <v>0</v>
      </c>
      <c r="O2209" s="16">
        <v>-763.472531</v>
      </c>
      <c r="P2209" s="16">
        <v>-6636.3425310000002</v>
      </c>
    </row>
    <row r="2210" spans="1:16" ht="14.5" hidden="1" x14ac:dyDescent="0.25">
      <c r="A2210" s="17">
        <v>46056</v>
      </c>
      <c r="B2210" s="2" t="str">
        <f t="shared" si="70"/>
        <v>Feb-2026</v>
      </c>
      <c r="C2210" s="2" t="str">
        <f t="shared" si="71"/>
        <v>Q4</v>
      </c>
      <c r="D2210" s="2" t="s">
        <v>28</v>
      </c>
      <c r="E2210" s="2" t="s">
        <v>464</v>
      </c>
      <c r="F2210" s="2" t="s">
        <v>236</v>
      </c>
      <c r="G2210" s="11" t="s">
        <v>503</v>
      </c>
      <c r="H2210" s="2" t="s">
        <v>45</v>
      </c>
      <c r="I2210" s="16">
        <v>-0.61</v>
      </c>
      <c r="J2210" s="16">
        <v>-110</v>
      </c>
      <c r="K2210" s="16">
        <v>64.23</v>
      </c>
      <c r="L2210" s="16">
        <v>-7065.3</v>
      </c>
      <c r="M2210" s="16">
        <v>642.24</v>
      </c>
      <c r="N2210" s="16">
        <v>0</v>
      </c>
      <c r="O2210" s="16">
        <v>-834.99717800000008</v>
      </c>
      <c r="P2210" s="16">
        <v>-7258.057178</v>
      </c>
    </row>
    <row r="2211" spans="1:16" ht="14.5" hidden="1" x14ac:dyDescent="0.25">
      <c r="A2211" s="17">
        <v>46056</v>
      </c>
      <c r="B2211" s="2" t="str">
        <f t="shared" si="70"/>
        <v>Feb-2026</v>
      </c>
      <c r="C2211" s="2" t="str">
        <f t="shared" si="71"/>
        <v>Q4</v>
      </c>
      <c r="D2211" s="2" t="s">
        <v>28</v>
      </c>
      <c r="E2211" s="2" t="s">
        <v>464</v>
      </c>
      <c r="F2211" s="2" t="s">
        <v>236</v>
      </c>
      <c r="G2211" s="11" t="s">
        <v>503</v>
      </c>
      <c r="H2211" s="2" t="s">
        <v>51</v>
      </c>
      <c r="I2211" s="16">
        <v>-0.06</v>
      </c>
      <c r="J2211" s="16">
        <v>-10</v>
      </c>
      <c r="K2211" s="16">
        <v>64.23</v>
      </c>
      <c r="L2211" s="16">
        <v>-642.29999999999995</v>
      </c>
      <c r="M2211" s="16">
        <v>58.38</v>
      </c>
      <c r="N2211" s="16">
        <v>0</v>
      </c>
      <c r="O2211" s="16">
        <v>-75.909542999999999</v>
      </c>
      <c r="P2211" s="16">
        <v>-659.82954299999994</v>
      </c>
    </row>
    <row r="2212" spans="1:16" ht="14.5" hidden="1" x14ac:dyDescent="0.25">
      <c r="A2212" s="17">
        <v>46056</v>
      </c>
      <c r="B2212" s="2" t="str">
        <f t="shared" si="70"/>
        <v>Feb-2026</v>
      </c>
      <c r="C2212" s="2" t="str">
        <f t="shared" si="71"/>
        <v>Q4</v>
      </c>
      <c r="D2212" s="2" t="s">
        <v>28</v>
      </c>
      <c r="E2212" s="2" t="s">
        <v>464</v>
      </c>
      <c r="F2212" s="2" t="s">
        <v>236</v>
      </c>
      <c r="G2212" s="11" t="s">
        <v>504</v>
      </c>
      <c r="H2212" s="2" t="s">
        <v>69</v>
      </c>
      <c r="I2212" s="16">
        <v>-0.8</v>
      </c>
      <c r="J2212" s="16">
        <v>-80</v>
      </c>
      <c r="K2212" s="16">
        <v>162.26</v>
      </c>
      <c r="L2212" s="16">
        <v>-12980.8</v>
      </c>
      <c r="M2212" s="16">
        <v>1179.95</v>
      </c>
      <c r="N2212" s="16">
        <v>0</v>
      </c>
      <c r="O2212" s="16">
        <v>-1534.1093579999999</v>
      </c>
      <c r="P2212" s="16">
        <v>-13334.959358</v>
      </c>
    </row>
    <row r="2213" spans="1:16" ht="14.5" hidden="1" x14ac:dyDescent="0.25">
      <c r="A2213" s="17">
        <v>46056</v>
      </c>
      <c r="B2213" s="2" t="str">
        <f t="shared" si="70"/>
        <v>Feb-2026</v>
      </c>
      <c r="C2213" s="2" t="str">
        <f t="shared" si="71"/>
        <v>Q4</v>
      </c>
      <c r="D2213" s="2" t="s">
        <v>28</v>
      </c>
      <c r="E2213" s="2" t="s">
        <v>465</v>
      </c>
      <c r="F2213" s="2" t="s">
        <v>151</v>
      </c>
      <c r="G2213" s="11" t="s">
        <v>503</v>
      </c>
      <c r="H2213" s="2" t="s">
        <v>59</v>
      </c>
      <c r="I2213" s="16">
        <v>-0.34</v>
      </c>
      <c r="J2213" s="16">
        <v>-62</v>
      </c>
      <c r="K2213" s="16">
        <v>56.99</v>
      </c>
      <c r="L2213" s="16">
        <v>-3533.3799999999997</v>
      </c>
      <c r="M2213" s="16">
        <v>0</v>
      </c>
      <c r="N2213" s="16">
        <v>0</v>
      </c>
      <c r="O2213" s="16">
        <v>-459.33904100000001</v>
      </c>
      <c r="P2213" s="16">
        <v>-3992.7190409999998</v>
      </c>
    </row>
    <row r="2214" spans="1:16" ht="14.5" hidden="1" x14ac:dyDescent="0.25">
      <c r="A2214" s="17">
        <v>46056</v>
      </c>
      <c r="B2214" s="2" t="str">
        <f t="shared" si="70"/>
        <v>Feb-2026</v>
      </c>
      <c r="C2214" s="2" t="str">
        <f t="shared" si="71"/>
        <v>Q4</v>
      </c>
      <c r="D2214" s="2" t="s">
        <v>28</v>
      </c>
      <c r="E2214" s="2" t="s">
        <v>465</v>
      </c>
      <c r="F2214" s="2" t="s">
        <v>151</v>
      </c>
      <c r="G2214" s="11" t="s">
        <v>503</v>
      </c>
      <c r="H2214" s="2" t="s">
        <v>45</v>
      </c>
      <c r="I2214" s="16">
        <v>-0.75</v>
      </c>
      <c r="J2214" s="16">
        <v>-135</v>
      </c>
      <c r="K2214" s="16">
        <v>56.99</v>
      </c>
      <c r="L2214" s="16">
        <v>-7693.65</v>
      </c>
      <c r="M2214" s="16">
        <v>0</v>
      </c>
      <c r="N2214" s="16">
        <v>0</v>
      </c>
      <c r="O2214" s="16">
        <v>-1000.173719</v>
      </c>
      <c r="P2214" s="16">
        <v>-8693.823719</v>
      </c>
    </row>
    <row r="2215" spans="1:16" ht="14.5" hidden="1" x14ac:dyDescent="0.25">
      <c r="A2215" s="17">
        <v>46056</v>
      </c>
      <c r="B2215" s="2" t="str">
        <f t="shared" si="70"/>
        <v>Feb-2026</v>
      </c>
      <c r="C2215" s="2" t="str">
        <f t="shared" si="71"/>
        <v>Q4</v>
      </c>
      <c r="D2215" s="2" t="s">
        <v>28</v>
      </c>
      <c r="E2215" s="2" t="s">
        <v>465</v>
      </c>
      <c r="F2215" s="2" t="s">
        <v>151</v>
      </c>
      <c r="G2215" s="11" t="s">
        <v>503</v>
      </c>
      <c r="H2215" s="2" t="s">
        <v>57</v>
      </c>
      <c r="I2215" s="16">
        <v>-0.3</v>
      </c>
      <c r="J2215" s="16">
        <v>-54</v>
      </c>
      <c r="K2215" s="16">
        <v>108.41</v>
      </c>
      <c r="L2215" s="16">
        <v>-5853.98</v>
      </c>
      <c r="M2215" s="16">
        <v>0</v>
      </c>
      <c r="N2215" s="16">
        <v>0</v>
      </c>
      <c r="O2215" s="16">
        <v>-761.01680599999997</v>
      </c>
      <c r="P2215" s="16">
        <v>-6614.9968060000001</v>
      </c>
    </row>
    <row r="2216" spans="1:16" ht="14.5" hidden="1" x14ac:dyDescent="0.25">
      <c r="A2216" s="17">
        <v>46056</v>
      </c>
      <c r="B2216" s="2" t="str">
        <f t="shared" si="70"/>
        <v>Feb-2026</v>
      </c>
      <c r="C2216" s="2" t="str">
        <f t="shared" si="71"/>
        <v>Q4</v>
      </c>
      <c r="D2216" s="2" t="s">
        <v>28</v>
      </c>
      <c r="E2216" s="2" t="s">
        <v>465</v>
      </c>
      <c r="F2216" s="2" t="s">
        <v>151</v>
      </c>
      <c r="G2216" s="11" t="s">
        <v>503</v>
      </c>
      <c r="H2216" s="2" t="s">
        <v>63</v>
      </c>
      <c r="I2216" s="16">
        <v>-0.43</v>
      </c>
      <c r="J2216" s="16">
        <v>-34</v>
      </c>
      <c r="K2216" s="16">
        <v>170.35</v>
      </c>
      <c r="L2216" s="16">
        <v>-5791.9</v>
      </c>
      <c r="M2216" s="16">
        <v>0</v>
      </c>
      <c r="N2216" s="16">
        <v>0</v>
      </c>
      <c r="O2216" s="16">
        <v>-752.9464119999999</v>
      </c>
      <c r="P2216" s="16">
        <v>-6544.8464119999999</v>
      </c>
    </row>
    <row r="2217" spans="1:16" ht="14.5" hidden="1" x14ac:dyDescent="0.25">
      <c r="A2217" s="17">
        <v>46056</v>
      </c>
      <c r="B2217" s="2" t="str">
        <f t="shared" si="70"/>
        <v>Feb-2026</v>
      </c>
      <c r="C2217" s="2" t="str">
        <f t="shared" si="71"/>
        <v>Q4</v>
      </c>
      <c r="D2217" s="2" t="s">
        <v>28</v>
      </c>
      <c r="E2217" s="2" t="s">
        <v>465</v>
      </c>
      <c r="F2217" s="2" t="s">
        <v>151</v>
      </c>
      <c r="G2217" s="11" t="s">
        <v>503</v>
      </c>
      <c r="H2217" s="2" t="s">
        <v>87</v>
      </c>
      <c r="I2217" s="16">
        <v>-0.44</v>
      </c>
      <c r="J2217" s="16">
        <v>-80</v>
      </c>
      <c r="K2217" s="16">
        <v>105.31</v>
      </c>
      <c r="L2217" s="16">
        <v>-8424.7999999999993</v>
      </c>
      <c r="M2217" s="16">
        <v>0</v>
      </c>
      <c r="N2217" s="16">
        <v>0</v>
      </c>
      <c r="O2217" s="16">
        <v>-1095.2231449999999</v>
      </c>
      <c r="P2217" s="16">
        <v>-9520.0231449999992</v>
      </c>
    </row>
    <row r="2218" spans="1:16" ht="14.5" hidden="1" x14ac:dyDescent="0.25">
      <c r="A2218" s="17">
        <v>46056</v>
      </c>
      <c r="B2218" s="2" t="str">
        <f t="shared" si="70"/>
        <v>Feb-2026</v>
      </c>
      <c r="C2218" s="2" t="str">
        <f t="shared" si="71"/>
        <v>Q4</v>
      </c>
      <c r="D2218" s="2" t="s">
        <v>28</v>
      </c>
      <c r="E2218" s="2" t="s">
        <v>465</v>
      </c>
      <c r="F2218" s="2" t="s">
        <v>151</v>
      </c>
      <c r="G2218" s="11" t="s">
        <v>503</v>
      </c>
      <c r="H2218" s="2" t="s">
        <v>52</v>
      </c>
      <c r="I2218" s="16">
        <v>-0.28000000000000003</v>
      </c>
      <c r="J2218" s="16">
        <v>-51</v>
      </c>
      <c r="K2218" s="16">
        <v>65.040000000000006</v>
      </c>
      <c r="L2218" s="16">
        <v>-3317.04</v>
      </c>
      <c r="M2218" s="16">
        <v>0</v>
      </c>
      <c r="N2218" s="16">
        <v>0</v>
      </c>
      <c r="O2218" s="16">
        <v>-431.21486299999998</v>
      </c>
      <c r="P2218" s="16">
        <v>-3748.2548630000001</v>
      </c>
    </row>
    <row r="2219" spans="1:16" ht="14.5" hidden="1" x14ac:dyDescent="0.25">
      <c r="A2219" s="17">
        <v>46056</v>
      </c>
      <c r="B2219" s="2" t="str">
        <f t="shared" si="70"/>
        <v>Feb-2026</v>
      </c>
      <c r="C2219" s="2" t="str">
        <f t="shared" si="71"/>
        <v>Q4</v>
      </c>
      <c r="D2219" s="2" t="s">
        <v>28</v>
      </c>
      <c r="E2219" s="2" t="s">
        <v>465</v>
      </c>
      <c r="F2219" s="2" t="s">
        <v>151</v>
      </c>
      <c r="G2219" s="11" t="s">
        <v>503</v>
      </c>
      <c r="H2219" s="2" t="s">
        <v>41</v>
      </c>
      <c r="I2219" s="16">
        <v>-0.71</v>
      </c>
      <c r="J2219" s="16">
        <v>-127</v>
      </c>
      <c r="K2219" s="16">
        <v>55.75</v>
      </c>
      <c r="L2219" s="16">
        <v>-7080.2500000000009</v>
      </c>
      <c r="M2219" s="16">
        <v>0</v>
      </c>
      <c r="N2219" s="16">
        <v>0</v>
      </c>
      <c r="O2219" s="16">
        <v>-920.431781</v>
      </c>
      <c r="P2219" s="16">
        <v>-8000.6817810000002</v>
      </c>
    </row>
    <row r="2220" spans="1:16" ht="14.5" hidden="1" x14ac:dyDescent="0.25">
      <c r="A2220" s="17">
        <v>46056</v>
      </c>
      <c r="B2220" s="2" t="str">
        <f t="shared" si="70"/>
        <v>Feb-2026</v>
      </c>
      <c r="C2220" s="2" t="str">
        <f t="shared" si="71"/>
        <v>Q4</v>
      </c>
      <c r="D2220" s="2" t="s">
        <v>28</v>
      </c>
      <c r="E2220" s="2" t="s">
        <v>465</v>
      </c>
      <c r="F2220" s="2" t="s">
        <v>151</v>
      </c>
      <c r="G2220" s="11" t="s">
        <v>503</v>
      </c>
      <c r="H2220" s="2" t="s">
        <v>51</v>
      </c>
      <c r="I2220" s="16">
        <v>-0.45</v>
      </c>
      <c r="J2220" s="16">
        <v>-81</v>
      </c>
      <c r="K2220" s="16">
        <v>56.99</v>
      </c>
      <c r="L2220" s="16">
        <v>-4616.1899999999996</v>
      </c>
      <c r="M2220" s="16">
        <v>0</v>
      </c>
      <c r="N2220" s="16">
        <v>0</v>
      </c>
      <c r="O2220" s="16">
        <v>-600.10423199999991</v>
      </c>
      <c r="P2220" s="16">
        <v>-5216.2942320000002</v>
      </c>
    </row>
    <row r="2221" spans="1:16" ht="14.5" hidden="1" x14ac:dyDescent="0.25">
      <c r="A2221" s="17">
        <v>46057</v>
      </c>
      <c r="B2221" s="2" t="str">
        <f t="shared" si="70"/>
        <v>Feb-2026</v>
      </c>
      <c r="C2221" s="2" t="str">
        <f t="shared" si="71"/>
        <v>Q4</v>
      </c>
      <c r="D2221" s="2" t="s">
        <v>28</v>
      </c>
      <c r="E2221" s="2" t="s">
        <v>466</v>
      </c>
      <c r="F2221" s="2" t="s">
        <v>337</v>
      </c>
      <c r="G2221" s="11" t="s">
        <v>505</v>
      </c>
      <c r="H2221" s="2" t="s">
        <v>168</v>
      </c>
      <c r="I2221" s="16">
        <v>0.5</v>
      </c>
      <c r="J2221" s="16">
        <v>40</v>
      </c>
      <c r="K2221" s="16">
        <v>229.86</v>
      </c>
      <c r="L2221" s="16">
        <v>9194.4</v>
      </c>
      <c r="M2221" s="16">
        <v>-835.77</v>
      </c>
      <c r="N2221" s="16">
        <v>0</v>
      </c>
      <c r="O2221" s="16">
        <v>1086.6199999999999</v>
      </c>
      <c r="P2221" s="16">
        <v>9445.25</v>
      </c>
    </row>
    <row r="2222" spans="1:16" ht="14.5" hidden="1" x14ac:dyDescent="0.25">
      <c r="A2222" s="17">
        <v>46057</v>
      </c>
      <c r="B2222" s="2" t="str">
        <f t="shared" si="70"/>
        <v>Feb-2026</v>
      </c>
      <c r="C2222" s="2" t="str">
        <f t="shared" si="71"/>
        <v>Q4</v>
      </c>
      <c r="D2222" s="2" t="s">
        <v>28</v>
      </c>
      <c r="E2222" s="2" t="s">
        <v>467</v>
      </c>
      <c r="F2222" s="2" t="s">
        <v>337</v>
      </c>
      <c r="G2222" s="11" t="s">
        <v>504</v>
      </c>
      <c r="H2222" s="2" t="s">
        <v>53</v>
      </c>
      <c r="I2222" s="16">
        <v>1</v>
      </c>
      <c r="J2222" s="16">
        <v>100</v>
      </c>
      <c r="K2222" s="16">
        <v>137.5</v>
      </c>
      <c r="L2222" s="16">
        <v>13750</v>
      </c>
      <c r="M2222" s="16">
        <v>-1249.8800000000001</v>
      </c>
      <c r="N2222" s="16">
        <v>0</v>
      </c>
      <c r="O2222" s="16">
        <v>0</v>
      </c>
      <c r="P2222" s="16">
        <v>12500.12</v>
      </c>
    </row>
    <row r="2223" spans="1:16" ht="14.5" hidden="1" x14ac:dyDescent="0.25">
      <c r="A2223" s="17">
        <v>46057</v>
      </c>
      <c r="B2223" s="2" t="str">
        <f t="shared" si="70"/>
        <v>Feb-2026</v>
      </c>
      <c r="C2223" s="2" t="str">
        <f t="shared" si="71"/>
        <v>Q4</v>
      </c>
      <c r="D2223" s="2" t="s">
        <v>28</v>
      </c>
      <c r="E2223" s="2" t="s">
        <v>467</v>
      </c>
      <c r="F2223" s="2" t="s">
        <v>337</v>
      </c>
      <c r="G2223" s="11" t="s">
        <v>504</v>
      </c>
      <c r="H2223" s="2" t="s">
        <v>61</v>
      </c>
      <c r="I2223" s="16">
        <v>1</v>
      </c>
      <c r="J2223" s="16">
        <v>40</v>
      </c>
      <c r="K2223" s="16">
        <v>336.13</v>
      </c>
      <c r="L2223" s="16">
        <v>13445.199999999999</v>
      </c>
      <c r="M2223" s="16">
        <v>-1222.1699999999998</v>
      </c>
      <c r="N2223" s="16">
        <v>0</v>
      </c>
      <c r="O2223" s="16">
        <v>0</v>
      </c>
      <c r="P2223" s="16">
        <v>12223.03</v>
      </c>
    </row>
    <row r="2224" spans="1:16" ht="14.5" hidden="1" x14ac:dyDescent="0.25">
      <c r="A2224" s="17">
        <v>46059</v>
      </c>
      <c r="B2224" s="2" t="str">
        <f t="shared" si="70"/>
        <v>Feb-2026</v>
      </c>
      <c r="C2224" s="2" t="str">
        <f t="shared" si="71"/>
        <v>Q4</v>
      </c>
      <c r="D2224" s="2" t="s">
        <v>28</v>
      </c>
      <c r="E2224" s="2" t="s">
        <v>468</v>
      </c>
      <c r="F2224" s="2" t="s">
        <v>469</v>
      </c>
      <c r="G2224" s="11" t="s">
        <v>504</v>
      </c>
      <c r="H2224" s="2" t="s">
        <v>69</v>
      </c>
      <c r="I2224" s="16">
        <v>0.01</v>
      </c>
      <c r="J2224" s="16">
        <v>1</v>
      </c>
      <c r="K2224" s="16">
        <v>189.3</v>
      </c>
      <c r="L2224" s="16">
        <v>189.3</v>
      </c>
      <c r="M2224" s="16">
        <v>-17.21</v>
      </c>
      <c r="N2224" s="16">
        <v>0</v>
      </c>
      <c r="O2224" s="16">
        <v>22.371693</v>
      </c>
      <c r="P2224" s="16">
        <v>194.461693</v>
      </c>
    </row>
    <row r="2225" spans="1:16" ht="14.5" hidden="1" x14ac:dyDescent="0.25">
      <c r="A2225" s="17">
        <v>46059</v>
      </c>
      <c r="B2225" s="2" t="str">
        <f t="shared" si="70"/>
        <v>Feb-2026</v>
      </c>
      <c r="C2225" s="2" t="str">
        <f t="shared" si="71"/>
        <v>Q4</v>
      </c>
      <c r="D2225" s="2" t="s">
        <v>28</v>
      </c>
      <c r="E2225" s="2" t="s">
        <v>468</v>
      </c>
      <c r="F2225" s="2" t="s">
        <v>469</v>
      </c>
      <c r="G2225" s="11" t="s">
        <v>503</v>
      </c>
      <c r="H2225" s="2" t="s">
        <v>41</v>
      </c>
      <c r="I2225" s="16">
        <v>2.78</v>
      </c>
      <c r="J2225" s="16">
        <v>500</v>
      </c>
      <c r="K2225" s="16">
        <v>60.84</v>
      </c>
      <c r="L2225" s="16">
        <v>30420</v>
      </c>
      <c r="M2225" s="16">
        <v>-2765.1800000000003</v>
      </c>
      <c r="N2225" s="16">
        <v>0</v>
      </c>
      <c r="O2225" s="16">
        <v>3595.1254729999996</v>
      </c>
      <c r="P2225" s="16">
        <v>31249.945473</v>
      </c>
    </row>
    <row r="2226" spans="1:16" ht="14.5" hidden="1" x14ac:dyDescent="0.25">
      <c r="A2226" s="17">
        <v>46059</v>
      </c>
      <c r="B2226" s="2" t="str">
        <f t="shared" si="70"/>
        <v>Feb-2026</v>
      </c>
      <c r="C2226" s="2" t="str">
        <f t="shared" si="71"/>
        <v>Q4</v>
      </c>
      <c r="D2226" s="2" t="s">
        <v>28</v>
      </c>
      <c r="E2226" s="2" t="s">
        <v>468</v>
      </c>
      <c r="F2226" s="2" t="s">
        <v>469</v>
      </c>
      <c r="G2226" s="11" t="s">
        <v>504</v>
      </c>
      <c r="H2226" s="2" t="s">
        <v>68</v>
      </c>
      <c r="I2226" s="16">
        <v>0.03</v>
      </c>
      <c r="J2226" s="16">
        <v>1</v>
      </c>
      <c r="K2226" s="16">
        <v>260.27999999999997</v>
      </c>
      <c r="L2226" s="16">
        <v>260.27999999999997</v>
      </c>
      <c r="M2226" s="16">
        <v>-23.66</v>
      </c>
      <c r="N2226" s="16">
        <v>0</v>
      </c>
      <c r="O2226" s="16">
        <v>30.760590000000001</v>
      </c>
      <c r="P2226" s="16">
        <v>267.38058999999998</v>
      </c>
    </row>
    <row r="2227" spans="1:16" ht="14.5" hidden="1" x14ac:dyDescent="0.25">
      <c r="A2227" s="17">
        <v>46059</v>
      </c>
      <c r="B2227" s="2" t="str">
        <f t="shared" si="70"/>
        <v>Feb-2026</v>
      </c>
      <c r="C2227" s="2" t="str">
        <f t="shared" si="71"/>
        <v>Q4</v>
      </c>
      <c r="D2227" s="2" t="s">
        <v>28</v>
      </c>
      <c r="E2227" s="2" t="s">
        <v>468</v>
      </c>
      <c r="F2227" s="2" t="s">
        <v>469</v>
      </c>
      <c r="G2227" s="11" t="s">
        <v>503</v>
      </c>
      <c r="H2227" s="2" t="s">
        <v>52</v>
      </c>
      <c r="I2227" s="16">
        <v>0.56000000000000005</v>
      </c>
      <c r="J2227" s="16">
        <v>100</v>
      </c>
      <c r="K2227" s="16">
        <v>70.989999999999995</v>
      </c>
      <c r="L2227" s="16">
        <v>7099</v>
      </c>
      <c r="M2227" s="16">
        <v>-645.29999999999995</v>
      </c>
      <c r="N2227" s="16">
        <v>0</v>
      </c>
      <c r="O2227" s="16">
        <v>838.98073700000009</v>
      </c>
      <c r="P2227" s="16">
        <v>7292.6807369999997</v>
      </c>
    </row>
    <row r="2228" spans="1:16" ht="14.5" hidden="1" x14ac:dyDescent="0.25">
      <c r="A2228" s="17">
        <v>46059</v>
      </c>
      <c r="B2228" s="2" t="str">
        <f t="shared" si="70"/>
        <v>Feb-2026</v>
      </c>
      <c r="C2228" s="2" t="str">
        <f t="shared" si="71"/>
        <v>Q4</v>
      </c>
      <c r="D2228" s="2" t="s">
        <v>28</v>
      </c>
      <c r="E2228" s="2" t="s">
        <v>468</v>
      </c>
      <c r="F2228" s="2" t="s">
        <v>469</v>
      </c>
      <c r="G2228" s="11" t="s">
        <v>504</v>
      </c>
      <c r="H2228" s="2" t="s">
        <v>68</v>
      </c>
      <c r="I2228" s="16">
        <v>0.48</v>
      </c>
      <c r="J2228" s="16">
        <v>19</v>
      </c>
      <c r="K2228" s="16">
        <v>260.27999999999997</v>
      </c>
      <c r="L2228" s="16">
        <v>4945.32</v>
      </c>
      <c r="M2228" s="16">
        <v>-449.53</v>
      </c>
      <c r="N2228" s="16">
        <v>0</v>
      </c>
      <c r="O2228" s="16">
        <v>584.45251699999994</v>
      </c>
      <c r="P2228" s="16">
        <v>5080.2425169999997</v>
      </c>
    </row>
    <row r="2229" spans="1:16" ht="14.5" hidden="1" x14ac:dyDescent="0.25">
      <c r="A2229" s="17">
        <v>46059</v>
      </c>
      <c r="B2229" s="2" t="str">
        <f t="shared" si="70"/>
        <v>Feb-2026</v>
      </c>
      <c r="C2229" s="2" t="str">
        <f t="shared" si="71"/>
        <v>Q4</v>
      </c>
      <c r="D2229" s="2" t="s">
        <v>28</v>
      </c>
      <c r="E2229" s="2" t="s">
        <v>468</v>
      </c>
      <c r="F2229" s="2" t="s">
        <v>469</v>
      </c>
      <c r="G2229" s="11" t="s">
        <v>503</v>
      </c>
      <c r="H2229" s="2" t="s">
        <v>89</v>
      </c>
      <c r="I2229" s="16">
        <v>0.42</v>
      </c>
      <c r="J2229" s="16">
        <v>50</v>
      </c>
      <c r="K2229" s="16">
        <v>118.31</v>
      </c>
      <c r="L2229" s="16">
        <v>5915.5</v>
      </c>
      <c r="M2229" s="16">
        <v>-537.72</v>
      </c>
      <c r="N2229" s="16">
        <v>0</v>
      </c>
      <c r="O2229" s="16">
        <v>699.11118099999999</v>
      </c>
      <c r="P2229" s="16">
        <v>6076.891181</v>
      </c>
    </row>
    <row r="2230" spans="1:16" ht="14.5" hidden="1" x14ac:dyDescent="0.25">
      <c r="A2230" s="17">
        <v>46059</v>
      </c>
      <c r="B2230" s="2" t="str">
        <f t="shared" si="70"/>
        <v>Feb-2026</v>
      </c>
      <c r="C2230" s="2" t="str">
        <f t="shared" si="71"/>
        <v>Q4</v>
      </c>
      <c r="D2230" s="2" t="s">
        <v>28</v>
      </c>
      <c r="E2230" s="2" t="s">
        <v>468</v>
      </c>
      <c r="F2230" s="2" t="s">
        <v>469</v>
      </c>
      <c r="G2230" s="11" t="s">
        <v>503</v>
      </c>
      <c r="H2230" s="2" t="s">
        <v>59</v>
      </c>
      <c r="I2230" s="16">
        <v>0.99</v>
      </c>
      <c r="J2230" s="16">
        <v>178</v>
      </c>
      <c r="K2230" s="16">
        <v>64.23</v>
      </c>
      <c r="L2230" s="16">
        <v>11432.94</v>
      </c>
      <c r="M2230" s="16">
        <v>-1039.25</v>
      </c>
      <c r="N2230" s="16">
        <v>0</v>
      </c>
      <c r="O2230" s="16">
        <v>1351.179277</v>
      </c>
      <c r="P2230" s="16">
        <v>11744.869277</v>
      </c>
    </row>
    <row r="2231" spans="1:16" ht="14.5" hidden="1" x14ac:dyDescent="0.25">
      <c r="A2231" s="17">
        <v>46059</v>
      </c>
      <c r="B2231" s="2" t="str">
        <f t="shared" si="70"/>
        <v>Feb-2026</v>
      </c>
      <c r="C2231" s="2" t="str">
        <f t="shared" si="71"/>
        <v>Q4</v>
      </c>
      <c r="D2231" s="2" t="s">
        <v>28</v>
      </c>
      <c r="E2231" s="2" t="s">
        <v>468</v>
      </c>
      <c r="F2231" s="2" t="s">
        <v>469</v>
      </c>
      <c r="G2231" s="11" t="s">
        <v>505</v>
      </c>
      <c r="H2231" s="2" t="s">
        <v>55</v>
      </c>
      <c r="I2231" s="16">
        <v>1</v>
      </c>
      <c r="J2231" s="16">
        <v>120</v>
      </c>
      <c r="K2231" s="16">
        <v>152.11000000000001</v>
      </c>
      <c r="L2231" s="16">
        <v>18253.2</v>
      </c>
      <c r="M2231" s="16">
        <v>-1659.2199999999998</v>
      </c>
      <c r="N2231" s="16">
        <v>0</v>
      </c>
      <c r="O2231" s="16">
        <v>2157.2167239999999</v>
      </c>
      <c r="P2231" s="16">
        <v>18751.196724000001</v>
      </c>
    </row>
    <row r="2232" spans="1:16" ht="14.5" hidden="1" x14ac:dyDescent="0.25">
      <c r="A2232" s="17">
        <v>46059</v>
      </c>
      <c r="B2232" s="2" t="str">
        <f t="shared" si="70"/>
        <v>Feb-2026</v>
      </c>
      <c r="C2232" s="2" t="str">
        <f t="shared" si="71"/>
        <v>Q4</v>
      </c>
      <c r="D2232" s="2" t="s">
        <v>28</v>
      </c>
      <c r="E2232" s="2" t="s">
        <v>468</v>
      </c>
      <c r="F2232" s="2" t="s">
        <v>469</v>
      </c>
      <c r="G2232" s="11" t="s">
        <v>504</v>
      </c>
      <c r="H2232" s="2" t="s">
        <v>67</v>
      </c>
      <c r="I2232" s="16">
        <v>0.25</v>
      </c>
      <c r="J2232" s="16">
        <v>10</v>
      </c>
      <c r="K2232" s="16">
        <v>459.72</v>
      </c>
      <c r="L2232" s="16">
        <v>4597.2</v>
      </c>
      <c r="M2232" s="16">
        <v>-417.89</v>
      </c>
      <c r="N2232" s="16">
        <v>0</v>
      </c>
      <c r="O2232" s="16">
        <v>543.31012999999996</v>
      </c>
      <c r="P2232" s="16">
        <v>4722.6201300000002</v>
      </c>
    </row>
    <row r="2233" spans="1:16" ht="14.5" hidden="1" x14ac:dyDescent="0.25">
      <c r="A2233" s="17">
        <v>46059</v>
      </c>
      <c r="B2233" s="2" t="str">
        <f t="shared" si="70"/>
        <v>Feb-2026</v>
      </c>
      <c r="C2233" s="2" t="str">
        <f t="shared" si="71"/>
        <v>Q4</v>
      </c>
      <c r="D2233" s="2" t="s">
        <v>28</v>
      </c>
      <c r="E2233" s="2" t="s">
        <v>468</v>
      </c>
      <c r="F2233" s="2" t="s">
        <v>469</v>
      </c>
      <c r="G2233" s="11" t="s">
        <v>504</v>
      </c>
      <c r="H2233" s="2" t="s">
        <v>69</v>
      </c>
      <c r="I2233" s="16">
        <v>0.05</v>
      </c>
      <c r="J2233" s="16">
        <v>5</v>
      </c>
      <c r="K2233" s="16">
        <v>189.3</v>
      </c>
      <c r="L2233" s="16">
        <v>946.5</v>
      </c>
      <c r="M2233" s="16">
        <v>-86.04</v>
      </c>
      <c r="N2233" s="16">
        <v>0</v>
      </c>
      <c r="O2233" s="16">
        <v>111.859765</v>
      </c>
      <c r="P2233" s="16">
        <v>972.31976499999996</v>
      </c>
    </row>
    <row r="2234" spans="1:16" ht="14.5" hidden="1" x14ac:dyDescent="0.25">
      <c r="A2234" s="17">
        <v>46059</v>
      </c>
      <c r="B2234" s="2" t="str">
        <f t="shared" si="70"/>
        <v>Feb-2026</v>
      </c>
      <c r="C2234" s="2" t="str">
        <f t="shared" si="71"/>
        <v>Q4</v>
      </c>
      <c r="D2234" s="2" t="s">
        <v>28</v>
      </c>
      <c r="E2234" s="2" t="s">
        <v>468</v>
      </c>
      <c r="F2234" s="2" t="s">
        <v>469</v>
      </c>
      <c r="G2234" s="11" t="s">
        <v>503</v>
      </c>
      <c r="H2234" s="2" t="s">
        <v>57</v>
      </c>
      <c r="I2234" s="16">
        <v>0.56000000000000005</v>
      </c>
      <c r="J2234" s="16">
        <v>100</v>
      </c>
      <c r="K2234" s="16">
        <v>121.69</v>
      </c>
      <c r="L2234" s="16">
        <v>12169</v>
      </c>
      <c r="M2234" s="16">
        <v>-1106.1600000000001</v>
      </c>
      <c r="N2234" s="16">
        <v>0</v>
      </c>
      <c r="O2234" s="16">
        <v>1438.1687489999999</v>
      </c>
      <c r="P2234" s="16">
        <v>12501.008749000001</v>
      </c>
    </row>
    <row r="2235" spans="1:16" ht="14.5" hidden="1" x14ac:dyDescent="0.25">
      <c r="A2235" s="17">
        <v>46059</v>
      </c>
      <c r="B2235" s="2" t="str">
        <f t="shared" si="70"/>
        <v>Feb-2026</v>
      </c>
      <c r="C2235" s="2" t="str">
        <f t="shared" si="71"/>
        <v>Q4</v>
      </c>
      <c r="D2235" s="2" t="s">
        <v>28</v>
      </c>
      <c r="E2235" s="2" t="s">
        <v>468</v>
      </c>
      <c r="F2235" s="2" t="s">
        <v>469</v>
      </c>
      <c r="G2235" s="11" t="s">
        <v>503</v>
      </c>
      <c r="H2235" s="2" t="s">
        <v>59</v>
      </c>
      <c r="I2235" s="16">
        <v>0.12</v>
      </c>
      <c r="J2235" s="16">
        <v>22</v>
      </c>
      <c r="K2235" s="16">
        <v>64.23</v>
      </c>
      <c r="L2235" s="16">
        <v>1413.06</v>
      </c>
      <c r="M2235" s="16">
        <v>-128.44999999999999</v>
      </c>
      <c r="N2235" s="16">
        <v>0</v>
      </c>
      <c r="O2235" s="16">
        <v>166.99924799999999</v>
      </c>
      <c r="P2235" s="16">
        <v>1451.609248</v>
      </c>
    </row>
    <row r="2236" spans="1:16" ht="14.5" hidden="1" x14ac:dyDescent="0.25">
      <c r="A2236" s="17">
        <v>46059</v>
      </c>
      <c r="B2236" s="2" t="str">
        <f t="shared" si="70"/>
        <v>Feb-2026</v>
      </c>
      <c r="C2236" s="2" t="str">
        <f t="shared" si="71"/>
        <v>Q4</v>
      </c>
      <c r="D2236" s="2" t="s">
        <v>28</v>
      </c>
      <c r="E2236" s="2" t="s">
        <v>468</v>
      </c>
      <c r="F2236" s="2" t="s">
        <v>469</v>
      </c>
      <c r="G2236" s="11" t="s">
        <v>504</v>
      </c>
      <c r="H2236" s="2" t="s">
        <v>67</v>
      </c>
      <c r="I2236" s="16">
        <v>0.38</v>
      </c>
      <c r="J2236" s="16">
        <v>15</v>
      </c>
      <c r="K2236" s="16">
        <v>459.72</v>
      </c>
      <c r="L2236" s="16">
        <v>6895.8</v>
      </c>
      <c r="M2236" s="16">
        <v>-626.83000000000004</v>
      </c>
      <c r="N2236" s="16">
        <v>0</v>
      </c>
      <c r="O2236" s="16">
        <v>814.96584499999994</v>
      </c>
      <c r="P2236" s="16">
        <v>7083.935845</v>
      </c>
    </row>
    <row r="2237" spans="1:16" ht="14.5" hidden="1" x14ac:dyDescent="0.25">
      <c r="A2237" s="17">
        <v>46059</v>
      </c>
      <c r="B2237" s="2" t="str">
        <f t="shared" si="70"/>
        <v>Feb-2026</v>
      </c>
      <c r="C2237" s="2" t="str">
        <f t="shared" si="71"/>
        <v>Q4</v>
      </c>
      <c r="D2237" s="2" t="s">
        <v>28</v>
      </c>
      <c r="E2237" s="2" t="s">
        <v>468</v>
      </c>
      <c r="F2237" s="2" t="s">
        <v>469</v>
      </c>
      <c r="G2237" s="11" t="s">
        <v>504</v>
      </c>
      <c r="H2237" s="2" t="s">
        <v>69</v>
      </c>
      <c r="I2237" s="16">
        <v>0.04</v>
      </c>
      <c r="J2237" s="16">
        <v>4</v>
      </c>
      <c r="K2237" s="16">
        <v>189.3</v>
      </c>
      <c r="L2237" s="16">
        <v>757.2</v>
      </c>
      <c r="M2237" s="16">
        <v>-68.83</v>
      </c>
      <c r="N2237" s="16">
        <v>0</v>
      </c>
      <c r="O2237" s="16">
        <v>89.488072000000003</v>
      </c>
      <c r="P2237" s="16">
        <v>777.85807199999999</v>
      </c>
    </row>
    <row r="2238" spans="1:16" ht="14.5" hidden="1" x14ac:dyDescent="0.25">
      <c r="A2238" s="17">
        <v>46061</v>
      </c>
      <c r="B2238" s="2" t="str">
        <f t="shared" si="70"/>
        <v>Feb-2026</v>
      </c>
      <c r="C2238" s="2" t="str">
        <f t="shared" si="71"/>
        <v>Q4</v>
      </c>
      <c r="D2238" s="2" t="s">
        <v>28</v>
      </c>
      <c r="E2238" s="2" t="s">
        <v>470</v>
      </c>
      <c r="F2238" s="2" t="s">
        <v>416</v>
      </c>
      <c r="G2238" s="11" t="s">
        <v>505</v>
      </c>
      <c r="H2238" s="2" t="s">
        <v>49</v>
      </c>
      <c r="I2238" s="16">
        <v>1</v>
      </c>
      <c r="J2238" s="16">
        <v>180</v>
      </c>
      <c r="K2238" s="16">
        <v>158.87</v>
      </c>
      <c r="L2238" s="16">
        <v>28596.6</v>
      </c>
      <c r="M2238" s="16">
        <v>-2599.4300000000003</v>
      </c>
      <c r="N2238" s="16">
        <v>0</v>
      </c>
      <c r="O2238" s="16">
        <v>3379.6309190000002</v>
      </c>
      <c r="P2238" s="16">
        <v>29376.800919000001</v>
      </c>
    </row>
    <row r="2239" spans="1:16" ht="14.5" hidden="1" x14ac:dyDescent="0.25">
      <c r="A2239" s="17">
        <v>46061</v>
      </c>
      <c r="B2239" s="2" t="str">
        <f t="shared" si="70"/>
        <v>Feb-2026</v>
      </c>
      <c r="C2239" s="2" t="str">
        <f t="shared" si="71"/>
        <v>Q4</v>
      </c>
      <c r="D2239" s="2" t="s">
        <v>28</v>
      </c>
      <c r="E2239" s="2" t="s">
        <v>470</v>
      </c>
      <c r="F2239" s="2" t="s">
        <v>416</v>
      </c>
      <c r="G2239" s="11" t="s">
        <v>503</v>
      </c>
      <c r="H2239" s="2" t="s">
        <v>47</v>
      </c>
      <c r="I2239" s="16">
        <v>1</v>
      </c>
      <c r="J2239" s="16">
        <v>120</v>
      </c>
      <c r="K2239" s="16">
        <v>118.3</v>
      </c>
      <c r="L2239" s="16">
        <v>14195.999999999998</v>
      </c>
      <c r="M2239" s="16">
        <v>-1290.4199999999998</v>
      </c>
      <c r="N2239" s="16">
        <v>0</v>
      </c>
      <c r="O2239" s="16">
        <v>1677.7248140000002</v>
      </c>
      <c r="P2239" s="16">
        <v>14583.304813999999</v>
      </c>
    </row>
    <row r="2240" spans="1:16" ht="14.5" hidden="1" x14ac:dyDescent="0.25">
      <c r="A2240" s="17">
        <v>46061</v>
      </c>
      <c r="B2240" s="2" t="str">
        <f t="shared" si="70"/>
        <v>Feb-2026</v>
      </c>
      <c r="C2240" s="2" t="str">
        <f t="shared" si="71"/>
        <v>Q4</v>
      </c>
      <c r="D2240" s="2" t="s">
        <v>28</v>
      </c>
      <c r="E2240" s="2" t="s">
        <v>470</v>
      </c>
      <c r="F2240" s="2" t="s">
        <v>416</v>
      </c>
      <c r="G2240" s="11" t="s">
        <v>503</v>
      </c>
      <c r="H2240" s="2" t="s">
        <v>57</v>
      </c>
      <c r="I2240" s="16">
        <v>1</v>
      </c>
      <c r="J2240" s="16">
        <v>180</v>
      </c>
      <c r="K2240" s="16">
        <v>118.3</v>
      </c>
      <c r="L2240" s="16">
        <v>21294</v>
      </c>
      <c r="M2240" s="16">
        <v>-1935.62</v>
      </c>
      <c r="N2240" s="16">
        <v>0</v>
      </c>
      <c r="O2240" s="16">
        <v>2516.5885200000002</v>
      </c>
      <c r="P2240" s="16">
        <v>21874.968519999999</v>
      </c>
    </row>
    <row r="2241" spans="1:16" ht="14.5" hidden="1" x14ac:dyDescent="0.25">
      <c r="A2241" s="17">
        <v>46061</v>
      </c>
      <c r="B2241" s="2" t="str">
        <f t="shared" si="70"/>
        <v>Feb-2026</v>
      </c>
      <c r="C2241" s="2" t="str">
        <f t="shared" si="71"/>
        <v>Q4</v>
      </c>
      <c r="D2241" s="2" t="s">
        <v>28</v>
      </c>
      <c r="E2241" s="2" t="s">
        <v>470</v>
      </c>
      <c r="F2241" s="2" t="s">
        <v>416</v>
      </c>
      <c r="G2241" s="11" t="s">
        <v>503</v>
      </c>
      <c r="H2241" s="2" t="s">
        <v>41</v>
      </c>
      <c r="I2241" s="16">
        <v>1</v>
      </c>
      <c r="J2241" s="16">
        <v>180</v>
      </c>
      <c r="K2241" s="16">
        <v>60.84</v>
      </c>
      <c r="L2241" s="16">
        <v>10951.199999999999</v>
      </c>
      <c r="M2241" s="16">
        <v>-995.46</v>
      </c>
      <c r="N2241" s="16">
        <v>0</v>
      </c>
      <c r="O2241" s="16">
        <v>1294.245748</v>
      </c>
      <c r="P2241" s="16">
        <v>11249.985747999999</v>
      </c>
    </row>
    <row r="2242" spans="1:16" ht="14.5" hidden="1" x14ac:dyDescent="0.25">
      <c r="A2242" s="17">
        <v>46062</v>
      </c>
      <c r="B2242" s="2" t="str">
        <f t="shared" si="70"/>
        <v>Feb-2026</v>
      </c>
      <c r="C2242" s="2" t="str">
        <f t="shared" si="71"/>
        <v>Q4</v>
      </c>
      <c r="D2242" s="2" t="s">
        <v>28</v>
      </c>
      <c r="E2242" s="2" t="s">
        <v>471</v>
      </c>
      <c r="F2242" s="2" t="s">
        <v>19</v>
      </c>
      <c r="G2242" s="11" t="s">
        <v>503</v>
      </c>
      <c r="H2242" s="2" t="s">
        <v>176</v>
      </c>
      <c r="I2242" s="16">
        <v>0.17</v>
      </c>
      <c r="J2242" s="16">
        <v>20</v>
      </c>
      <c r="K2242" s="16">
        <v>158.86000000000001</v>
      </c>
      <c r="L2242" s="16">
        <v>3177.2</v>
      </c>
      <c r="M2242" s="16">
        <v>-288.81</v>
      </c>
      <c r="N2242" s="16">
        <v>0</v>
      </c>
      <c r="O2242" s="16">
        <v>375.49094000000002</v>
      </c>
      <c r="P2242" s="16">
        <v>3263.88094</v>
      </c>
    </row>
    <row r="2243" spans="1:16" ht="14.5" hidden="1" x14ac:dyDescent="0.25">
      <c r="A2243" s="17">
        <v>46062</v>
      </c>
      <c r="B2243" s="2" t="str">
        <f t="shared" si="70"/>
        <v>Feb-2026</v>
      </c>
      <c r="C2243" s="2" t="str">
        <f t="shared" si="71"/>
        <v>Q4</v>
      </c>
      <c r="D2243" s="2" t="s">
        <v>28</v>
      </c>
      <c r="E2243" s="2" t="s">
        <v>471</v>
      </c>
      <c r="F2243" s="2" t="s">
        <v>19</v>
      </c>
      <c r="G2243" s="11" t="s">
        <v>503</v>
      </c>
      <c r="H2243" s="2" t="s">
        <v>173</v>
      </c>
      <c r="I2243" s="16">
        <v>0.49</v>
      </c>
      <c r="J2243" s="16">
        <v>59</v>
      </c>
      <c r="K2243" s="16">
        <v>84.51</v>
      </c>
      <c r="L2243" s="16">
        <v>4986.09</v>
      </c>
      <c r="M2243" s="16">
        <v>-453.24</v>
      </c>
      <c r="N2243" s="16">
        <v>0</v>
      </c>
      <c r="O2243" s="16">
        <v>589.27087700000004</v>
      </c>
      <c r="P2243" s="16">
        <v>5122.1208770000003</v>
      </c>
    </row>
    <row r="2244" spans="1:16" ht="14.5" hidden="1" x14ac:dyDescent="0.25">
      <c r="A2244" s="17">
        <v>46062</v>
      </c>
      <c r="B2244" s="2" t="str">
        <f t="shared" si="70"/>
        <v>Feb-2026</v>
      </c>
      <c r="C2244" s="2" t="str">
        <f t="shared" si="71"/>
        <v>Q4</v>
      </c>
      <c r="D2244" s="2" t="s">
        <v>28</v>
      </c>
      <c r="E2244" s="2" t="s">
        <v>471</v>
      </c>
      <c r="F2244" s="2" t="s">
        <v>19</v>
      </c>
      <c r="G2244" s="11" t="s">
        <v>505</v>
      </c>
      <c r="H2244" s="2" t="s">
        <v>50</v>
      </c>
      <c r="I2244" s="16">
        <v>0.5</v>
      </c>
      <c r="J2244" s="16">
        <v>40</v>
      </c>
      <c r="K2244" s="16">
        <v>169.01</v>
      </c>
      <c r="L2244" s="16">
        <v>6760.4</v>
      </c>
      <c r="M2244" s="16">
        <v>-614.52</v>
      </c>
      <c r="N2244" s="16">
        <v>0</v>
      </c>
      <c r="O2244" s="16">
        <v>798.96491100000003</v>
      </c>
      <c r="P2244" s="16">
        <v>6944.8449110000001</v>
      </c>
    </row>
    <row r="2245" spans="1:16" ht="14.5" hidden="1" x14ac:dyDescent="0.25">
      <c r="A2245" s="17">
        <v>46062</v>
      </c>
      <c r="B2245" s="2" t="str">
        <f t="shared" si="70"/>
        <v>Feb-2026</v>
      </c>
      <c r="C2245" s="2" t="str">
        <f t="shared" si="71"/>
        <v>Q4</v>
      </c>
      <c r="D2245" s="2" t="s">
        <v>28</v>
      </c>
      <c r="E2245" s="2" t="s">
        <v>471</v>
      </c>
      <c r="F2245" s="2" t="s">
        <v>19</v>
      </c>
      <c r="G2245" s="11" t="s">
        <v>503</v>
      </c>
      <c r="H2245" s="2" t="s">
        <v>63</v>
      </c>
      <c r="I2245" s="16">
        <v>0.13</v>
      </c>
      <c r="J2245" s="16">
        <v>10</v>
      </c>
      <c r="K2245" s="16">
        <v>185.92</v>
      </c>
      <c r="L2245" s="16">
        <v>1859.2</v>
      </c>
      <c r="M2245" s="16">
        <v>-169</v>
      </c>
      <c r="N2245" s="16">
        <v>0</v>
      </c>
      <c r="O2245" s="16">
        <v>219.72614100000001</v>
      </c>
      <c r="P2245" s="16">
        <v>1909.9261409999999</v>
      </c>
    </row>
    <row r="2246" spans="1:16" ht="14.5" hidden="1" x14ac:dyDescent="0.25">
      <c r="A2246" s="17">
        <v>46062</v>
      </c>
      <c r="B2246" s="2" t="str">
        <f t="shared" si="70"/>
        <v>Feb-2026</v>
      </c>
      <c r="C2246" s="2" t="str">
        <f t="shared" si="71"/>
        <v>Q4</v>
      </c>
      <c r="D2246" s="2" t="s">
        <v>28</v>
      </c>
      <c r="E2246" s="2" t="s">
        <v>471</v>
      </c>
      <c r="F2246" s="2" t="s">
        <v>19</v>
      </c>
      <c r="G2246" s="11" t="s">
        <v>503</v>
      </c>
      <c r="H2246" s="2" t="s">
        <v>44</v>
      </c>
      <c r="I2246" s="16">
        <v>0.5</v>
      </c>
      <c r="J2246" s="16">
        <v>90</v>
      </c>
      <c r="K2246" s="16">
        <v>155.49</v>
      </c>
      <c r="L2246" s="16">
        <v>13994.1</v>
      </c>
      <c r="M2246" s="16">
        <v>-1272.0600000000002</v>
      </c>
      <c r="N2246" s="16">
        <v>0</v>
      </c>
      <c r="O2246" s="16">
        <v>1653.8662589999999</v>
      </c>
      <c r="P2246" s="16">
        <v>14375.906258999999</v>
      </c>
    </row>
    <row r="2247" spans="1:16" ht="14.5" hidden="1" x14ac:dyDescent="0.25">
      <c r="A2247" s="17">
        <v>46062</v>
      </c>
      <c r="B2247" s="2" t="str">
        <f t="shared" si="70"/>
        <v>Feb-2026</v>
      </c>
      <c r="C2247" s="2" t="str">
        <f t="shared" si="71"/>
        <v>Q4</v>
      </c>
      <c r="D2247" s="2" t="s">
        <v>28</v>
      </c>
      <c r="E2247" s="2" t="s">
        <v>471</v>
      </c>
      <c r="F2247" s="2" t="s">
        <v>19</v>
      </c>
      <c r="G2247" s="11" t="s">
        <v>503</v>
      </c>
      <c r="H2247" s="2" t="s">
        <v>41</v>
      </c>
      <c r="I2247" s="16">
        <v>0.5</v>
      </c>
      <c r="J2247" s="16">
        <v>90</v>
      </c>
      <c r="K2247" s="16">
        <v>60.84</v>
      </c>
      <c r="L2247" s="16">
        <v>5475.5999999999995</v>
      </c>
      <c r="M2247" s="16">
        <v>-497.73</v>
      </c>
      <c r="N2247" s="16">
        <v>0</v>
      </c>
      <c r="O2247" s="16">
        <v>647.123514</v>
      </c>
      <c r="P2247" s="16">
        <v>5624.9935139999998</v>
      </c>
    </row>
    <row r="2248" spans="1:16" ht="14.5" hidden="1" x14ac:dyDescent="0.25">
      <c r="A2248" s="17">
        <v>46062</v>
      </c>
      <c r="B2248" s="2" t="str">
        <f t="shared" si="70"/>
        <v>Feb-2026</v>
      </c>
      <c r="C2248" s="2" t="str">
        <f t="shared" si="71"/>
        <v>Q4</v>
      </c>
      <c r="D2248" s="2" t="s">
        <v>28</v>
      </c>
      <c r="E2248" s="2" t="s">
        <v>471</v>
      </c>
      <c r="F2248" s="2" t="s">
        <v>19</v>
      </c>
      <c r="G2248" s="11" t="s">
        <v>506</v>
      </c>
      <c r="H2248" s="2" t="s">
        <v>54</v>
      </c>
      <c r="I2248" s="16">
        <v>0.25</v>
      </c>
      <c r="J2248" s="16">
        <v>12</v>
      </c>
      <c r="K2248" s="16">
        <v>310.99</v>
      </c>
      <c r="L2248" s="16">
        <v>3731.8799999999997</v>
      </c>
      <c r="M2248" s="16">
        <v>-339.23</v>
      </c>
      <c r="N2248" s="16">
        <v>0</v>
      </c>
      <c r="O2248" s="16">
        <v>441.044782</v>
      </c>
      <c r="P2248" s="16">
        <v>3833.694782</v>
      </c>
    </row>
    <row r="2249" spans="1:16" ht="14.5" hidden="1" x14ac:dyDescent="0.25">
      <c r="A2249" s="17">
        <v>46062</v>
      </c>
      <c r="B2249" s="2" t="str">
        <f t="shared" si="70"/>
        <v>Feb-2026</v>
      </c>
      <c r="C2249" s="2" t="str">
        <f t="shared" si="71"/>
        <v>Q4</v>
      </c>
      <c r="D2249" s="2" t="s">
        <v>28</v>
      </c>
      <c r="E2249" s="2" t="s">
        <v>471</v>
      </c>
      <c r="F2249" s="2" t="s">
        <v>19</v>
      </c>
      <c r="G2249" s="11" t="s">
        <v>503</v>
      </c>
      <c r="H2249" s="2" t="s">
        <v>42</v>
      </c>
      <c r="I2249" s="16">
        <v>0.5</v>
      </c>
      <c r="J2249" s="16">
        <v>60</v>
      </c>
      <c r="K2249" s="16">
        <v>148.72999999999999</v>
      </c>
      <c r="L2249" s="16">
        <v>8923.8000000000011</v>
      </c>
      <c r="M2249" s="16">
        <v>-811.17</v>
      </c>
      <c r="N2249" s="16">
        <v>0</v>
      </c>
      <c r="O2249" s="16">
        <v>1054.6425750000001</v>
      </c>
      <c r="P2249" s="16">
        <v>9167.2725750000009</v>
      </c>
    </row>
    <row r="2250" spans="1:16" ht="14.5" hidden="1" x14ac:dyDescent="0.25">
      <c r="A2250" s="17">
        <v>46063</v>
      </c>
      <c r="B2250" s="2" t="str">
        <f t="shared" si="70"/>
        <v>Feb-2026</v>
      </c>
      <c r="C2250" s="2" t="str">
        <f t="shared" si="71"/>
        <v>Q4</v>
      </c>
      <c r="D2250" s="2" t="s">
        <v>28</v>
      </c>
      <c r="E2250" s="2" t="s">
        <v>472</v>
      </c>
      <c r="F2250" s="2" t="s">
        <v>236</v>
      </c>
      <c r="G2250" s="11" t="s">
        <v>505</v>
      </c>
      <c r="H2250" s="2" t="s">
        <v>49</v>
      </c>
      <c r="I2250" s="16">
        <v>2</v>
      </c>
      <c r="J2250" s="16">
        <v>360</v>
      </c>
      <c r="K2250" s="16">
        <v>182.53</v>
      </c>
      <c r="L2250" s="16">
        <v>65710.8</v>
      </c>
      <c r="M2250" s="16">
        <v>-5973.11</v>
      </c>
      <c r="N2250" s="16">
        <v>0</v>
      </c>
      <c r="O2250" s="16">
        <v>7765.9000000000005</v>
      </c>
      <c r="P2250" s="16">
        <v>67503.59</v>
      </c>
    </row>
    <row r="2251" spans="1:16" ht="14.5" hidden="1" x14ac:dyDescent="0.25">
      <c r="A2251" s="17">
        <v>46063</v>
      </c>
      <c r="B2251" s="2" t="str">
        <f t="shared" si="70"/>
        <v>Feb-2026</v>
      </c>
      <c r="C2251" s="2" t="str">
        <f t="shared" si="71"/>
        <v>Q4</v>
      </c>
      <c r="D2251" s="2" t="s">
        <v>28</v>
      </c>
      <c r="E2251" s="2" t="s">
        <v>473</v>
      </c>
      <c r="F2251" s="2" t="s">
        <v>236</v>
      </c>
      <c r="G2251" s="11" t="s">
        <v>503</v>
      </c>
      <c r="H2251" s="2" t="s">
        <v>42</v>
      </c>
      <c r="I2251" s="16">
        <v>1</v>
      </c>
      <c r="J2251" s="16">
        <v>120</v>
      </c>
      <c r="K2251" s="16">
        <v>148.72999999999999</v>
      </c>
      <c r="L2251" s="16">
        <v>17847.600000000002</v>
      </c>
      <c r="M2251" s="16">
        <v>-1622.3500000000001</v>
      </c>
      <c r="N2251" s="16">
        <v>0</v>
      </c>
      <c r="O2251" s="16">
        <v>2109.2837159999999</v>
      </c>
      <c r="P2251" s="16">
        <v>18334.533716000002</v>
      </c>
    </row>
    <row r="2252" spans="1:16" ht="14.5" hidden="1" x14ac:dyDescent="0.25">
      <c r="A2252" s="17">
        <v>46063</v>
      </c>
      <c r="B2252" s="2" t="str">
        <f t="shared" si="70"/>
        <v>Feb-2026</v>
      </c>
      <c r="C2252" s="2" t="str">
        <f t="shared" si="71"/>
        <v>Q4</v>
      </c>
      <c r="D2252" s="2" t="s">
        <v>28</v>
      </c>
      <c r="E2252" s="2" t="s">
        <v>473</v>
      </c>
      <c r="F2252" s="2" t="s">
        <v>236</v>
      </c>
      <c r="G2252" s="11" t="s">
        <v>503</v>
      </c>
      <c r="H2252" s="2" t="s">
        <v>41</v>
      </c>
      <c r="I2252" s="16">
        <v>0.5</v>
      </c>
      <c r="J2252" s="16">
        <v>90</v>
      </c>
      <c r="K2252" s="16">
        <v>60.84</v>
      </c>
      <c r="L2252" s="16">
        <v>5475.5999999999995</v>
      </c>
      <c r="M2252" s="16">
        <v>-497.73</v>
      </c>
      <c r="N2252" s="16">
        <v>0</v>
      </c>
      <c r="O2252" s="16">
        <v>647.12347299999999</v>
      </c>
      <c r="P2252" s="16">
        <v>5624.9934730000004</v>
      </c>
    </row>
    <row r="2253" spans="1:16" ht="14.5" hidden="1" x14ac:dyDescent="0.25">
      <c r="A2253" s="17">
        <v>46063</v>
      </c>
      <c r="B2253" s="2" t="str">
        <f t="shared" si="70"/>
        <v>Feb-2026</v>
      </c>
      <c r="C2253" s="2" t="str">
        <f t="shared" si="71"/>
        <v>Q4</v>
      </c>
      <c r="D2253" s="2" t="s">
        <v>28</v>
      </c>
      <c r="E2253" s="2" t="s">
        <v>473</v>
      </c>
      <c r="F2253" s="2" t="s">
        <v>236</v>
      </c>
      <c r="G2253" s="11" t="s">
        <v>505</v>
      </c>
      <c r="H2253" s="2" t="s">
        <v>40</v>
      </c>
      <c r="I2253" s="16">
        <v>0.5</v>
      </c>
      <c r="J2253" s="16">
        <v>90</v>
      </c>
      <c r="K2253" s="16">
        <v>81.14</v>
      </c>
      <c r="L2253" s="16">
        <v>7302.5999999999995</v>
      </c>
      <c r="M2253" s="16">
        <v>-663.81</v>
      </c>
      <c r="N2253" s="16">
        <v>0</v>
      </c>
      <c r="O2253" s="16">
        <v>863.04319699999996</v>
      </c>
      <c r="P2253" s="16">
        <v>7501.8331969999999</v>
      </c>
    </row>
    <row r="2254" spans="1:16" ht="14.5" hidden="1" x14ac:dyDescent="0.25">
      <c r="A2254" s="17">
        <v>46063</v>
      </c>
      <c r="B2254" s="2" t="str">
        <f t="shared" si="70"/>
        <v>Feb-2026</v>
      </c>
      <c r="C2254" s="2" t="str">
        <f t="shared" si="71"/>
        <v>Q4</v>
      </c>
      <c r="D2254" s="2" t="s">
        <v>28</v>
      </c>
      <c r="E2254" s="2" t="s">
        <v>473</v>
      </c>
      <c r="F2254" s="2" t="s">
        <v>236</v>
      </c>
      <c r="G2254" s="11" t="s">
        <v>503</v>
      </c>
      <c r="H2254" s="2" t="s">
        <v>174</v>
      </c>
      <c r="I2254" s="16">
        <v>0.5</v>
      </c>
      <c r="J2254" s="16">
        <v>90</v>
      </c>
      <c r="K2254" s="16">
        <v>83.82</v>
      </c>
      <c r="L2254" s="16">
        <v>7543.8</v>
      </c>
      <c r="M2254" s="16">
        <v>-685.7299999999999</v>
      </c>
      <c r="N2254" s="16">
        <v>0</v>
      </c>
      <c r="O2254" s="16">
        <v>891.54961399999991</v>
      </c>
      <c r="P2254" s="16">
        <v>7749.6196140000002</v>
      </c>
    </row>
    <row r="2255" spans="1:16" ht="14.5" hidden="1" x14ac:dyDescent="0.25">
      <c r="A2255" s="17">
        <v>46063</v>
      </c>
      <c r="B2255" s="2" t="str">
        <f t="shared" si="70"/>
        <v>Feb-2026</v>
      </c>
      <c r="C2255" s="2" t="str">
        <f t="shared" si="71"/>
        <v>Q4</v>
      </c>
      <c r="D2255" s="2" t="s">
        <v>28</v>
      </c>
      <c r="E2255" s="2" t="s">
        <v>474</v>
      </c>
      <c r="F2255" s="2" t="s">
        <v>15</v>
      </c>
      <c r="G2255" s="11" t="s">
        <v>504</v>
      </c>
      <c r="H2255" s="2" t="s">
        <v>69</v>
      </c>
      <c r="I2255" s="16">
        <v>2</v>
      </c>
      <c r="J2255" s="16">
        <v>200</v>
      </c>
      <c r="K2255" s="16">
        <v>162.26</v>
      </c>
      <c r="L2255" s="16">
        <v>32451.200000000001</v>
      </c>
      <c r="M2255" s="16">
        <v>-2949.8100000000004</v>
      </c>
      <c r="N2255" s="16">
        <v>0</v>
      </c>
      <c r="O2255" s="16">
        <v>3835.179286</v>
      </c>
      <c r="P2255" s="16">
        <v>33336.569285999998</v>
      </c>
    </row>
    <row r="2256" spans="1:16" ht="14.5" hidden="1" x14ac:dyDescent="0.25">
      <c r="A2256" s="17">
        <v>46063</v>
      </c>
      <c r="B2256" s="2" t="str">
        <f t="shared" ref="B2256:B2319" si="72">+TEXT(A2256,"MMM-yyy")</f>
        <v>Feb-2026</v>
      </c>
      <c r="C2256" s="2" t="str">
        <f t="shared" ref="C2256:C2319" si="73">"Q" &amp; CHOOSE(MONTH(A2256),4,4,4,1,1,1,2,2,2,3,3,3)</f>
        <v>Q4</v>
      </c>
      <c r="D2256" s="2" t="s">
        <v>28</v>
      </c>
      <c r="E2256" s="2" t="s">
        <v>474</v>
      </c>
      <c r="F2256" s="2" t="s">
        <v>15</v>
      </c>
      <c r="G2256" s="11" t="s">
        <v>504</v>
      </c>
      <c r="H2256" s="2" t="s">
        <v>67</v>
      </c>
      <c r="I2256" s="16">
        <v>1</v>
      </c>
      <c r="J2256" s="16">
        <v>40</v>
      </c>
      <c r="K2256" s="16">
        <v>393.46</v>
      </c>
      <c r="L2256" s="16">
        <v>15738.4</v>
      </c>
      <c r="M2256" s="16">
        <v>-1430.6200000000001</v>
      </c>
      <c r="N2256" s="16">
        <v>0</v>
      </c>
      <c r="O2256" s="16">
        <v>1860.010714</v>
      </c>
      <c r="P2256" s="16">
        <v>16167.790714000001</v>
      </c>
    </row>
    <row r="2257" spans="1:16" ht="14.5" hidden="1" x14ac:dyDescent="0.25">
      <c r="A2257" s="17">
        <v>46066</v>
      </c>
      <c r="B2257" s="2" t="str">
        <f t="shared" si="72"/>
        <v>Feb-2026</v>
      </c>
      <c r="C2257" s="2" t="str">
        <f t="shared" si="73"/>
        <v>Q4</v>
      </c>
      <c r="D2257" s="2" t="s">
        <v>28</v>
      </c>
      <c r="E2257" s="2" t="s">
        <v>475</v>
      </c>
      <c r="F2257" s="2" t="s">
        <v>104</v>
      </c>
      <c r="G2257" s="11" t="s">
        <v>505</v>
      </c>
      <c r="H2257" s="2" t="s">
        <v>40</v>
      </c>
      <c r="I2257" s="16">
        <v>0.1</v>
      </c>
      <c r="J2257" s="16">
        <v>18</v>
      </c>
      <c r="K2257" s="16">
        <v>84.96</v>
      </c>
      <c r="L2257" s="16">
        <v>1529.28</v>
      </c>
      <c r="M2257" s="16">
        <v>0</v>
      </c>
      <c r="N2257" s="16">
        <v>0</v>
      </c>
      <c r="O2257" s="16">
        <v>198.80500000000001</v>
      </c>
      <c r="P2257" s="16">
        <v>1728.085</v>
      </c>
    </row>
    <row r="2258" spans="1:16" ht="14.5" hidden="1" x14ac:dyDescent="0.25">
      <c r="A2258" s="17">
        <v>46066</v>
      </c>
      <c r="B2258" s="2" t="str">
        <f t="shared" si="72"/>
        <v>Feb-2026</v>
      </c>
      <c r="C2258" s="2" t="str">
        <f t="shared" si="73"/>
        <v>Q4</v>
      </c>
      <c r="D2258" s="2" t="s">
        <v>28</v>
      </c>
      <c r="E2258" s="2" t="s">
        <v>475</v>
      </c>
      <c r="F2258" s="2" t="s">
        <v>104</v>
      </c>
      <c r="G2258" s="11" t="s">
        <v>503</v>
      </c>
      <c r="H2258" s="2" t="s">
        <v>52</v>
      </c>
      <c r="I2258" s="16">
        <v>7.0000000000000007E-2</v>
      </c>
      <c r="J2258" s="16">
        <v>12</v>
      </c>
      <c r="K2258" s="16">
        <v>74.34</v>
      </c>
      <c r="L2258" s="16">
        <v>892.08</v>
      </c>
      <c r="M2258" s="16">
        <v>0</v>
      </c>
      <c r="N2258" s="16">
        <v>0</v>
      </c>
      <c r="O2258" s="16">
        <v>115.969583</v>
      </c>
      <c r="P2258" s="16">
        <v>1008.049583</v>
      </c>
    </row>
    <row r="2259" spans="1:16" ht="14.5" hidden="1" x14ac:dyDescent="0.25">
      <c r="A2259" s="17">
        <v>46066</v>
      </c>
      <c r="B2259" s="2" t="str">
        <f t="shared" si="72"/>
        <v>Feb-2026</v>
      </c>
      <c r="C2259" s="2" t="str">
        <f t="shared" si="73"/>
        <v>Q4</v>
      </c>
      <c r="D2259" s="2" t="s">
        <v>28</v>
      </c>
      <c r="E2259" s="2" t="s">
        <v>475</v>
      </c>
      <c r="F2259" s="2" t="s">
        <v>104</v>
      </c>
      <c r="G2259" s="11" t="s">
        <v>503</v>
      </c>
      <c r="H2259" s="2" t="s">
        <v>41</v>
      </c>
      <c r="I2259" s="16">
        <v>0.06</v>
      </c>
      <c r="J2259" s="16">
        <v>10</v>
      </c>
      <c r="K2259" s="16">
        <v>63.72</v>
      </c>
      <c r="L2259" s="16">
        <v>637.20000000000005</v>
      </c>
      <c r="M2259" s="16">
        <v>0</v>
      </c>
      <c r="N2259" s="16">
        <v>0</v>
      </c>
      <c r="O2259" s="16">
        <v>82.835416999999993</v>
      </c>
      <c r="P2259" s="16">
        <v>720.03541700000005</v>
      </c>
    </row>
    <row r="2260" spans="1:16" ht="14.5" hidden="1" x14ac:dyDescent="0.25">
      <c r="A2260" s="17">
        <v>46070</v>
      </c>
      <c r="B2260" s="2" t="str">
        <f t="shared" si="72"/>
        <v>Feb-2026</v>
      </c>
      <c r="C2260" s="2" t="str">
        <f t="shared" si="73"/>
        <v>Q4</v>
      </c>
      <c r="D2260" s="2" t="s">
        <v>28</v>
      </c>
      <c r="E2260" s="2" t="s">
        <v>476</v>
      </c>
      <c r="F2260" s="2" t="s">
        <v>477</v>
      </c>
      <c r="G2260" s="11" t="s">
        <v>503</v>
      </c>
      <c r="H2260" s="2" t="s">
        <v>87</v>
      </c>
      <c r="I2260" s="16">
        <v>2</v>
      </c>
      <c r="J2260" s="16">
        <v>360</v>
      </c>
      <c r="K2260" s="16">
        <v>114.93</v>
      </c>
      <c r="L2260" s="16">
        <v>41374.800000000003</v>
      </c>
      <c r="M2260" s="16">
        <v>-3760.97</v>
      </c>
      <c r="N2260" s="16">
        <v>0</v>
      </c>
      <c r="O2260" s="16">
        <v>4889.797732</v>
      </c>
      <c r="P2260" s="16">
        <v>42503.627732000001</v>
      </c>
    </row>
    <row r="2261" spans="1:16" ht="14.5" hidden="1" x14ac:dyDescent="0.25">
      <c r="A2261" s="17">
        <v>46070</v>
      </c>
      <c r="B2261" s="2" t="str">
        <f t="shared" si="72"/>
        <v>Feb-2026</v>
      </c>
      <c r="C2261" s="2" t="str">
        <f t="shared" si="73"/>
        <v>Q4</v>
      </c>
      <c r="D2261" s="2" t="s">
        <v>28</v>
      </c>
      <c r="E2261" s="2" t="s">
        <v>476</v>
      </c>
      <c r="F2261" s="2" t="s">
        <v>477</v>
      </c>
      <c r="G2261" s="11" t="s">
        <v>505</v>
      </c>
      <c r="H2261" s="2" t="s">
        <v>168</v>
      </c>
      <c r="I2261" s="16">
        <v>1</v>
      </c>
      <c r="J2261" s="16">
        <v>80</v>
      </c>
      <c r="K2261" s="16">
        <v>229.86</v>
      </c>
      <c r="L2261" s="16">
        <v>18388.8</v>
      </c>
      <c r="M2261" s="16">
        <v>-1671.54</v>
      </c>
      <c r="N2261" s="16">
        <v>0</v>
      </c>
      <c r="O2261" s="16">
        <v>2173.2437260000002</v>
      </c>
      <c r="P2261" s="16">
        <v>18890.503725999999</v>
      </c>
    </row>
    <row r="2262" spans="1:16" ht="14.5" hidden="1" x14ac:dyDescent="0.25">
      <c r="A2262" s="17">
        <v>46070</v>
      </c>
      <c r="B2262" s="2" t="str">
        <f t="shared" si="72"/>
        <v>Feb-2026</v>
      </c>
      <c r="C2262" s="2" t="str">
        <f t="shared" si="73"/>
        <v>Q4</v>
      </c>
      <c r="D2262" s="2" t="s">
        <v>28</v>
      </c>
      <c r="E2262" s="2" t="s">
        <v>476</v>
      </c>
      <c r="F2262" s="2" t="s">
        <v>477</v>
      </c>
      <c r="G2262" s="11" t="s">
        <v>505</v>
      </c>
      <c r="H2262" s="2" t="s">
        <v>49</v>
      </c>
      <c r="I2262" s="16">
        <v>10</v>
      </c>
      <c r="J2262" s="16">
        <v>1800</v>
      </c>
      <c r="K2262" s="16">
        <v>158.87</v>
      </c>
      <c r="L2262" s="16">
        <v>285966</v>
      </c>
      <c r="M2262" s="16">
        <v>-25994.31</v>
      </c>
      <c r="N2262" s="16">
        <v>0</v>
      </c>
      <c r="O2262" s="16">
        <v>33796.318542000001</v>
      </c>
      <c r="P2262" s="16">
        <v>293768.00854200003</v>
      </c>
    </row>
    <row r="2263" spans="1:16" ht="14.5" hidden="1" x14ac:dyDescent="0.25">
      <c r="A2263" s="17">
        <v>46071</v>
      </c>
      <c r="B2263" s="2" t="str">
        <f t="shared" si="72"/>
        <v>Feb-2026</v>
      </c>
      <c r="C2263" s="2" t="str">
        <f t="shared" si="73"/>
        <v>Q4</v>
      </c>
      <c r="D2263" s="2" t="s">
        <v>28</v>
      </c>
      <c r="E2263" s="2" t="s">
        <v>478</v>
      </c>
      <c r="F2263" s="2" t="s">
        <v>15</v>
      </c>
      <c r="G2263" s="11" t="s">
        <v>507</v>
      </c>
      <c r="H2263" s="2" t="s">
        <v>60</v>
      </c>
      <c r="I2263" s="16">
        <v>0.88</v>
      </c>
      <c r="J2263" s="16">
        <v>53</v>
      </c>
      <c r="K2263" s="16">
        <v>98.03</v>
      </c>
      <c r="L2263" s="16">
        <v>5195.5899999999992</v>
      </c>
      <c r="M2263" s="16">
        <v>-472.28</v>
      </c>
      <c r="N2263" s="16">
        <v>0</v>
      </c>
      <c r="O2263" s="16">
        <v>614.030439</v>
      </c>
      <c r="P2263" s="16">
        <v>5337.3404389999996</v>
      </c>
    </row>
    <row r="2264" spans="1:16" ht="14.5" hidden="1" x14ac:dyDescent="0.25">
      <c r="A2264" s="17">
        <v>46071</v>
      </c>
      <c r="B2264" s="2" t="str">
        <f t="shared" si="72"/>
        <v>Feb-2026</v>
      </c>
      <c r="C2264" s="2" t="str">
        <f t="shared" si="73"/>
        <v>Q4</v>
      </c>
      <c r="D2264" s="2" t="s">
        <v>28</v>
      </c>
      <c r="E2264" s="2" t="s">
        <v>478</v>
      </c>
      <c r="F2264" s="2" t="s">
        <v>15</v>
      </c>
      <c r="G2264" s="11" t="s">
        <v>505</v>
      </c>
      <c r="H2264" s="2" t="s">
        <v>40</v>
      </c>
      <c r="I2264" s="16">
        <v>2.33</v>
      </c>
      <c r="J2264" s="16">
        <v>420</v>
      </c>
      <c r="K2264" s="16">
        <v>94.65</v>
      </c>
      <c r="L2264" s="16">
        <v>39753</v>
      </c>
      <c r="M2264" s="16">
        <v>-3613.5499999999997</v>
      </c>
      <c r="N2264" s="16">
        <v>0</v>
      </c>
      <c r="O2264" s="16">
        <v>4698.1295609999997</v>
      </c>
      <c r="P2264" s="16">
        <v>40837.579560999999</v>
      </c>
    </row>
    <row r="2265" spans="1:16" ht="14.5" hidden="1" x14ac:dyDescent="0.25">
      <c r="A2265" s="17">
        <v>46071</v>
      </c>
      <c r="B2265" s="2" t="str">
        <f t="shared" si="72"/>
        <v>Feb-2026</v>
      </c>
      <c r="C2265" s="2" t="str">
        <f t="shared" si="73"/>
        <v>Q4</v>
      </c>
      <c r="D2265" s="2" t="s">
        <v>28</v>
      </c>
      <c r="E2265" s="2" t="s">
        <v>479</v>
      </c>
      <c r="F2265" s="2" t="s">
        <v>73</v>
      </c>
      <c r="G2265" s="11" t="s">
        <v>505</v>
      </c>
      <c r="H2265" s="2" t="s">
        <v>167</v>
      </c>
      <c r="I2265" s="16">
        <v>-0.94</v>
      </c>
      <c r="J2265" s="16">
        <v>-170</v>
      </c>
      <c r="K2265" s="16">
        <v>91.27</v>
      </c>
      <c r="L2265" s="16">
        <v>-15515.9</v>
      </c>
      <c r="M2265" s="16">
        <v>1410.4</v>
      </c>
      <c r="N2265" s="16">
        <v>0</v>
      </c>
      <c r="O2265" s="16">
        <v>-1833.7153450000001</v>
      </c>
      <c r="P2265" s="16">
        <v>-15939.215345000001</v>
      </c>
    </row>
    <row r="2266" spans="1:16" ht="14.5" hidden="1" x14ac:dyDescent="0.25">
      <c r="A2266" s="17">
        <v>46071</v>
      </c>
      <c r="B2266" s="2" t="str">
        <f t="shared" si="72"/>
        <v>Feb-2026</v>
      </c>
      <c r="C2266" s="2" t="str">
        <f t="shared" si="73"/>
        <v>Q4</v>
      </c>
      <c r="D2266" s="2" t="s">
        <v>28</v>
      </c>
      <c r="E2266" s="2" t="s">
        <v>479</v>
      </c>
      <c r="F2266" s="2" t="s">
        <v>73</v>
      </c>
      <c r="G2266" s="11" t="s">
        <v>506</v>
      </c>
      <c r="H2266" s="2" t="s">
        <v>54</v>
      </c>
      <c r="I2266" s="16">
        <v>-0.6</v>
      </c>
      <c r="J2266" s="16">
        <v>-29</v>
      </c>
      <c r="K2266" s="16">
        <v>310.99</v>
      </c>
      <c r="L2266" s="16">
        <v>-9018.7100000000009</v>
      </c>
      <c r="M2266" s="16">
        <v>819.8</v>
      </c>
      <c r="N2266" s="16">
        <v>0</v>
      </c>
      <c r="O2266" s="16">
        <v>-1065.8585009999999</v>
      </c>
      <c r="P2266" s="16">
        <v>-9264.7685010000005</v>
      </c>
    </row>
    <row r="2267" spans="1:16" ht="14.5" hidden="1" x14ac:dyDescent="0.25">
      <c r="A2267" s="17">
        <v>46071</v>
      </c>
      <c r="B2267" s="2" t="str">
        <f t="shared" si="72"/>
        <v>Feb-2026</v>
      </c>
      <c r="C2267" s="2" t="str">
        <f t="shared" si="73"/>
        <v>Q4</v>
      </c>
      <c r="D2267" s="2" t="s">
        <v>28</v>
      </c>
      <c r="E2267" s="2" t="s">
        <v>479</v>
      </c>
      <c r="F2267" s="2" t="s">
        <v>73</v>
      </c>
      <c r="G2267" s="11" t="s">
        <v>505</v>
      </c>
      <c r="H2267" s="2" t="s">
        <v>55</v>
      </c>
      <c r="I2267" s="16">
        <v>-1.08</v>
      </c>
      <c r="J2267" s="16">
        <v>-129</v>
      </c>
      <c r="K2267" s="16">
        <v>152.11000000000001</v>
      </c>
      <c r="L2267" s="16">
        <v>-19622.190000000002</v>
      </c>
      <c r="M2267" s="16">
        <v>1783.66</v>
      </c>
      <c r="N2267" s="16">
        <v>0</v>
      </c>
      <c r="O2267" s="16">
        <v>-2319.009337</v>
      </c>
      <c r="P2267" s="16">
        <v>-20157.539336999998</v>
      </c>
    </row>
    <row r="2268" spans="1:16" ht="14.5" hidden="1" x14ac:dyDescent="0.25">
      <c r="A2268" s="17">
        <v>46071</v>
      </c>
      <c r="B2268" s="2" t="str">
        <f t="shared" si="72"/>
        <v>Feb-2026</v>
      </c>
      <c r="C2268" s="2" t="str">
        <f t="shared" si="73"/>
        <v>Q4</v>
      </c>
      <c r="D2268" s="2" t="s">
        <v>28</v>
      </c>
      <c r="E2268" s="2" t="s">
        <v>479</v>
      </c>
      <c r="F2268" s="2" t="s">
        <v>73</v>
      </c>
      <c r="G2268" s="11" t="s">
        <v>506</v>
      </c>
      <c r="H2268" s="2" t="s">
        <v>39</v>
      </c>
      <c r="I2268" s="16">
        <v>-0.83</v>
      </c>
      <c r="J2268" s="16">
        <v>-60</v>
      </c>
      <c r="K2268" s="16">
        <v>131.83000000000001</v>
      </c>
      <c r="L2268" s="16">
        <v>-7909.8</v>
      </c>
      <c r="M2268" s="16">
        <v>719</v>
      </c>
      <c r="N2268" s="16">
        <v>0</v>
      </c>
      <c r="O2268" s="16">
        <v>-934.80417599999998</v>
      </c>
      <c r="P2268" s="16">
        <v>-8125.6041759999998</v>
      </c>
    </row>
    <row r="2269" spans="1:16" ht="14.5" hidden="1" x14ac:dyDescent="0.25">
      <c r="A2269" s="17">
        <v>46071</v>
      </c>
      <c r="B2269" s="2" t="str">
        <f t="shared" si="72"/>
        <v>Feb-2026</v>
      </c>
      <c r="C2269" s="2" t="str">
        <f t="shared" si="73"/>
        <v>Q4</v>
      </c>
      <c r="D2269" s="2" t="s">
        <v>28</v>
      </c>
      <c r="E2269" s="2" t="s">
        <v>479</v>
      </c>
      <c r="F2269" s="2" t="s">
        <v>73</v>
      </c>
      <c r="G2269" s="11" t="s">
        <v>503</v>
      </c>
      <c r="H2269" s="2" t="s">
        <v>51</v>
      </c>
      <c r="I2269" s="16">
        <v>-0.74</v>
      </c>
      <c r="J2269" s="16">
        <v>-133</v>
      </c>
      <c r="K2269" s="16">
        <v>64.23</v>
      </c>
      <c r="L2269" s="16">
        <v>-8542.59</v>
      </c>
      <c r="M2269" s="16">
        <v>776.52</v>
      </c>
      <c r="N2269" s="16">
        <v>0</v>
      </c>
      <c r="O2269" s="16">
        <v>-1009.58929</v>
      </c>
      <c r="P2269" s="16">
        <v>-8775.6592899999996</v>
      </c>
    </row>
    <row r="2270" spans="1:16" ht="14.5" hidden="1" x14ac:dyDescent="0.25">
      <c r="A2270" s="17">
        <v>46071</v>
      </c>
      <c r="B2270" s="2" t="str">
        <f t="shared" si="72"/>
        <v>Feb-2026</v>
      </c>
      <c r="C2270" s="2" t="str">
        <f t="shared" si="73"/>
        <v>Q4</v>
      </c>
      <c r="D2270" s="2" t="s">
        <v>28</v>
      </c>
      <c r="E2270" s="2" t="s">
        <v>479</v>
      </c>
      <c r="F2270" s="2" t="s">
        <v>73</v>
      </c>
      <c r="G2270" s="11" t="s">
        <v>503</v>
      </c>
      <c r="H2270" s="2" t="s">
        <v>59</v>
      </c>
      <c r="I2270" s="16">
        <v>-2.04</v>
      </c>
      <c r="J2270" s="16">
        <v>-367</v>
      </c>
      <c r="K2270" s="16">
        <v>64.23</v>
      </c>
      <c r="L2270" s="16">
        <v>-23572.41</v>
      </c>
      <c r="M2270" s="16">
        <v>905.18</v>
      </c>
      <c r="N2270" s="16">
        <v>0</v>
      </c>
      <c r="O2270" s="16">
        <v>-2946.7404550000001</v>
      </c>
      <c r="P2270" s="16">
        <v>-25613.970454999999</v>
      </c>
    </row>
    <row r="2271" spans="1:16" ht="14.5" hidden="1" x14ac:dyDescent="0.25">
      <c r="A2271" s="17">
        <v>46071</v>
      </c>
      <c r="B2271" s="2" t="str">
        <f t="shared" si="72"/>
        <v>Feb-2026</v>
      </c>
      <c r="C2271" s="2" t="str">
        <f t="shared" si="73"/>
        <v>Q4</v>
      </c>
      <c r="D2271" s="2" t="s">
        <v>28</v>
      </c>
      <c r="E2271" s="2" t="s">
        <v>479</v>
      </c>
      <c r="F2271" s="2" t="s">
        <v>73</v>
      </c>
      <c r="G2271" s="11" t="s">
        <v>505</v>
      </c>
      <c r="H2271" s="2" t="s">
        <v>56</v>
      </c>
      <c r="I2271" s="16">
        <v>-0.98</v>
      </c>
      <c r="J2271" s="16">
        <v>-118</v>
      </c>
      <c r="K2271" s="16">
        <v>57.46</v>
      </c>
      <c r="L2271" s="16">
        <v>-6780.2800000000007</v>
      </c>
      <c r="M2271" s="16">
        <v>616.32999999999993</v>
      </c>
      <c r="N2271" s="16">
        <v>0</v>
      </c>
      <c r="O2271" s="16">
        <v>-801.31365099999994</v>
      </c>
      <c r="P2271" s="16">
        <v>-6965.2636510000002</v>
      </c>
    </row>
    <row r="2272" spans="1:16" ht="14.5" hidden="1" x14ac:dyDescent="0.25">
      <c r="A2272" s="17">
        <v>46071</v>
      </c>
      <c r="B2272" s="2" t="str">
        <f t="shared" si="72"/>
        <v>Feb-2026</v>
      </c>
      <c r="C2272" s="2" t="str">
        <f t="shared" si="73"/>
        <v>Q4</v>
      </c>
      <c r="D2272" s="2" t="s">
        <v>28</v>
      </c>
      <c r="E2272" s="2" t="s">
        <v>479</v>
      </c>
      <c r="F2272" s="2" t="s">
        <v>73</v>
      </c>
      <c r="G2272" s="11" t="s">
        <v>503</v>
      </c>
      <c r="H2272" s="2" t="s">
        <v>45</v>
      </c>
      <c r="I2272" s="16">
        <v>-1.06</v>
      </c>
      <c r="J2272" s="16">
        <v>-191</v>
      </c>
      <c r="K2272" s="16">
        <v>64.23</v>
      </c>
      <c r="L2272" s="16">
        <v>-12267.93</v>
      </c>
      <c r="M2272" s="16">
        <v>1115.1500000000001</v>
      </c>
      <c r="N2272" s="16">
        <v>0</v>
      </c>
      <c r="O2272" s="16">
        <v>-1449.8616730000001</v>
      </c>
      <c r="P2272" s="16">
        <v>-12602.641673</v>
      </c>
    </row>
    <row r="2273" spans="1:16" ht="14.5" hidden="1" x14ac:dyDescent="0.25">
      <c r="A2273" s="17">
        <v>46071</v>
      </c>
      <c r="B2273" s="2" t="str">
        <f t="shared" si="72"/>
        <v>Feb-2026</v>
      </c>
      <c r="C2273" s="2" t="str">
        <f t="shared" si="73"/>
        <v>Q4</v>
      </c>
      <c r="D2273" s="2" t="s">
        <v>28</v>
      </c>
      <c r="E2273" s="2" t="s">
        <v>479</v>
      </c>
      <c r="F2273" s="2" t="s">
        <v>73</v>
      </c>
      <c r="G2273" s="11" t="s">
        <v>503</v>
      </c>
      <c r="H2273" s="2" t="s">
        <v>166</v>
      </c>
      <c r="I2273" s="16">
        <v>-0.57999999999999996</v>
      </c>
      <c r="J2273" s="16">
        <v>-70</v>
      </c>
      <c r="K2273" s="16">
        <v>64.23</v>
      </c>
      <c r="L2273" s="16">
        <v>-4496.0999999999995</v>
      </c>
      <c r="M2273" s="16">
        <v>408.7</v>
      </c>
      <c r="N2273" s="16">
        <v>0</v>
      </c>
      <c r="O2273" s="16">
        <v>-531.36209999999994</v>
      </c>
      <c r="P2273" s="16">
        <v>-4618.7620999999999</v>
      </c>
    </row>
    <row r="2274" spans="1:16" ht="14.5" hidden="1" x14ac:dyDescent="0.25">
      <c r="A2274" s="17">
        <v>46071</v>
      </c>
      <c r="B2274" s="2" t="str">
        <f t="shared" si="72"/>
        <v>Feb-2026</v>
      </c>
      <c r="C2274" s="2" t="str">
        <f t="shared" si="73"/>
        <v>Q4</v>
      </c>
      <c r="D2274" s="2" t="s">
        <v>28</v>
      </c>
      <c r="E2274" s="2" t="s">
        <v>479</v>
      </c>
      <c r="F2274" s="2" t="s">
        <v>73</v>
      </c>
      <c r="G2274" s="11" t="s">
        <v>506</v>
      </c>
      <c r="H2274" s="2" t="s">
        <v>58</v>
      </c>
      <c r="I2274" s="16">
        <v>-0.75</v>
      </c>
      <c r="J2274" s="16">
        <v>-54</v>
      </c>
      <c r="K2274" s="16">
        <v>148.72999999999999</v>
      </c>
      <c r="L2274" s="16">
        <v>-8031.4199999999992</v>
      </c>
      <c r="M2274" s="16">
        <v>730.06</v>
      </c>
      <c r="N2274" s="16">
        <v>0</v>
      </c>
      <c r="O2274" s="16">
        <v>-949.17697899999996</v>
      </c>
      <c r="P2274" s="16">
        <v>-8250.5369790000004</v>
      </c>
    </row>
    <row r="2275" spans="1:16" ht="14.5" hidden="1" x14ac:dyDescent="0.25">
      <c r="A2275" s="17">
        <v>46071</v>
      </c>
      <c r="B2275" s="2" t="str">
        <f t="shared" si="72"/>
        <v>Feb-2026</v>
      </c>
      <c r="C2275" s="2" t="str">
        <f t="shared" si="73"/>
        <v>Q4</v>
      </c>
      <c r="D2275" s="2" t="s">
        <v>28</v>
      </c>
      <c r="E2275" s="2" t="s">
        <v>479</v>
      </c>
      <c r="F2275" s="2" t="s">
        <v>73</v>
      </c>
      <c r="G2275" s="11" t="s">
        <v>504</v>
      </c>
      <c r="H2275" s="2" t="s">
        <v>69</v>
      </c>
      <c r="I2275" s="16">
        <v>-0.05</v>
      </c>
      <c r="J2275" s="16">
        <v>-5</v>
      </c>
      <c r="K2275" s="16">
        <v>189.3</v>
      </c>
      <c r="L2275" s="16">
        <v>-946.5</v>
      </c>
      <c r="M2275" s="16">
        <v>36.35</v>
      </c>
      <c r="N2275" s="16">
        <v>0</v>
      </c>
      <c r="O2275" s="16">
        <v>-118.31952199999999</v>
      </c>
      <c r="P2275" s="16">
        <v>-1028.4695220000001</v>
      </c>
    </row>
    <row r="2276" spans="1:16" ht="14.5" hidden="1" x14ac:dyDescent="0.25">
      <c r="A2276" s="17">
        <v>46071</v>
      </c>
      <c r="B2276" s="2" t="str">
        <f t="shared" si="72"/>
        <v>Feb-2026</v>
      </c>
      <c r="C2276" s="2" t="str">
        <f t="shared" si="73"/>
        <v>Q4</v>
      </c>
      <c r="D2276" s="2" t="s">
        <v>28</v>
      </c>
      <c r="E2276" s="2" t="s">
        <v>479</v>
      </c>
      <c r="F2276" s="2" t="s">
        <v>73</v>
      </c>
      <c r="G2276" s="11" t="s">
        <v>503</v>
      </c>
      <c r="H2276" s="2" t="s">
        <v>41</v>
      </c>
      <c r="I2276" s="16">
        <v>-0.73</v>
      </c>
      <c r="J2276" s="16">
        <v>-131</v>
      </c>
      <c r="K2276" s="16">
        <v>60.84</v>
      </c>
      <c r="L2276" s="16">
        <v>-7970.04</v>
      </c>
      <c r="M2276" s="16">
        <v>306.05</v>
      </c>
      <c r="N2276" s="16">
        <v>0</v>
      </c>
      <c r="O2276" s="16">
        <v>-996.31888800000002</v>
      </c>
      <c r="P2276" s="16">
        <v>-8660.3088879999996</v>
      </c>
    </row>
    <row r="2277" spans="1:16" ht="14.5" hidden="1" x14ac:dyDescent="0.25">
      <c r="A2277" s="17">
        <v>46071</v>
      </c>
      <c r="B2277" s="2" t="str">
        <f t="shared" si="72"/>
        <v>Feb-2026</v>
      </c>
      <c r="C2277" s="2" t="str">
        <f t="shared" si="73"/>
        <v>Q4</v>
      </c>
      <c r="D2277" s="2" t="s">
        <v>28</v>
      </c>
      <c r="E2277" s="2" t="s">
        <v>479</v>
      </c>
      <c r="F2277" s="2" t="s">
        <v>73</v>
      </c>
      <c r="G2277" s="11" t="s">
        <v>503</v>
      </c>
      <c r="H2277" s="2" t="s">
        <v>52</v>
      </c>
      <c r="I2277" s="16">
        <v>-0.61</v>
      </c>
      <c r="J2277" s="16">
        <v>-109</v>
      </c>
      <c r="K2277" s="16">
        <v>70.989999999999995</v>
      </c>
      <c r="L2277" s="16">
        <v>-7737.91</v>
      </c>
      <c r="M2277" s="16">
        <v>297.14</v>
      </c>
      <c r="N2277" s="16">
        <v>0</v>
      </c>
      <c r="O2277" s="16">
        <v>-967.30028200000004</v>
      </c>
      <c r="P2277" s="16">
        <v>-8408.0702820000006</v>
      </c>
    </row>
    <row r="2278" spans="1:16" ht="14.5" hidden="1" x14ac:dyDescent="0.25">
      <c r="A2278" s="17">
        <v>46071</v>
      </c>
      <c r="B2278" s="2" t="str">
        <f t="shared" si="72"/>
        <v>Feb-2026</v>
      </c>
      <c r="C2278" s="2" t="str">
        <f t="shared" si="73"/>
        <v>Q4</v>
      </c>
      <c r="D2278" s="2" t="s">
        <v>28</v>
      </c>
      <c r="E2278" s="2" t="s">
        <v>479</v>
      </c>
      <c r="F2278" s="2" t="s">
        <v>73</v>
      </c>
      <c r="G2278" s="11" t="s">
        <v>505</v>
      </c>
      <c r="H2278" s="2" t="s">
        <v>40</v>
      </c>
      <c r="I2278" s="16">
        <v>-2.33</v>
      </c>
      <c r="J2278" s="16">
        <v>-420</v>
      </c>
      <c r="K2278" s="16">
        <v>94.65</v>
      </c>
      <c r="L2278" s="16">
        <v>-39753</v>
      </c>
      <c r="M2278" s="16">
        <v>3613.5499999999997</v>
      </c>
      <c r="N2278" s="16">
        <v>0</v>
      </c>
      <c r="O2278" s="16">
        <v>-4698.1293850000002</v>
      </c>
      <c r="P2278" s="16">
        <v>-40837.579384999997</v>
      </c>
    </row>
    <row r="2279" spans="1:16" ht="14.5" hidden="1" x14ac:dyDescent="0.25">
      <c r="A2279" s="17">
        <v>46071</v>
      </c>
      <c r="B2279" s="2" t="str">
        <f t="shared" si="72"/>
        <v>Feb-2026</v>
      </c>
      <c r="C2279" s="2" t="str">
        <f t="shared" si="73"/>
        <v>Q4</v>
      </c>
      <c r="D2279" s="2" t="s">
        <v>28</v>
      </c>
      <c r="E2279" s="2" t="s">
        <v>479</v>
      </c>
      <c r="F2279" s="2" t="s">
        <v>73</v>
      </c>
      <c r="G2279" s="11" t="s">
        <v>507</v>
      </c>
      <c r="H2279" s="2" t="s">
        <v>60</v>
      </c>
      <c r="I2279" s="16">
        <v>-0.88</v>
      </c>
      <c r="J2279" s="16">
        <v>-53</v>
      </c>
      <c r="K2279" s="16">
        <v>98.03</v>
      </c>
      <c r="L2279" s="16">
        <v>-5195.5899999999992</v>
      </c>
      <c r="M2279" s="16">
        <v>472.28</v>
      </c>
      <c r="N2279" s="16">
        <v>0</v>
      </c>
      <c r="O2279" s="16">
        <v>-614.03041599999995</v>
      </c>
      <c r="P2279" s="16">
        <v>-5337.340416</v>
      </c>
    </row>
    <row r="2280" spans="1:16" ht="14.5" hidden="1" x14ac:dyDescent="0.25">
      <c r="A2280" s="17">
        <v>46075</v>
      </c>
      <c r="B2280" s="2" t="str">
        <f t="shared" si="72"/>
        <v>Feb-2026</v>
      </c>
      <c r="C2280" s="2" t="str">
        <f t="shared" si="73"/>
        <v>Q4</v>
      </c>
      <c r="D2280" s="2" t="s">
        <v>28</v>
      </c>
      <c r="E2280" s="2" t="s">
        <v>480</v>
      </c>
      <c r="F2280" s="2" t="s">
        <v>22</v>
      </c>
      <c r="G2280" s="11" t="s">
        <v>503</v>
      </c>
      <c r="H2280" s="2" t="s">
        <v>45</v>
      </c>
      <c r="I2280" s="16">
        <v>-0.02</v>
      </c>
      <c r="J2280" s="16">
        <v>-3</v>
      </c>
      <c r="K2280" s="16">
        <v>64.67</v>
      </c>
      <c r="L2280" s="16">
        <v>-194.01</v>
      </c>
      <c r="M2280" s="16">
        <v>0</v>
      </c>
      <c r="N2280" s="16">
        <v>0</v>
      </c>
      <c r="O2280" s="16">
        <v>-25.221532</v>
      </c>
      <c r="P2280" s="16">
        <v>-219.23153199999999</v>
      </c>
    </row>
    <row r="2281" spans="1:16" ht="14.5" hidden="1" x14ac:dyDescent="0.25">
      <c r="A2281" s="17">
        <v>46075</v>
      </c>
      <c r="B2281" s="2" t="str">
        <f t="shared" si="72"/>
        <v>Feb-2026</v>
      </c>
      <c r="C2281" s="2" t="str">
        <f t="shared" si="73"/>
        <v>Q4</v>
      </c>
      <c r="D2281" s="2" t="s">
        <v>28</v>
      </c>
      <c r="E2281" s="2" t="s">
        <v>480</v>
      </c>
      <c r="F2281" s="2" t="s">
        <v>22</v>
      </c>
      <c r="G2281" s="11" t="s">
        <v>503</v>
      </c>
      <c r="H2281" s="2" t="s">
        <v>57</v>
      </c>
      <c r="I2281" s="16">
        <v>-0.01</v>
      </c>
      <c r="J2281" s="16">
        <v>-1</v>
      </c>
      <c r="K2281" s="16">
        <v>122.53</v>
      </c>
      <c r="L2281" s="16">
        <v>-122.53</v>
      </c>
      <c r="M2281" s="16">
        <v>0</v>
      </c>
      <c r="N2281" s="16">
        <v>0</v>
      </c>
      <c r="O2281" s="16">
        <v>-15.929046</v>
      </c>
      <c r="P2281" s="16">
        <v>-138.459046</v>
      </c>
    </row>
    <row r="2282" spans="1:16" ht="14.5" hidden="1" x14ac:dyDescent="0.25">
      <c r="A2282" s="17">
        <v>46075</v>
      </c>
      <c r="B2282" s="2" t="str">
        <f t="shared" si="72"/>
        <v>Feb-2026</v>
      </c>
      <c r="C2282" s="2" t="str">
        <f t="shared" si="73"/>
        <v>Q4</v>
      </c>
      <c r="D2282" s="2" t="s">
        <v>28</v>
      </c>
      <c r="E2282" s="2" t="s">
        <v>480</v>
      </c>
      <c r="F2282" s="2" t="s">
        <v>22</v>
      </c>
      <c r="G2282" s="11" t="s">
        <v>503</v>
      </c>
      <c r="H2282" s="2" t="s">
        <v>46</v>
      </c>
      <c r="I2282" s="16">
        <v>-0.02</v>
      </c>
      <c r="J2282" s="16">
        <v>-2</v>
      </c>
      <c r="K2282" s="16">
        <v>122.53</v>
      </c>
      <c r="L2282" s="16">
        <v>-245.06</v>
      </c>
      <c r="M2282" s="16">
        <v>0</v>
      </c>
      <c r="N2282" s="16">
        <v>0</v>
      </c>
      <c r="O2282" s="16">
        <v>-31.858093</v>
      </c>
      <c r="P2282" s="16">
        <v>-276.918093</v>
      </c>
    </row>
    <row r="2283" spans="1:16" ht="14.5" hidden="1" x14ac:dyDescent="0.25">
      <c r="A2283" s="17">
        <v>46075</v>
      </c>
      <c r="B2283" s="2" t="str">
        <f t="shared" si="72"/>
        <v>Feb-2026</v>
      </c>
      <c r="C2283" s="2" t="str">
        <f t="shared" si="73"/>
        <v>Q4</v>
      </c>
      <c r="D2283" s="2" t="s">
        <v>28</v>
      </c>
      <c r="E2283" s="2" t="s">
        <v>480</v>
      </c>
      <c r="F2283" s="2" t="s">
        <v>22</v>
      </c>
      <c r="G2283" s="11" t="s">
        <v>503</v>
      </c>
      <c r="H2283" s="2" t="s">
        <v>51</v>
      </c>
      <c r="I2283" s="16">
        <v>-0.01</v>
      </c>
      <c r="J2283" s="16">
        <v>-1</v>
      </c>
      <c r="K2283" s="16">
        <v>64.67</v>
      </c>
      <c r="L2283" s="16">
        <v>-64.67</v>
      </c>
      <c r="M2283" s="16">
        <v>0</v>
      </c>
      <c r="N2283" s="16">
        <v>0</v>
      </c>
      <c r="O2283" s="16">
        <v>-8.4071770000000008</v>
      </c>
      <c r="P2283" s="16">
        <v>-73.077177000000006</v>
      </c>
    </row>
    <row r="2284" spans="1:16" ht="14.5" hidden="1" x14ac:dyDescent="0.25">
      <c r="A2284" s="17">
        <v>46075</v>
      </c>
      <c r="B2284" s="2" t="str">
        <f t="shared" si="72"/>
        <v>Feb-2026</v>
      </c>
      <c r="C2284" s="2" t="str">
        <f t="shared" si="73"/>
        <v>Q4</v>
      </c>
      <c r="D2284" s="2" t="s">
        <v>28</v>
      </c>
      <c r="E2284" s="2" t="s">
        <v>480</v>
      </c>
      <c r="F2284" s="2" t="s">
        <v>22</v>
      </c>
      <c r="G2284" s="11" t="s">
        <v>505</v>
      </c>
      <c r="H2284" s="2" t="s">
        <v>49</v>
      </c>
      <c r="I2284" s="16">
        <v>-0.01</v>
      </c>
      <c r="J2284" s="16">
        <v>-1</v>
      </c>
      <c r="K2284" s="16">
        <v>183.8</v>
      </c>
      <c r="L2284" s="16">
        <v>-183.8</v>
      </c>
      <c r="M2284" s="16">
        <v>0</v>
      </c>
      <c r="N2284" s="16">
        <v>0</v>
      </c>
      <c r="O2284" s="16">
        <v>-23.894220000000001</v>
      </c>
      <c r="P2284" s="16">
        <v>-207.69422</v>
      </c>
    </row>
    <row r="2285" spans="1:16" ht="14.5" hidden="1" x14ac:dyDescent="0.25">
      <c r="A2285" s="17">
        <v>46075</v>
      </c>
      <c r="B2285" s="2" t="str">
        <f t="shared" si="72"/>
        <v>Feb-2026</v>
      </c>
      <c r="C2285" s="2" t="str">
        <f t="shared" si="73"/>
        <v>Q4</v>
      </c>
      <c r="D2285" s="2" t="s">
        <v>28</v>
      </c>
      <c r="E2285" s="2" t="s">
        <v>480</v>
      </c>
      <c r="F2285" s="2" t="s">
        <v>22</v>
      </c>
      <c r="G2285" s="11" t="s">
        <v>505</v>
      </c>
      <c r="H2285" s="2" t="s">
        <v>40</v>
      </c>
      <c r="I2285" s="16">
        <v>-0.01</v>
      </c>
      <c r="J2285" s="16">
        <v>-1</v>
      </c>
      <c r="K2285" s="16">
        <v>95.3</v>
      </c>
      <c r="L2285" s="16">
        <v>-95.3</v>
      </c>
      <c r="M2285" s="16">
        <v>0</v>
      </c>
      <c r="N2285" s="16">
        <v>0</v>
      </c>
      <c r="O2285" s="16">
        <v>-12.389113999999999</v>
      </c>
      <c r="P2285" s="16">
        <v>-107.689114</v>
      </c>
    </row>
    <row r="2286" spans="1:16" ht="14.5" hidden="1" x14ac:dyDescent="0.25">
      <c r="A2286" s="17">
        <v>46075</v>
      </c>
      <c r="B2286" s="2" t="str">
        <f t="shared" si="72"/>
        <v>Feb-2026</v>
      </c>
      <c r="C2286" s="2" t="str">
        <f t="shared" si="73"/>
        <v>Q4</v>
      </c>
      <c r="D2286" s="2" t="s">
        <v>28</v>
      </c>
      <c r="E2286" s="2" t="s">
        <v>480</v>
      </c>
      <c r="F2286" s="2" t="s">
        <v>22</v>
      </c>
      <c r="G2286" s="11" t="s">
        <v>503</v>
      </c>
      <c r="H2286" s="2" t="s">
        <v>47</v>
      </c>
      <c r="I2286" s="16">
        <v>-0.02</v>
      </c>
      <c r="J2286" s="16">
        <v>-2</v>
      </c>
      <c r="K2286" s="16">
        <v>122.53</v>
      </c>
      <c r="L2286" s="16">
        <v>-245.06</v>
      </c>
      <c r="M2286" s="16">
        <v>0</v>
      </c>
      <c r="N2286" s="16">
        <v>0</v>
      </c>
      <c r="O2286" s="16">
        <v>-31.858093</v>
      </c>
      <c r="P2286" s="16">
        <v>-276.918093</v>
      </c>
    </row>
    <row r="2287" spans="1:16" ht="14.5" hidden="1" x14ac:dyDescent="0.25">
      <c r="A2287" s="17">
        <v>46075</v>
      </c>
      <c r="B2287" s="2" t="str">
        <f t="shared" si="72"/>
        <v>Feb-2026</v>
      </c>
      <c r="C2287" s="2" t="str">
        <f t="shared" si="73"/>
        <v>Q4</v>
      </c>
      <c r="D2287" s="2" t="s">
        <v>28</v>
      </c>
      <c r="E2287" s="2" t="s">
        <v>480</v>
      </c>
      <c r="F2287" s="2" t="s">
        <v>22</v>
      </c>
      <c r="G2287" s="11" t="s">
        <v>503</v>
      </c>
      <c r="H2287" s="2" t="s">
        <v>59</v>
      </c>
      <c r="I2287" s="16">
        <v>-0.01</v>
      </c>
      <c r="J2287" s="16">
        <v>-1</v>
      </c>
      <c r="K2287" s="16">
        <v>64.67</v>
      </c>
      <c r="L2287" s="16">
        <v>-64.67</v>
      </c>
      <c r="M2287" s="16">
        <v>0</v>
      </c>
      <c r="N2287" s="16">
        <v>0</v>
      </c>
      <c r="O2287" s="16">
        <v>-8.4071770000000008</v>
      </c>
      <c r="P2287" s="16">
        <v>-73.077177000000006</v>
      </c>
    </row>
    <row r="2288" spans="1:16" ht="14.5" hidden="1" x14ac:dyDescent="0.25">
      <c r="A2288" s="17">
        <v>46075</v>
      </c>
      <c r="B2288" s="2" t="str">
        <f t="shared" si="72"/>
        <v>Feb-2026</v>
      </c>
      <c r="C2288" s="2" t="str">
        <f t="shared" si="73"/>
        <v>Q4</v>
      </c>
      <c r="D2288" s="2" t="s">
        <v>28</v>
      </c>
      <c r="E2288" s="2" t="s">
        <v>480</v>
      </c>
      <c r="F2288" s="2" t="s">
        <v>22</v>
      </c>
      <c r="G2288" s="11" t="s">
        <v>503</v>
      </c>
      <c r="H2288" s="2" t="s">
        <v>48</v>
      </c>
      <c r="I2288" s="16">
        <v>-0.01</v>
      </c>
      <c r="J2288" s="16">
        <v>-2</v>
      </c>
      <c r="K2288" s="16">
        <v>136.15</v>
      </c>
      <c r="L2288" s="16">
        <v>-272.3</v>
      </c>
      <c r="M2288" s="16">
        <v>0</v>
      </c>
      <c r="N2288" s="16">
        <v>0</v>
      </c>
      <c r="O2288" s="16">
        <v>-35.399324999999997</v>
      </c>
      <c r="P2288" s="16">
        <v>-307.69932499999999</v>
      </c>
    </row>
    <row r="2289" spans="1:16" ht="14.5" hidden="1" x14ac:dyDescent="0.25">
      <c r="A2289" s="17">
        <v>46075</v>
      </c>
      <c r="B2289" s="2" t="str">
        <f t="shared" si="72"/>
        <v>Feb-2026</v>
      </c>
      <c r="C2289" s="2" t="str">
        <f t="shared" si="73"/>
        <v>Q4</v>
      </c>
      <c r="D2289" s="2" t="s">
        <v>28</v>
      </c>
      <c r="E2289" s="2" t="s">
        <v>480</v>
      </c>
      <c r="F2289" s="2" t="s">
        <v>22</v>
      </c>
      <c r="G2289" s="11" t="s">
        <v>503</v>
      </c>
      <c r="H2289" s="2" t="s">
        <v>87</v>
      </c>
      <c r="I2289" s="16">
        <v>-0.01</v>
      </c>
      <c r="J2289" s="16">
        <v>-1</v>
      </c>
      <c r="K2289" s="16">
        <v>115.72</v>
      </c>
      <c r="L2289" s="16">
        <v>-115.72</v>
      </c>
      <c r="M2289" s="16">
        <v>0</v>
      </c>
      <c r="N2289" s="16">
        <v>0</v>
      </c>
      <c r="O2289" s="16">
        <v>-15.043737999999999</v>
      </c>
      <c r="P2289" s="16">
        <v>-130.76373799999999</v>
      </c>
    </row>
    <row r="2290" spans="1:16" ht="14.5" hidden="1" x14ac:dyDescent="0.25">
      <c r="A2290" s="17">
        <v>46075</v>
      </c>
      <c r="B2290" s="2" t="str">
        <f t="shared" si="72"/>
        <v>Feb-2026</v>
      </c>
      <c r="C2290" s="2" t="str">
        <f t="shared" si="73"/>
        <v>Q4</v>
      </c>
      <c r="D2290" s="2" t="s">
        <v>28</v>
      </c>
      <c r="E2290" s="2" t="s">
        <v>480</v>
      </c>
      <c r="F2290" s="2" t="s">
        <v>22</v>
      </c>
      <c r="G2290" s="11" t="s">
        <v>503</v>
      </c>
      <c r="H2290" s="2" t="s">
        <v>52</v>
      </c>
      <c r="I2290" s="16">
        <v>-0.01</v>
      </c>
      <c r="J2290" s="16">
        <v>-1</v>
      </c>
      <c r="K2290" s="16">
        <v>71.48</v>
      </c>
      <c r="L2290" s="16">
        <v>-71.48</v>
      </c>
      <c r="M2290" s="16">
        <v>0</v>
      </c>
      <c r="N2290" s="16">
        <v>0</v>
      </c>
      <c r="O2290" s="16">
        <v>-9.2924849999999992</v>
      </c>
      <c r="P2290" s="16">
        <v>-80.772485000000003</v>
      </c>
    </row>
    <row r="2291" spans="1:16" ht="14.5" hidden="1" x14ac:dyDescent="0.25">
      <c r="A2291" s="17">
        <v>46077</v>
      </c>
      <c r="B2291" s="2" t="str">
        <f t="shared" si="72"/>
        <v>Feb-2026</v>
      </c>
      <c r="C2291" s="2" t="str">
        <f t="shared" si="73"/>
        <v>Q4</v>
      </c>
      <c r="D2291" s="2" t="s">
        <v>28</v>
      </c>
      <c r="E2291" s="2" t="s">
        <v>481</v>
      </c>
      <c r="F2291" s="2" t="s">
        <v>22</v>
      </c>
      <c r="G2291" s="20" t="s">
        <v>504</v>
      </c>
      <c r="H2291" s="2" t="s">
        <v>482</v>
      </c>
      <c r="I2291" s="16">
        <v>-0.02</v>
      </c>
      <c r="J2291" s="16">
        <v>-3</v>
      </c>
      <c r="K2291" s="16">
        <v>462.9</v>
      </c>
      <c r="L2291" s="16">
        <v>-1388.7</v>
      </c>
      <c r="M2291" s="16">
        <v>0</v>
      </c>
      <c r="N2291" s="16">
        <v>0</v>
      </c>
      <c r="O2291" s="16">
        <v>-180.53133500000001</v>
      </c>
      <c r="P2291" s="16">
        <v>-1569.2313349999999</v>
      </c>
    </row>
    <row r="2292" spans="1:16" ht="14.5" hidden="1" x14ac:dyDescent="0.25">
      <c r="A2292" s="17">
        <v>46077</v>
      </c>
      <c r="B2292" s="2" t="str">
        <f t="shared" si="72"/>
        <v>Feb-2026</v>
      </c>
      <c r="C2292" s="2" t="str">
        <f t="shared" si="73"/>
        <v>Q4</v>
      </c>
      <c r="D2292" s="2" t="s">
        <v>28</v>
      </c>
      <c r="E2292" s="2" t="s">
        <v>481</v>
      </c>
      <c r="F2292" s="2" t="s">
        <v>22</v>
      </c>
      <c r="G2292" s="20" t="s">
        <v>504</v>
      </c>
      <c r="H2292" s="2" t="s">
        <v>483</v>
      </c>
      <c r="I2292" s="16">
        <v>-0.03</v>
      </c>
      <c r="J2292" s="16">
        <v>-3</v>
      </c>
      <c r="K2292" s="16">
        <v>108.92</v>
      </c>
      <c r="L2292" s="16">
        <v>-326.76</v>
      </c>
      <c r="M2292" s="16">
        <v>0</v>
      </c>
      <c r="N2292" s="16">
        <v>0</v>
      </c>
      <c r="O2292" s="16">
        <v>-42.478879000000006</v>
      </c>
      <c r="P2292" s="16">
        <v>-369.238879</v>
      </c>
    </row>
    <row r="2293" spans="1:16" ht="14.5" hidden="1" x14ac:dyDescent="0.25">
      <c r="A2293" s="17">
        <v>46077</v>
      </c>
      <c r="B2293" s="2" t="str">
        <f t="shared" si="72"/>
        <v>Feb-2026</v>
      </c>
      <c r="C2293" s="2" t="str">
        <f t="shared" si="73"/>
        <v>Q4</v>
      </c>
      <c r="D2293" s="2" t="s">
        <v>28</v>
      </c>
      <c r="E2293" s="2" t="s">
        <v>481</v>
      </c>
      <c r="F2293" s="2" t="s">
        <v>22</v>
      </c>
      <c r="G2293" s="20" t="s">
        <v>504</v>
      </c>
      <c r="H2293" s="2" t="s">
        <v>484</v>
      </c>
      <c r="I2293" s="16">
        <v>-0.1</v>
      </c>
      <c r="J2293" s="16">
        <v>-4</v>
      </c>
      <c r="K2293" s="16">
        <v>262.08</v>
      </c>
      <c r="L2293" s="16">
        <v>-1048.32</v>
      </c>
      <c r="M2293" s="16">
        <v>0</v>
      </c>
      <c r="N2293" s="16">
        <v>0</v>
      </c>
      <c r="O2293" s="16">
        <v>-136.28185299999998</v>
      </c>
      <c r="P2293" s="16">
        <v>-1184.6018529999999</v>
      </c>
    </row>
    <row r="2294" spans="1:16" ht="14.5" hidden="1" x14ac:dyDescent="0.25">
      <c r="A2294" s="17">
        <v>46077</v>
      </c>
      <c r="B2294" s="2" t="str">
        <f t="shared" si="72"/>
        <v>Feb-2026</v>
      </c>
      <c r="C2294" s="2" t="str">
        <f t="shared" si="73"/>
        <v>Q4</v>
      </c>
      <c r="D2294" s="2" t="s">
        <v>28</v>
      </c>
      <c r="E2294" s="2" t="s">
        <v>481</v>
      </c>
      <c r="F2294" s="2" t="s">
        <v>22</v>
      </c>
      <c r="G2294" s="11" t="s">
        <v>504</v>
      </c>
      <c r="H2294" s="2" t="s">
        <v>69</v>
      </c>
      <c r="I2294" s="16">
        <v>-0.04</v>
      </c>
      <c r="J2294" s="16">
        <v>-4</v>
      </c>
      <c r="K2294" s="16">
        <v>190.61</v>
      </c>
      <c r="L2294" s="16">
        <v>-762.44</v>
      </c>
      <c r="M2294" s="16">
        <v>0</v>
      </c>
      <c r="N2294" s="16">
        <v>0</v>
      </c>
      <c r="O2294" s="16">
        <v>-99.117384000000001</v>
      </c>
      <c r="P2294" s="16">
        <v>-861.55738399999996</v>
      </c>
    </row>
    <row r="2295" spans="1:16" ht="14.5" hidden="1" x14ac:dyDescent="0.25">
      <c r="A2295" s="17">
        <v>46077</v>
      </c>
      <c r="B2295" s="2" t="str">
        <f t="shared" si="72"/>
        <v>Feb-2026</v>
      </c>
      <c r="C2295" s="2" t="str">
        <f t="shared" si="73"/>
        <v>Q4</v>
      </c>
      <c r="D2295" s="2" t="s">
        <v>28</v>
      </c>
      <c r="E2295" s="2" t="s">
        <v>481</v>
      </c>
      <c r="F2295" s="2" t="s">
        <v>22</v>
      </c>
      <c r="G2295" s="11" t="s">
        <v>504</v>
      </c>
      <c r="H2295" s="2" t="s">
        <v>61</v>
      </c>
      <c r="I2295" s="16">
        <v>-0.05</v>
      </c>
      <c r="J2295" s="16">
        <v>-2</v>
      </c>
      <c r="K2295" s="16">
        <v>311.54000000000002</v>
      </c>
      <c r="L2295" s="16">
        <v>-623.08000000000004</v>
      </c>
      <c r="M2295" s="16">
        <v>0</v>
      </c>
      <c r="N2295" s="16">
        <v>0</v>
      </c>
      <c r="O2295" s="16">
        <v>-81.000550000000004</v>
      </c>
      <c r="P2295" s="16">
        <v>-704.08055000000002</v>
      </c>
    </row>
    <row r="2296" spans="1:16" ht="14.5" hidden="1" x14ac:dyDescent="0.25">
      <c r="A2296" s="17">
        <v>46077</v>
      </c>
      <c r="B2296" s="2" t="str">
        <f t="shared" si="72"/>
        <v>Feb-2026</v>
      </c>
      <c r="C2296" s="2" t="str">
        <f t="shared" si="73"/>
        <v>Q4</v>
      </c>
      <c r="D2296" s="2" t="s">
        <v>28</v>
      </c>
      <c r="E2296" s="2" t="s">
        <v>485</v>
      </c>
      <c r="F2296" s="2" t="s">
        <v>22</v>
      </c>
      <c r="G2296" s="11" t="s">
        <v>505</v>
      </c>
      <c r="H2296" s="2" t="s">
        <v>56</v>
      </c>
      <c r="I2296" s="16">
        <v>-0.28000000000000003</v>
      </c>
      <c r="J2296" s="16">
        <v>-34</v>
      </c>
      <c r="K2296" s="16">
        <v>51.06</v>
      </c>
      <c r="L2296" s="16">
        <v>-1736.04</v>
      </c>
      <c r="M2296" s="16">
        <v>0</v>
      </c>
      <c r="N2296" s="16">
        <v>0</v>
      </c>
      <c r="O2296" s="16">
        <v>-225.69</v>
      </c>
      <c r="P2296" s="16">
        <v>-1961.73</v>
      </c>
    </row>
    <row r="2297" spans="1:16" ht="14.5" hidden="1" x14ac:dyDescent="0.25">
      <c r="A2297" s="17">
        <v>46079</v>
      </c>
      <c r="B2297" s="2" t="str">
        <f t="shared" si="72"/>
        <v>Feb-2026</v>
      </c>
      <c r="C2297" s="2" t="str">
        <f t="shared" si="73"/>
        <v>Q4</v>
      </c>
      <c r="D2297" s="2" t="s">
        <v>28</v>
      </c>
      <c r="E2297" s="2" t="s">
        <v>486</v>
      </c>
      <c r="F2297" s="2" t="s">
        <v>104</v>
      </c>
      <c r="G2297" s="11" t="s">
        <v>504</v>
      </c>
      <c r="H2297" s="2" t="s">
        <v>69</v>
      </c>
      <c r="I2297" s="16">
        <v>0.06</v>
      </c>
      <c r="J2297" s="16">
        <v>6</v>
      </c>
      <c r="K2297" s="16">
        <v>169.91</v>
      </c>
      <c r="L2297" s="16">
        <v>1019.46</v>
      </c>
      <c r="M2297" s="16">
        <v>0</v>
      </c>
      <c r="N2297" s="16">
        <v>0</v>
      </c>
      <c r="O2297" s="16">
        <v>132.53006999999999</v>
      </c>
      <c r="P2297" s="16">
        <v>1151.9900700000001</v>
      </c>
    </row>
    <row r="2298" spans="1:16" ht="14.5" hidden="1" x14ac:dyDescent="0.25">
      <c r="A2298" s="17">
        <v>46079</v>
      </c>
      <c r="B2298" s="2" t="str">
        <f t="shared" si="72"/>
        <v>Feb-2026</v>
      </c>
      <c r="C2298" s="2" t="str">
        <f t="shared" si="73"/>
        <v>Q4</v>
      </c>
      <c r="D2298" s="2" t="s">
        <v>28</v>
      </c>
      <c r="E2298" s="2" t="s">
        <v>486</v>
      </c>
      <c r="F2298" s="2" t="s">
        <v>104</v>
      </c>
      <c r="G2298" s="11" t="s">
        <v>503</v>
      </c>
      <c r="H2298" s="2" t="s">
        <v>57</v>
      </c>
      <c r="I2298" s="16">
        <v>0.06</v>
      </c>
      <c r="J2298" s="16">
        <v>10</v>
      </c>
      <c r="K2298" s="16">
        <v>123.89</v>
      </c>
      <c r="L2298" s="16">
        <v>1238.8999999999999</v>
      </c>
      <c r="M2298" s="16">
        <v>0</v>
      </c>
      <c r="N2298" s="16">
        <v>0</v>
      </c>
      <c r="O2298" s="16">
        <v>161.05732900000001</v>
      </c>
      <c r="P2298" s="16">
        <v>1399.9573290000001</v>
      </c>
    </row>
    <row r="2299" spans="1:16" ht="14.5" hidden="1" x14ac:dyDescent="0.25">
      <c r="A2299" s="17">
        <v>46079</v>
      </c>
      <c r="B2299" s="2" t="str">
        <f t="shared" si="72"/>
        <v>Feb-2026</v>
      </c>
      <c r="C2299" s="2" t="str">
        <f t="shared" si="73"/>
        <v>Q4</v>
      </c>
      <c r="D2299" s="2" t="s">
        <v>28</v>
      </c>
      <c r="E2299" s="2" t="s">
        <v>486</v>
      </c>
      <c r="F2299" s="2" t="s">
        <v>104</v>
      </c>
      <c r="G2299" s="11" t="s">
        <v>503</v>
      </c>
      <c r="H2299" s="2" t="s">
        <v>47</v>
      </c>
      <c r="I2299" s="16">
        <v>0.08</v>
      </c>
      <c r="J2299" s="16">
        <v>10</v>
      </c>
      <c r="K2299" s="16">
        <v>123.89</v>
      </c>
      <c r="L2299" s="16">
        <v>1238.8999999999999</v>
      </c>
      <c r="M2299" s="16">
        <v>0</v>
      </c>
      <c r="N2299" s="16">
        <v>0</v>
      </c>
      <c r="O2299" s="16">
        <v>161.05732900000001</v>
      </c>
      <c r="P2299" s="16">
        <v>1399.9573290000001</v>
      </c>
    </row>
    <row r="2300" spans="1:16" ht="14.5" hidden="1" x14ac:dyDescent="0.25">
      <c r="A2300" s="17">
        <v>46079</v>
      </c>
      <c r="B2300" s="2" t="str">
        <f t="shared" si="72"/>
        <v>Feb-2026</v>
      </c>
      <c r="C2300" s="2" t="str">
        <f t="shared" si="73"/>
        <v>Q4</v>
      </c>
      <c r="D2300" s="2" t="s">
        <v>28</v>
      </c>
      <c r="E2300" s="2" t="s">
        <v>486</v>
      </c>
      <c r="F2300" s="2" t="s">
        <v>104</v>
      </c>
      <c r="G2300" s="11" t="s">
        <v>507</v>
      </c>
      <c r="H2300" s="2" t="s">
        <v>60</v>
      </c>
      <c r="I2300" s="16">
        <v>0.17</v>
      </c>
      <c r="J2300" s="16">
        <v>10</v>
      </c>
      <c r="K2300" s="16">
        <v>102.65</v>
      </c>
      <c r="L2300" s="16">
        <v>1026.5</v>
      </c>
      <c r="M2300" s="16">
        <v>0</v>
      </c>
      <c r="N2300" s="16">
        <v>0</v>
      </c>
      <c r="O2300" s="16">
        <v>133.44527199999999</v>
      </c>
      <c r="P2300" s="16">
        <v>1159.9452719999999</v>
      </c>
    </row>
    <row r="2301" spans="1:16" ht="14.5" hidden="1" x14ac:dyDescent="0.25">
      <c r="A2301" s="17">
        <v>46081</v>
      </c>
      <c r="B2301" s="2" t="str">
        <f t="shared" si="72"/>
        <v>Feb-2026</v>
      </c>
      <c r="C2301" s="2" t="str">
        <f t="shared" si="73"/>
        <v>Q4</v>
      </c>
      <c r="D2301" s="2" t="s">
        <v>28</v>
      </c>
      <c r="E2301" s="2" t="s">
        <v>487</v>
      </c>
      <c r="F2301" s="2" t="s">
        <v>22</v>
      </c>
      <c r="G2301" s="11" t="s">
        <v>504</v>
      </c>
      <c r="H2301" s="2" t="s">
        <v>61</v>
      </c>
      <c r="I2301" s="16">
        <v>1.25</v>
      </c>
      <c r="J2301" s="16">
        <v>50</v>
      </c>
      <c r="K2301" s="16">
        <v>338.46</v>
      </c>
      <c r="L2301" s="16">
        <v>16923</v>
      </c>
      <c r="M2301" s="16" t="s">
        <v>113</v>
      </c>
      <c r="N2301" s="16" t="s">
        <v>113</v>
      </c>
      <c r="O2301" s="16" t="s">
        <v>113</v>
      </c>
      <c r="P2301" s="16">
        <v>16923</v>
      </c>
    </row>
    <row r="2302" spans="1:16" ht="14.5" hidden="1" x14ac:dyDescent="0.25">
      <c r="A2302" s="17">
        <v>46081</v>
      </c>
      <c r="B2302" s="2" t="str">
        <f t="shared" si="72"/>
        <v>Feb-2026</v>
      </c>
      <c r="C2302" s="2" t="str">
        <f t="shared" si="73"/>
        <v>Q4</v>
      </c>
      <c r="D2302" s="2" t="s">
        <v>28</v>
      </c>
      <c r="E2302" s="2" t="s">
        <v>488</v>
      </c>
      <c r="F2302" s="2" t="s">
        <v>22</v>
      </c>
      <c r="G2302" s="11" t="s">
        <v>504</v>
      </c>
      <c r="H2302" s="2" t="s">
        <v>67</v>
      </c>
      <c r="I2302" s="16">
        <v>1.25</v>
      </c>
      <c r="J2302" s="16">
        <v>50</v>
      </c>
      <c r="K2302" s="16">
        <v>396.19</v>
      </c>
      <c r="L2302" s="16">
        <v>19809.5</v>
      </c>
      <c r="M2302" s="16">
        <v>0</v>
      </c>
      <c r="N2302" s="16">
        <v>0</v>
      </c>
      <c r="O2302" s="16">
        <v>2575.2349999999997</v>
      </c>
      <c r="P2302" s="16">
        <v>22384.735000000001</v>
      </c>
    </row>
    <row r="2303" spans="1:16" ht="14.5" hidden="1" x14ac:dyDescent="0.25">
      <c r="A2303" s="17">
        <v>46081</v>
      </c>
      <c r="B2303" s="2" t="str">
        <f t="shared" si="72"/>
        <v>Feb-2026</v>
      </c>
      <c r="C2303" s="2" t="str">
        <f t="shared" si="73"/>
        <v>Q4</v>
      </c>
      <c r="D2303" s="2" t="s">
        <v>28</v>
      </c>
      <c r="E2303" s="2" t="s">
        <v>488</v>
      </c>
      <c r="F2303" s="2" t="s">
        <v>22</v>
      </c>
      <c r="G2303" s="11" t="s">
        <v>505</v>
      </c>
      <c r="H2303" s="2" t="s">
        <v>56</v>
      </c>
      <c r="I2303" s="16">
        <v>0.42</v>
      </c>
      <c r="J2303" s="16">
        <v>50</v>
      </c>
      <c r="K2303" s="16">
        <v>51.06</v>
      </c>
      <c r="L2303" s="16">
        <v>2552.9999999999995</v>
      </c>
      <c r="M2303" s="16">
        <v>0</v>
      </c>
      <c r="N2303" s="16">
        <v>0</v>
      </c>
      <c r="O2303" s="16">
        <v>331.89</v>
      </c>
      <c r="P2303" s="16">
        <v>2884.89</v>
      </c>
    </row>
    <row r="2304" spans="1:16" ht="14.5" hidden="1" x14ac:dyDescent="0.25">
      <c r="A2304" s="17">
        <v>46081</v>
      </c>
      <c r="B2304" s="2" t="str">
        <f t="shared" si="72"/>
        <v>Feb-2026</v>
      </c>
      <c r="C2304" s="2" t="str">
        <f t="shared" si="73"/>
        <v>Q4</v>
      </c>
      <c r="D2304" s="2" t="s">
        <v>28</v>
      </c>
      <c r="E2304" s="2" t="s">
        <v>488</v>
      </c>
      <c r="F2304" s="2" t="s">
        <v>22</v>
      </c>
      <c r="G2304" s="11" t="s">
        <v>503</v>
      </c>
      <c r="H2304" s="2" t="s">
        <v>45</v>
      </c>
      <c r="I2304" s="16">
        <v>1.1100000000000001</v>
      </c>
      <c r="J2304" s="16">
        <v>200</v>
      </c>
      <c r="K2304" s="16">
        <v>64.67</v>
      </c>
      <c r="L2304" s="16">
        <v>12934</v>
      </c>
      <c r="M2304" s="16">
        <v>0</v>
      </c>
      <c r="N2304" s="16">
        <v>0</v>
      </c>
      <c r="O2304" s="16">
        <v>1681.42</v>
      </c>
      <c r="P2304" s="16">
        <v>14615.42</v>
      </c>
    </row>
    <row r="2305" spans="1:16" ht="14.5" hidden="1" x14ac:dyDescent="0.25">
      <c r="A2305" s="17">
        <v>46081</v>
      </c>
      <c r="B2305" s="2" t="str">
        <f t="shared" si="72"/>
        <v>Feb-2026</v>
      </c>
      <c r="C2305" s="2" t="str">
        <f t="shared" si="73"/>
        <v>Q4</v>
      </c>
      <c r="D2305" s="2" t="s">
        <v>28</v>
      </c>
      <c r="E2305" s="2" t="s">
        <v>488</v>
      </c>
      <c r="F2305" s="2" t="s">
        <v>22</v>
      </c>
      <c r="G2305" s="11" t="s">
        <v>509</v>
      </c>
      <c r="H2305" s="2" t="s">
        <v>285</v>
      </c>
      <c r="I2305" s="16">
        <v>3.33</v>
      </c>
      <c r="J2305" s="16">
        <v>200</v>
      </c>
      <c r="K2305" s="16">
        <v>490.13</v>
      </c>
      <c r="L2305" s="16">
        <v>98026</v>
      </c>
      <c r="M2305" s="16">
        <v>0</v>
      </c>
      <c r="N2305" s="16">
        <v>0</v>
      </c>
      <c r="O2305" s="16">
        <v>12743.38</v>
      </c>
      <c r="P2305" s="16">
        <v>110769.38</v>
      </c>
    </row>
    <row r="2306" spans="1:16" ht="14.5" hidden="1" x14ac:dyDescent="0.25">
      <c r="A2306" s="17">
        <v>46081</v>
      </c>
      <c r="B2306" s="2" t="str">
        <f t="shared" si="72"/>
        <v>Feb-2026</v>
      </c>
      <c r="C2306" s="2" t="str">
        <f t="shared" si="73"/>
        <v>Q4</v>
      </c>
      <c r="D2306" s="2" t="s">
        <v>28</v>
      </c>
      <c r="E2306" s="2" t="s">
        <v>488</v>
      </c>
      <c r="F2306" s="2" t="s">
        <v>22</v>
      </c>
      <c r="G2306" s="11" t="s">
        <v>503</v>
      </c>
      <c r="H2306" s="2" t="s">
        <v>52</v>
      </c>
      <c r="I2306" s="16">
        <v>1.1100000000000001</v>
      </c>
      <c r="J2306" s="16">
        <v>200</v>
      </c>
      <c r="K2306" s="16">
        <v>71.48</v>
      </c>
      <c r="L2306" s="16">
        <v>14296</v>
      </c>
      <c r="M2306" s="16">
        <v>0</v>
      </c>
      <c r="N2306" s="16">
        <v>0</v>
      </c>
      <c r="O2306" s="16">
        <v>1858.48</v>
      </c>
      <c r="P2306" s="16">
        <v>16154.48</v>
      </c>
    </row>
    <row r="2307" spans="1:16" ht="14.5" hidden="1" x14ac:dyDescent="0.25">
      <c r="A2307" s="17">
        <v>46081</v>
      </c>
      <c r="B2307" s="2" t="str">
        <f t="shared" si="72"/>
        <v>Feb-2026</v>
      </c>
      <c r="C2307" s="2" t="str">
        <f t="shared" si="73"/>
        <v>Q4</v>
      </c>
      <c r="D2307" s="2" t="s">
        <v>28</v>
      </c>
      <c r="E2307" s="2" t="s">
        <v>488</v>
      </c>
      <c r="F2307" s="2" t="s">
        <v>22</v>
      </c>
      <c r="G2307" s="11" t="s">
        <v>504</v>
      </c>
      <c r="H2307" s="2" t="s">
        <v>68</v>
      </c>
      <c r="I2307" s="16">
        <v>1.25</v>
      </c>
      <c r="J2307" s="16">
        <v>50</v>
      </c>
      <c r="K2307" s="16">
        <v>262.08</v>
      </c>
      <c r="L2307" s="16">
        <v>13104</v>
      </c>
      <c r="M2307" s="16">
        <v>0</v>
      </c>
      <c r="N2307" s="16">
        <v>0</v>
      </c>
      <c r="O2307" s="16">
        <v>1703.52</v>
      </c>
      <c r="P2307" s="16">
        <v>14807.52</v>
      </c>
    </row>
    <row r="2308" spans="1:16" ht="14.5" hidden="1" x14ac:dyDescent="0.25">
      <c r="A2308" s="17">
        <v>46081</v>
      </c>
      <c r="B2308" s="2" t="str">
        <f t="shared" si="72"/>
        <v>Feb-2026</v>
      </c>
      <c r="C2308" s="2" t="str">
        <f t="shared" si="73"/>
        <v>Q4</v>
      </c>
      <c r="D2308" s="2" t="s">
        <v>28</v>
      </c>
      <c r="E2308" s="2" t="s">
        <v>488</v>
      </c>
      <c r="F2308" s="2" t="s">
        <v>22</v>
      </c>
      <c r="G2308" s="11" t="s">
        <v>505</v>
      </c>
      <c r="H2308" s="2" t="s">
        <v>40</v>
      </c>
      <c r="I2308" s="16">
        <v>1.1100000000000001</v>
      </c>
      <c r="J2308" s="16">
        <v>200</v>
      </c>
      <c r="K2308" s="16">
        <v>81.69</v>
      </c>
      <c r="L2308" s="16">
        <v>16338</v>
      </c>
      <c r="M2308" s="16">
        <v>0</v>
      </c>
      <c r="N2308" s="16">
        <v>0</v>
      </c>
      <c r="O2308" s="16">
        <v>2123.94</v>
      </c>
      <c r="P2308" s="16">
        <v>18461.939999999999</v>
      </c>
    </row>
    <row r="2309" spans="1:16" ht="14.5" hidden="1" x14ac:dyDescent="0.25">
      <c r="A2309" s="17">
        <v>46081</v>
      </c>
      <c r="B2309" s="2" t="str">
        <f t="shared" si="72"/>
        <v>Feb-2026</v>
      </c>
      <c r="C2309" s="2" t="str">
        <f t="shared" si="73"/>
        <v>Q4</v>
      </c>
      <c r="D2309" s="2" t="s">
        <v>28</v>
      </c>
      <c r="E2309" s="2" t="s">
        <v>488</v>
      </c>
      <c r="F2309" s="2" t="s">
        <v>22</v>
      </c>
      <c r="G2309" s="11" t="s">
        <v>503</v>
      </c>
      <c r="H2309" s="2" t="s">
        <v>172</v>
      </c>
      <c r="I2309" s="16">
        <v>0.28000000000000003</v>
      </c>
      <c r="J2309" s="16">
        <v>50</v>
      </c>
      <c r="K2309" s="16">
        <v>98.71</v>
      </c>
      <c r="L2309" s="16">
        <v>4935.5</v>
      </c>
      <c r="M2309" s="16">
        <v>0</v>
      </c>
      <c r="N2309" s="16">
        <v>0</v>
      </c>
      <c r="O2309" s="16">
        <v>641.61500000000001</v>
      </c>
      <c r="P2309" s="16">
        <v>5577.1149999999998</v>
      </c>
    </row>
    <row r="2310" spans="1:16" ht="14.5" hidden="1" x14ac:dyDescent="0.25">
      <c r="A2310" s="17">
        <v>46081</v>
      </c>
      <c r="B2310" s="2" t="str">
        <f t="shared" si="72"/>
        <v>Feb-2026</v>
      </c>
      <c r="C2310" s="2" t="str">
        <f t="shared" si="73"/>
        <v>Q4</v>
      </c>
      <c r="D2310" s="2" t="s">
        <v>28</v>
      </c>
      <c r="E2310" s="2" t="s">
        <v>489</v>
      </c>
      <c r="F2310" s="2" t="s">
        <v>21</v>
      </c>
      <c r="G2310" s="11" t="s">
        <v>505</v>
      </c>
      <c r="H2310" s="2" t="s">
        <v>43</v>
      </c>
      <c r="I2310" s="16">
        <v>7</v>
      </c>
      <c r="J2310" s="16">
        <v>280</v>
      </c>
      <c r="K2310" s="16">
        <v>267.61</v>
      </c>
      <c r="L2310" s="16">
        <v>74930.8</v>
      </c>
      <c r="M2310" s="16">
        <v>0</v>
      </c>
      <c r="N2310" s="16">
        <v>0</v>
      </c>
      <c r="O2310" s="16">
        <v>9741.003748000001</v>
      </c>
      <c r="P2310" s="16">
        <v>84671.803748000006</v>
      </c>
    </row>
    <row r="2311" spans="1:16" ht="14.5" hidden="1" x14ac:dyDescent="0.25">
      <c r="A2311" s="17">
        <v>46081</v>
      </c>
      <c r="B2311" s="2" t="str">
        <f t="shared" si="72"/>
        <v>Feb-2026</v>
      </c>
      <c r="C2311" s="2" t="str">
        <f t="shared" si="73"/>
        <v>Q4</v>
      </c>
      <c r="D2311" s="2" t="s">
        <v>28</v>
      </c>
      <c r="E2311" s="2" t="s">
        <v>489</v>
      </c>
      <c r="F2311" s="2" t="s">
        <v>21</v>
      </c>
      <c r="G2311" s="11" t="s">
        <v>503</v>
      </c>
      <c r="H2311" s="2" t="s">
        <v>48</v>
      </c>
      <c r="I2311" s="16">
        <v>0.67</v>
      </c>
      <c r="J2311" s="16">
        <v>120</v>
      </c>
      <c r="K2311" s="16">
        <v>127.43</v>
      </c>
      <c r="L2311" s="16">
        <v>15291.6</v>
      </c>
      <c r="M2311" s="16">
        <v>0</v>
      </c>
      <c r="N2311" s="16">
        <v>0</v>
      </c>
      <c r="O2311" s="16">
        <v>1987.9079489999999</v>
      </c>
      <c r="P2311" s="16">
        <v>17279.507948999999</v>
      </c>
    </row>
    <row r="2312" spans="1:16" ht="14.5" hidden="1" x14ac:dyDescent="0.25">
      <c r="A2312" s="17">
        <v>46081</v>
      </c>
      <c r="B2312" s="2" t="str">
        <f t="shared" si="72"/>
        <v>Feb-2026</v>
      </c>
      <c r="C2312" s="2" t="str">
        <f t="shared" si="73"/>
        <v>Q4</v>
      </c>
      <c r="D2312" s="2" t="s">
        <v>28</v>
      </c>
      <c r="E2312" s="2" t="s">
        <v>489</v>
      </c>
      <c r="F2312" s="2" t="s">
        <v>21</v>
      </c>
      <c r="G2312" s="11" t="s">
        <v>505</v>
      </c>
      <c r="H2312" s="2" t="s">
        <v>56</v>
      </c>
      <c r="I2312" s="16">
        <v>3</v>
      </c>
      <c r="J2312" s="16">
        <v>360</v>
      </c>
      <c r="K2312" s="16">
        <v>47.79</v>
      </c>
      <c r="L2312" s="16">
        <v>17204.400000000001</v>
      </c>
      <c r="M2312" s="16">
        <v>0</v>
      </c>
      <c r="N2312" s="16">
        <v>0</v>
      </c>
      <c r="O2312" s="16">
        <v>2236.571942</v>
      </c>
      <c r="P2312" s="16">
        <v>19440.971942</v>
      </c>
    </row>
    <row r="2313" spans="1:16" ht="14.5" hidden="1" x14ac:dyDescent="0.25">
      <c r="A2313" s="17">
        <v>46081</v>
      </c>
      <c r="B2313" s="2" t="str">
        <f t="shared" si="72"/>
        <v>Feb-2026</v>
      </c>
      <c r="C2313" s="2" t="str">
        <f t="shared" si="73"/>
        <v>Q4</v>
      </c>
      <c r="D2313" s="2" t="s">
        <v>28</v>
      </c>
      <c r="E2313" s="2" t="s">
        <v>489</v>
      </c>
      <c r="F2313" s="2" t="s">
        <v>21</v>
      </c>
      <c r="G2313" s="11" t="s">
        <v>503</v>
      </c>
      <c r="H2313" s="2" t="s">
        <v>47</v>
      </c>
      <c r="I2313" s="16">
        <v>1</v>
      </c>
      <c r="J2313" s="16">
        <v>120</v>
      </c>
      <c r="K2313" s="16">
        <v>111.5</v>
      </c>
      <c r="L2313" s="16">
        <v>13379.999999999998</v>
      </c>
      <c r="M2313" s="16">
        <v>0</v>
      </c>
      <c r="N2313" s="16">
        <v>0</v>
      </c>
      <c r="O2313" s="16">
        <v>1739.3999550000001</v>
      </c>
      <c r="P2313" s="16">
        <v>15119.399955000001</v>
      </c>
    </row>
    <row r="2314" spans="1:16" ht="14.5" hidden="1" x14ac:dyDescent="0.25">
      <c r="A2314" s="17">
        <v>46081</v>
      </c>
      <c r="B2314" s="2" t="str">
        <f t="shared" si="72"/>
        <v>Feb-2026</v>
      </c>
      <c r="C2314" s="2" t="str">
        <f t="shared" si="73"/>
        <v>Q4</v>
      </c>
      <c r="D2314" s="2" t="s">
        <v>28</v>
      </c>
      <c r="E2314" s="2" t="s">
        <v>489</v>
      </c>
      <c r="F2314" s="2" t="s">
        <v>21</v>
      </c>
      <c r="G2314" s="11" t="s">
        <v>505</v>
      </c>
      <c r="H2314" s="2" t="s">
        <v>49</v>
      </c>
      <c r="I2314" s="16">
        <v>0.67</v>
      </c>
      <c r="J2314" s="16">
        <v>120</v>
      </c>
      <c r="K2314" s="16">
        <v>149.72999999999999</v>
      </c>
      <c r="L2314" s="16">
        <v>17967.600000000002</v>
      </c>
      <c r="M2314" s="16">
        <v>0</v>
      </c>
      <c r="N2314" s="16">
        <v>0</v>
      </c>
      <c r="O2314" s="16">
        <v>2335.7879400000002</v>
      </c>
      <c r="P2314" s="16">
        <v>20303.387940000001</v>
      </c>
    </row>
    <row r="2315" spans="1:16" ht="14.5" hidden="1" x14ac:dyDescent="0.25">
      <c r="A2315" s="17">
        <v>46081</v>
      </c>
      <c r="B2315" s="2" t="str">
        <f t="shared" si="72"/>
        <v>Feb-2026</v>
      </c>
      <c r="C2315" s="2" t="str">
        <f t="shared" si="73"/>
        <v>Q4</v>
      </c>
      <c r="D2315" s="2" t="s">
        <v>28</v>
      </c>
      <c r="E2315" s="2" t="s">
        <v>489</v>
      </c>
      <c r="F2315" s="2" t="s">
        <v>21</v>
      </c>
      <c r="G2315" s="11" t="s">
        <v>506</v>
      </c>
      <c r="H2315" s="2" t="s">
        <v>58</v>
      </c>
      <c r="I2315" s="16">
        <v>4.67</v>
      </c>
      <c r="J2315" s="16">
        <v>336</v>
      </c>
      <c r="K2315" s="16">
        <v>140.18</v>
      </c>
      <c r="L2315" s="16">
        <v>47100.479999999996</v>
      </c>
      <c r="M2315" s="16">
        <v>0</v>
      </c>
      <c r="N2315" s="16">
        <v>0</v>
      </c>
      <c r="O2315" s="16">
        <v>6123.0622420000009</v>
      </c>
      <c r="P2315" s="16">
        <v>53223.542242000003</v>
      </c>
    </row>
    <row r="2316" spans="1:16" ht="14.5" hidden="1" x14ac:dyDescent="0.25">
      <c r="A2316" s="17">
        <v>46081</v>
      </c>
      <c r="B2316" s="2" t="str">
        <f t="shared" si="72"/>
        <v>Feb-2026</v>
      </c>
      <c r="C2316" s="2" t="str">
        <f t="shared" si="73"/>
        <v>Q4</v>
      </c>
      <c r="D2316" s="2" t="s">
        <v>28</v>
      </c>
      <c r="E2316" s="2" t="s">
        <v>489</v>
      </c>
      <c r="F2316" s="2" t="s">
        <v>21</v>
      </c>
      <c r="G2316" s="11" t="s">
        <v>509</v>
      </c>
      <c r="H2316" s="2" t="s">
        <v>285</v>
      </c>
      <c r="I2316" s="16">
        <v>3.33</v>
      </c>
      <c r="J2316" s="16">
        <v>200</v>
      </c>
      <c r="K2316" s="16">
        <v>458.76</v>
      </c>
      <c r="L2316" s="16">
        <v>91752</v>
      </c>
      <c r="M2316" s="16">
        <v>0</v>
      </c>
      <c r="N2316" s="16">
        <v>0</v>
      </c>
      <c r="O2316" s="16">
        <v>11927.759692000001</v>
      </c>
      <c r="P2316" s="16">
        <v>103679.75969200001</v>
      </c>
    </row>
    <row r="2317" spans="1:16" ht="14.5" hidden="1" x14ac:dyDescent="0.25">
      <c r="A2317" s="17">
        <v>46081</v>
      </c>
      <c r="B2317" s="2" t="str">
        <f t="shared" si="72"/>
        <v>Feb-2026</v>
      </c>
      <c r="C2317" s="2" t="str">
        <f t="shared" si="73"/>
        <v>Q4</v>
      </c>
      <c r="D2317" s="2" t="s">
        <v>28</v>
      </c>
      <c r="E2317" s="2" t="s">
        <v>489</v>
      </c>
      <c r="F2317" s="2" t="s">
        <v>21</v>
      </c>
      <c r="G2317" s="11" t="s">
        <v>506</v>
      </c>
      <c r="H2317" s="2" t="s">
        <v>54</v>
      </c>
      <c r="I2317" s="16">
        <v>3</v>
      </c>
      <c r="J2317" s="16">
        <v>144</v>
      </c>
      <c r="K2317" s="16">
        <v>280.35000000000002</v>
      </c>
      <c r="L2317" s="16">
        <v>40370.399999999994</v>
      </c>
      <c r="M2317" s="16">
        <v>0</v>
      </c>
      <c r="N2317" s="16">
        <v>0</v>
      </c>
      <c r="O2317" s="16">
        <v>5248.1518640000004</v>
      </c>
      <c r="P2317" s="16">
        <v>45618.551864000001</v>
      </c>
    </row>
    <row r="2318" spans="1:16" ht="14.5" hidden="1" x14ac:dyDescent="0.25">
      <c r="A2318" s="17">
        <v>46081</v>
      </c>
      <c r="B2318" s="2" t="str">
        <f t="shared" si="72"/>
        <v>Feb-2026</v>
      </c>
      <c r="C2318" s="2" t="str">
        <f t="shared" si="73"/>
        <v>Q4</v>
      </c>
      <c r="D2318" s="2" t="s">
        <v>28</v>
      </c>
      <c r="E2318" s="2" t="s">
        <v>489</v>
      </c>
      <c r="F2318" s="2" t="s">
        <v>21</v>
      </c>
      <c r="G2318" s="11" t="s">
        <v>503</v>
      </c>
      <c r="H2318" s="2" t="s">
        <v>57</v>
      </c>
      <c r="I2318" s="16">
        <v>0.67</v>
      </c>
      <c r="J2318" s="16">
        <v>120</v>
      </c>
      <c r="K2318" s="16">
        <v>111.5</v>
      </c>
      <c r="L2318" s="16">
        <v>13379.999999999998</v>
      </c>
      <c r="M2318" s="16">
        <v>0</v>
      </c>
      <c r="N2318" s="16">
        <v>0</v>
      </c>
      <c r="O2318" s="16">
        <v>1739.3999550000001</v>
      </c>
      <c r="P2318" s="16">
        <v>15119.399955000001</v>
      </c>
    </row>
    <row r="2319" spans="1:16" ht="14.5" hidden="1" x14ac:dyDescent="0.25">
      <c r="A2319" s="17">
        <v>46081</v>
      </c>
      <c r="B2319" s="2" t="str">
        <f t="shared" si="72"/>
        <v>Feb-2026</v>
      </c>
      <c r="C2319" s="2" t="str">
        <f t="shared" si="73"/>
        <v>Q4</v>
      </c>
      <c r="D2319" s="2" t="s">
        <v>28</v>
      </c>
      <c r="E2319" s="2" t="s">
        <v>489</v>
      </c>
      <c r="F2319" s="2" t="s">
        <v>21</v>
      </c>
      <c r="G2319" s="11" t="s">
        <v>503</v>
      </c>
      <c r="H2319" s="2" t="s">
        <v>46</v>
      </c>
      <c r="I2319" s="16">
        <v>2</v>
      </c>
      <c r="J2319" s="16">
        <v>240</v>
      </c>
      <c r="K2319" s="16">
        <v>111.5</v>
      </c>
      <c r="L2319" s="16">
        <v>26759.999999999996</v>
      </c>
      <c r="M2319" s="16">
        <v>0</v>
      </c>
      <c r="N2319" s="16">
        <v>0</v>
      </c>
      <c r="O2319" s="16">
        <v>3478.7999100000002</v>
      </c>
      <c r="P2319" s="16">
        <v>30238.799910000002</v>
      </c>
    </row>
    <row r="2320" spans="1:16" ht="14.5" hidden="1" x14ac:dyDescent="0.25">
      <c r="A2320" s="17">
        <v>46081</v>
      </c>
      <c r="B2320" s="2" t="str">
        <f t="shared" ref="B2320:B2351" si="74">+TEXT(A2320,"MMM-yyy")</f>
        <v>Feb-2026</v>
      </c>
      <c r="C2320" s="2" t="str">
        <f t="shared" ref="C2320:C2351" si="75">"Q" &amp; CHOOSE(MONTH(A2320),4,4,4,1,1,1,2,2,2,3,3,3)</f>
        <v>Q4</v>
      </c>
      <c r="D2320" s="2" t="s">
        <v>28</v>
      </c>
      <c r="E2320" s="2" t="s">
        <v>489</v>
      </c>
      <c r="F2320" s="2" t="s">
        <v>21</v>
      </c>
      <c r="G2320" s="11" t="s">
        <v>509</v>
      </c>
      <c r="H2320" s="2" t="s">
        <v>283</v>
      </c>
      <c r="I2320" s="16">
        <v>2.08</v>
      </c>
      <c r="J2320" s="16">
        <v>250</v>
      </c>
      <c r="K2320" s="16">
        <v>235.75</v>
      </c>
      <c r="L2320" s="16">
        <v>58937.5</v>
      </c>
      <c r="M2320" s="16">
        <v>0</v>
      </c>
      <c r="N2320" s="16">
        <v>0</v>
      </c>
      <c r="O2320" s="16">
        <v>7661.8748020000003</v>
      </c>
      <c r="P2320" s="16">
        <v>66599.374802000006</v>
      </c>
    </row>
    <row r="2321" spans="1:16" ht="14.5" hidden="1" x14ac:dyDescent="0.25">
      <c r="A2321" s="17">
        <v>46081</v>
      </c>
      <c r="B2321" s="2" t="str">
        <f t="shared" si="74"/>
        <v>Feb-2026</v>
      </c>
      <c r="C2321" s="2" t="str">
        <f t="shared" si="75"/>
        <v>Q4</v>
      </c>
      <c r="D2321" s="2" t="s">
        <v>28</v>
      </c>
      <c r="E2321" s="2" t="s">
        <v>490</v>
      </c>
      <c r="F2321" s="2" t="s">
        <v>151</v>
      </c>
      <c r="G2321" s="11" t="s">
        <v>504</v>
      </c>
      <c r="H2321" s="2" t="s">
        <v>69</v>
      </c>
      <c r="I2321" s="16">
        <v>0.5</v>
      </c>
      <c r="J2321" s="16">
        <v>50</v>
      </c>
      <c r="K2321" s="16">
        <v>163.38</v>
      </c>
      <c r="L2321" s="16">
        <v>8169</v>
      </c>
      <c r="M2321" s="16">
        <v>0</v>
      </c>
      <c r="N2321" s="16">
        <v>0</v>
      </c>
      <c r="O2321" s="16">
        <v>1061.9701210000001</v>
      </c>
      <c r="P2321" s="16">
        <v>9230.9701210000003</v>
      </c>
    </row>
    <row r="2322" spans="1:16" ht="14.5" hidden="1" x14ac:dyDescent="0.25">
      <c r="A2322" s="17">
        <v>46081</v>
      </c>
      <c r="B2322" s="2" t="str">
        <f t="shared" si="74"/>
        <v>Feb-2026</v>
      </c>
      <c r="C2322" s="2" t="str">
        <f t="shared" si="75"/>
        <v>Q4</v>
      </c>
      <c r="D2322" s="2" t="s">
        <v>28</v>
      </c>
      <c r="E2322" s="2" t="s">
        <v>490</v>
      </c>
      <c r="F2322" s="2" t="s">
        <v>151</v>
      </c>
      <c r="G2322" s="11" t="s">
        <v>505</v>
      </c>
      <c r="H2322" s="2" t="s">
        <v>43</v>
      </c>
      <c r="I2322" s="16">
        <v>2</v>
      </c>
      <c r="J2322" s="16">
        <v>80</v>
      </c>
      <c r="K2322" s="16">
        <v>285.91000000000003</v>
      </c>
      <c r="L2322" s="16">
        <v>22872.799999999999</v>
      </c>
      <c r="M2322" s="16">
        <v>0</v>
      </c>
      <c r="N2322" s="16">
        <v>0</v>
      </c>
      <c r="O2322" s="16">
        <v>2973.46434</v>
      </c>
      <c r="P2322" s="16">
        <v>25846.264340000002</v>
      </c>
    </row>
    <row r="2323" spans="1:16" ht="14.5" hidden="1" x14ac:dyDescent="0.25">
      <c r="A2323" s="17">
        <v>46081</v>
      </c>
      <c r="B2323" s="2" t="str">
        <f t="shared" si="74"/>
        <v>Feb-2026</v>
      </c>
      <c r="C2323" s="2" t="str">
        <f t="shared" si="75"/>
        <v>Q4</v>
      </c>
      <c r="D2323" s="2" t="s">
        <v>28</v>
      </c>
      <c r="E2323" s="2" t="s">
        <v>490</v>
      </c>
      <c r="F2323" s="2" t="s">
        <v>151</v>
      </c>
      <c r="G2323" s="11" t="s">
        <v>504</v>
      </c>
      <c r="H2323" s="2" t="s">
        <v>66</v>
      </c>
      <c r="I2323" s="16">
        <v>0.5</v>
      </c>
      <c r="J2323" s="16">
        <v>50</v>
      </c>
      <c r="K2323" s="16">
        <v>108.92</v>
      </c>
      <c r="L2323" s="16">
        <v>5446.0000000000009</v>
      </c>
      <c r="M2323" s="16">
        <v>0</v>
      </c>
      <c r="N2323" s="16">
        <v>0</v>
      </c>
      <c r="O2323" s="16">
        <v>707.98008100000004</v>
      </c>
      <c r="P2323" s="16">
        <v>6153.9800809999997</v>
      </c>
    </row>
    <row r="2324" spans="1:16" ht="14.5" hidden="1" x14ac:dyDescent="0.25">
      <c r="A2324" s="17">
        <v>46081</v>
      </c>
      <c r="B2324" s="2" t="str">
        <f t="shared" si="74"/>
        <v>Feb-2026</v>
      </c>
      <c r="C2324" s="2" t="str">
        <f t="shared" si="75"/>
        <v>Q4</v>
      </c>
      <c r="D2324" s="2" t="s">
        <v>28</v>
      </c>
      <c r="E2324" s="2" t="s">
        <v>490</v>
      </c>
      <c r="F2324" s="2" t="s">
        <v>151</v>
      </c>
      <c r="G2324" s="11" t="s">
        <v>504</v>
      </c>
      <c r="H2324" s="2" t="s">
        <v>68</v>
      </c>
      <c r="I2324" s="16">
        <v>0.5</v>
      </c>
      <c r="J2324" s="16">
        <v>20</v>
      </c>
      <c r="K2324" s="16">
        <v>262.08</v>
      </c>
      <c r="L2324" s="16">
        <v>5241.6000000000004</v>
      </c>
      <c r="M2324" s="16">
        <v>0</v>
      </c>
      <c r="N2324" s="16">
        <v>0</v>
      </c>
      <c r="O2324" s="16">
        <v>681.40807799999993</v>
      </c>
      <c r="P2324" s="16">
        <v>5923.0080779999998</v>
      </c>
    </row>
    <row r="2325" spans="1:16" ht="14.5" hidden="1" x14ac:dyDescent="0.25">
      <c r="A2325" s="17">
        <v>46081</v>
      </c>
      <c r="B2325" s="2" t="str">
        <f t="shared" si="74"/>
        <v>Feb-2026</v>
      </c>
      <c r="C2325" s="2" t="str">
        <f t="shared" si="75"/>
        <v>Q4</v>
      </c>
      <c r="D2325" s="2" t="s">
        <v>28</v>
      </c>
      <c r="E2325" s="2" t="s">
        <v>490</v>
      </c>
      <c r="F2325" s="2" t="s">
        <v>151</v>
      </c>
      <c r="G2325" s="11" t="s">
        <v>505</v>
      </c>
      <c r="H2325" s="2" t="s">
        <v>40</v>
      </c>
      <c r="I2325" s="16">
        <v>0.28000000000000003</v>
      </c>
      <c r="J2325" s="16">
        <v>50</v>
      </c>
      <c r="K2325" s="16">
        <v>81.69</v>
      </c>
      <c r="L2325" s="16">
        <v>4084.5</v>
      </c>
      <c r="M2325" s="16">
        <v>0</v>
      </c>
      <c r="N2325" s="16">
        <v>0</v>
      </c>
      <c r="O2325" s="16">
        <v>530.98506099999997</v>
      </c>
      <c r="P2325" s="16">
        <v>4615.4850610000003</v>
      </c>
    </row>
    <row r="2326" spans="1:16" ht="14.5" hidden="1" x14ac:dyDescent="0.25">
      <c r="A2326" s="17">
        <v>46081</v>
      </c>
      <c r="B2326" s="2" t="str">
        <f t="shared" si="74"/>
        <v>Feb-2026</v>
      </c>
      <c r="C2326" s="2" t="str">
        <f t="shared" si="75"/>
        <v>Q4</v>
      </c>
      <c r="D2326" s="2" t="s">
        <v>28</v>
      </c>
      <c r="E2326" s="2" t="s">
        <v>490</v>
      </c>
      <c r="F2326" s="2" t="s">
        <v>151</v>
      </c>
      <c r="G2326" s="11" t="s">
        <v>503</v>
      </c>
      <c r="H2326" s="2" t="s">
        <v>57</v>
      </c>
      <c r="I2326" s="16">
        <v>1</v>
      </c>
      <c r="J2326" s="16">
        <v>180</v>
      </c>
      <c r="K2326" s="16">
        <v>119.13</v>
      </c>
      <c r="L2326" s="16">
        <v>21443.399999999998</v>
      </c>
      <c r="M2326" s="16">
        <v>0</v>
      </c>
      <c r="N2326" s="16">
        <v>0</v>
      </c>
      <c r="O2326" s="16">
        <v>2787.642319</v>
      </c>
      <c r="P2326" s="16">
        <v>24231.042319</v>
      </c>
    </row>
    <row r="2327" spans="1:16" ht="14.5" hidden="1" x14ac:dyDescent="0.25">
      <c r="A2327" s="17">
        <v>46081</v>
      </c>
      <c r="B2327" s="2" t="str">
        <f t="shared" si="74"/>
        <v>Feb-2026</v>
      </c>
      <c r="C2327" s="2" t="str">
        <f t="shared" si="75"/>
        <v>Q4</v>
      </c>
      <c r="D2327" s="2" t="s">
        <v>28</v>
      </c>
      <c r="E2327" s="2" t="s">
        <v>491</v>
      </c>
      <c r="F2327" s="2" t="s">
        <v>151</v>
      </c>
      <c r="G2327" s="11" t="s">
        <v>504</v>
      </c>
      <c r="H2327" s="2" t="s">
        <v>53</v>
      </c>
      <c r="I2327" s="16">
        <v>1.5</v>
      </c>
      <c r="J2327" s="16">
        <v>150</v>
      </c>
      <c r="K2327" s="16">
        <v>138</v>
      </c>
      <c r="L2327" s="16">
        <v>20700</v>
      </c>
      <c r="M2327" s="16" t="s">
        <v>113</v>
      </c>
      <c r="N2327" s="16" t="s">
        <v>113</v>
      </c>
      <c r="O2327" s="16" t="s">
        <v>113</v>
      </c>
      <c r="P2327" s="16">
        <v>20700</v>
      </c>
    </row>
    <row r="2328" spans="1:16" ht="14.5" hidden="1" x14ac:dyDescent="0.25">
      <c r="A2328" s="17">
        <v>46081</v>
      </c>
      <c r="B2328" s="2" t="str">
        <f t="shared" si="74"/>
        <v>Feb-2026</v>
      </c>
      <c r="C2328" s="2" t="str">
        <f t="shared" si="75"/>
        <v>Q4</v>
      </c>
      <c r="D2328" s="2" t="s">
        <v>28</v>
      </c>
      <c r="E2328" s="2" t="s">
        <v>491</v>
      </c>
      <c r="F2328" s="2" t="s">
        <v>151</v>
      </c>
      <c r="G2328" s="11" t="s">
        <v>504</v>
      </c>
      <c r="H2328" s="2" t="s">
        <v>61</v>
      </c>
      <c r="I2328" s="16">
        <v>3</v>
      </c>
      <c r="J2328" s="16">
        <v>120</v>
      </c>
      <c r="K2328" s="16">
        <v>336</v>
      </c>
      <c r="L2328" s="16">
        <v>40320</v>
      </c>
      <c r="M2328" s="16" t="s">
        <v>113</v>
      </c>
      <c r="N2328" s="16" t="s">
        <v>113</v>
      </c>
      <c r="O2328" s="16" t="s">
        <v>113</v>
      </c>
      <c r="P2328" s="16">
        <v>40320</v>
      </c>
    </row>
    <row r="2329" spans="1:16" ht="14.5" hidden="1" x14ac:dyDescent="0.25">
      <c r="A2329" s="17">
        <v>46081</v>
      </c>
      <c r="B2329" s="2" t="str">
        <f t="shared" si="74"/>
        <v>Feb-2026</v>
      </c>
      <c r="C2329" s="2" t="str">
        <f t="shared" si="75"/>
        <v>Q4</v>
      </c>
      <c r="D2329" s="2" t="s">
        <v>28</v>
      </c>
      <c r="E2329" s="2" t="s">
        <v>492</v>
      </c>
      <c r="F2329" s="2" t="s">
        <v>254</v>
      </c>
      <c r="G2329" s="11" t="s">
        <v>505</v>
      </c>
      <c r="H2329" s="2" t="s">
        <v>56</v>
      </c>
      <c r="I2329" s="16">
        <v>5</v>
      </c>
      <c r="J2329" s="16">
        <v>600</v>
      </c>
      <c r="K2329" s="16">
        <v>50.7</v>
      </c>
      <c r="L2329" s="16">
        <v>30420</v>
      </c>
      <c r="M2329" s="16">
        <v>-2765.1800000000003</v>
      </c>
      <c r="N2329" s="16">
        <v>0</v>
      </c>
      <c r="O2329" s="16">
        <v>3595.1263220000001</v>
      </c>
      <c r="P2329" s="16">
        <v>31249.946322</v>
      </c>
    </row>
    <row r="2330" spans="1:16" ht="14.5" hidden="1" x14ac:dyDescent="0.25">
      <c r="A2330" s="17">
        <v>46081</v>
      </c>
      <c r="B2330" s="2" t="str">
        <f t="shared" si="74"/>
        <v>Feb-2026</v>
      </c>
      <c r="C2330" s="2" t="str">
        <f t="shared" si="75"/>
        <v>Q4</v>
      </c>
      <c r="D2330" s="2" t="s">
        <v>28</v>
      </c>
      <c r="E2330" s="2" t="s">
        <v>492</v>
      </c>
      <c r="F2330" s="2" t="s">
        <v>254</v>
      </c>
      <c r="G2330" s="11" t="s">
        <v>505</v>
      </c>
      <c r="H2330" s="2" t="s">
        <v>49</v>
      </c>
      <c r="I2330" s="16">
        <v>2</v>
      </c>
      <c r="J2330" s="16">
        <v>360</v>
      </c>
      <c r="K2330" s="16">
        <v>158.87</v>
      </c>
      <c r="L2330" s="16">
        <v>57193.2</v>
      </c>
      <c r="M2330" s="16">
        <v>-5198.8600000000006</v>
      </c>
      <c r="N2330" s="16">
        <v>0</v>
      </c>
      <c r="O2330" s="16">
        <v>6759.2636780000003</v>
      </c>
      <c r="P2330" s="16">
        <v>58753.603677999999</v>
      </c>
    </row>
    <row r="2331" spans="1:16" ht="14.5" hidden="1" x14ac:dyDescent="0.25">
      <c r="A2331" s="17">
        <v>46081</v>
      </c>
      <c r="B2331" s="2" t="str">
        <f t="shared" si="74"/>
        <v>Feb-2026</v>
      </c>
      <c r="C2331" s="2" t="str">
        <f t="shared" si="75"/>
        <v>Q4</v>
      </c>
      <c r="D2331" s="2" t="s">
        <v>28</v>
      </c>
      <c r="E2331" s="2" t="s">
        <v>493</v>
      </c>
      <c r="F2331" s="2" t="s">
        <v>460</v>
      </c>
      <c r="G2331" s="11" t="s">
        <v>507</v>
      </c>
      <c r="H2331" s="2" t="s">
        <v>60</v>
      </c>
      <c r="I2331" s="16">
        <v>0.5</v>
      </c>
      <c r="J2331" s="16">
        <v>30</v>
      </c>
      <c r="K2331" s="16">
        <v>74.37</v>
      </c>
      <c r="L2331" s="16">
        <v>2231.1</v>
      </c>
      <c r="M2331" s="16">
        <v>-202.81</v>
      </c>
      <c r="N2331" s="16">
        <v>0</v>
      </c>
      <c r="O2331" s="16">
        <v>263.677727</v>
      </c>
      <c r="P2331" s="16">
        <v>2291.9677270000002</v>
      </c>
    </row>
    <row r="2332" spans="1:16" ht="14.5" hidden="1" x14ac:dyDescent="0.25">
      <c r="A2332" s="17">
        <v>46081</v>
      </c>
      <c r="B2332" s="2" t="str">
        <f t="shared" si="74"/>
        <v>Feb-2026</v>
      </c>
      <c r="C2332" s="2" t="str">
        <f t="shared" si="75"/>
        <v>Q4</v>
      </c>
      <c r="D2332" s="2" t="s">
        <v>28</v>
      </c>
      <c r="E2332" s="2" t="s">
        <v>493</v>
      </c>
      <c r="F2332" s="2" t="s">
        <v>460</v>
      </c>
      <c r="G2332" s="11" t="s">
        <v>503</v>
      </c>
      <c r="H2332" s="2" t="s">
        <v>42</v>
      </c>
      <c r="I2332" s="16">
        <v>0.5</v>
      </c>
      <c r="J2332" s="16">
        <v>60</v>
      </c>
      <c r="K2332" s="16">
        <v>148.72999999999999</v>
      </c>
      <c r="L2332" s="16">
        <v>8923.8000000000011</v>
      </c>
      <c r="M2332" s="16">
        <v>-811.17</v>
      </c>
      <c r="N2332" s="16">
        <v>0</v>
      </c>
      <c r="O2332" s="16">
        <v>1054.642008</v>
      </c>
      <c r="P2332" s="16">
        <v>9167.2720079999999</v>
      </c>
    </row>
    <row r="2333" spans="1:16" ht="14.5" hidden="1" x14ac:dyDescent="0.25">
      <c r="A2333" s="17">
        <v>46081</v>
      </c>
      <c r="B2333" s="2" t="str">
        <f t="shared" si="74"/>
        <v>Feb-2026</v>
      </c>
      <c r="C2333" s="2" t="str">
        <f t="shared" si="75"/>
        <v>Q4</v>
      </c>
      <c r="D2333" s="2" t="s">
        <v>28</v>
      </c>
      <c r="E2333" s="2" t="s">
        <v>493</v>
      </c>
      <c r="F2333" s="2" t="s">
        <v>460</v>
      </c>
      <c r="G2333" s="11" t="s">
        <v>505</v>
      </c>
      <c r="H2333" s="2" t="s">
        <v>49</v>
      </c>
      <c r="I2333" s="16">
        <v>2</v>
      </c>
      <c r="J2333" s="16">
        <v>360</v>
      </c>
      <c r="K2333" s="16">
        <v>158.87</v>
      </c>
      <c r="L2333" s="16">
        <v>57193.2</v>
      </c>
      <c r="M2333" s="16">
        <v>-5198.8600000000006</v>
      </c>
      <c r="N2333" s="16">
        <v>0</v>
      </c>
      <c r="O2333" s="16">
        <v>6759.2648950000003</v>
      </c>
      <c r="P2333" s="16">
        <v>58753.604894999997</v>
      </c>
    </row>
    <row r="2334" spans="1:16" ht="14.5" hidden="1" x14ac:dyDescent="0.25">
      <c r="A2334" s="17">
        <v>46081</v>
      </c>
      <c r="B2334" s="2" t="str">
        <f t="shared" si="74"/>
        <v>Feb-2026</v>
      </c>
      <c r="C2334" s="2" t="str">
        <f t="shared" si="75"/>
        <v>Q4</v>
      </c>
      <c r="D2334" s="2" t="s">
        <v>28</v>
      </c>
      <c r="E2334" s="2" t="s">
        <v>493</v>
      </c>
      <c r="F2334" s="2" t="s">
        <v>460</v>
      </c>
      <c r="G2334" s="11" t="s">
        <v>503</v>
      </c>
      <c r="H2334" s="2" t="s">
        <v>44</v>
      </c>
      <c r="I2334" s="16">
        <v>0.5</v>
      </c>
      <c r="J2334" s="16">
        <v>90</v>
      </c>
      <c r="K2334" s="16">
        <v>155.49</v>
      </c>
      <c r="L2334" s="16">
        <v>13994.1</v>
      </c>
      <c r="M2334" s="16">
        <v>-1272.0600000000002</v>
      </c>
      <c r="N2334" s="16">
        <v>0</v>
      </c>
      <c r="O2334" s="16">
        <v>1653.86537</v>
      </c>
      <c r="P2334" s="16">
        <v>14375.90537</v>
      </c>
    </row>
    <row r="2335" spans="1:16" ht="14.5" hidden="1" x14ac:dyDescent="0.25">
      <c r="A2335" s="17">
        <v>46081</v>
      </c>
      <c r="B2335" s="2" t="str">
        <f t="shared" si="74"/>
        <v>Feb-2026</v>
      </c>
      <c r="C2335" s="2" t="str">
        <f t="shared" si="75"/>
        <v>Q4</v>
      </c>
      <c r="D2335" s="2" t="s">
        <v>28</v>
      </c>
      <c r="E2335" s="2" t="s">
        <v>494</v>
      </c>
      <c r="F2335" s="2" t="s">
        <v>19</v>
      </c>
      <c r="G2335" s="11" t="s">
        <v>507</v>
      </c>
      <c r="H2335" s="2" t="s">
        <v>90</v>
      </c>
      <c r="I2335" s="16">
        <v>2</v>
      </c>
      <c r="J2335" s="16">
        <v>240</v>
      </c>
      <c r="K2335" s="16">
        <v>57.46</v>
      </c>
      <c r="L2335" s="16">
        <v>13790.4</v>
      </c>
      <c r="M2335" s="16">
        <v>-1253.55</v>
      </c>
      <c r="N2335" s="16">
        <v>0</v>
      </c>
      <c r="O2335" s="16">
        <v>1629.7905000000001</v>
      </c>
      <c r="P2335" s="16">
        <v>14166.6405</v>
      </c>
    </row>
    <row r="2336" spans="1:16" ht="14.5" hidden="1" x14ac:dyDescent="0.25">
      <c r="A2336" s="17">
        <v>46081</v>
      </c>
      <c r="B2336" s="2" t="str">
        <f t="shared" si="74"/>
        <v>Feb-2026</v>
      </c>
      <c r="C2336" s="2" t="str">
        <f t="shared" si="75"/>
        <v>Q4</v>
      </c>
      <c r="D2336" s="2" t="s">
        <v>28</v>
      </c>
      <c r="E2336" s="2" t="s">
        <v>494</v>
      </c>
      <c r="F2336" s="2" t="s">
        <v>19</v>
      </c>
      <c r="G2336" s="11" t="s">
        <v>507</v>
      </c>
      <c r="H2336" s="2" t="s">
        <v>60</v>
      </c>
      <c r="I2336" s="16">
        <v>2</v>
      </c>
      <c r="J2336" s="16">
        <v>120</v>
      </c>
      <c r="K2336" s="16">
        <v>74.37</v>
      </c>
      <c r="L2336" s="16">
        <v>8924.4</v>
      </c>
      <c r="M2336" s="16">
        <v>-811.23</v>
      </c>
      <c r="N2336" s="16">
        <v>0</v>
      </c>
      <c r="O2336" s="16">
        <v>1054.7121</v>
      </c>
      <c r="P2336" s="16">
        <v>9167.8821000000007</v>
      </c>
    </row>
    <row r="2337" spans="1:16" ht="14.5" hidden="1" x14ac:dyDescent="0.25">
      <c r="A2337" s="17">
        <v>46081</v>
      </c>
      <c r="B2337" s="2" t="str">
        <f t="shared" si="74"/>
        <v>Feb-2026</v>
      </c>
      <c r="C2337" s="2" t="str">
        <f t="shared" si="75"/>
        <v>Q4</v>
      </c>
      <c r="D2337" s="2" t="s">
        <v>28</v>
      </c>
      <c r="E2337" s="2" t="s">
        <v>494</v>
      </c>
      <c r="F2337" s="2" t="s">
        <v>19</v>
      </c>
      <c r="G2337" s="11" t="s">
        <v>505</v>
      </c>
      <c r="H2337" s="2" t="s">
        <v>55</v>
      </c>
      <c r="I2337" s="16">
        <v>1</v>
      </c>
      <c r="J2337" s="16">
        <v>120</v>
      </c>
      <c r="K2337" s="16">
        <v>145.35</v>
      </c>
      <c r="L2337" s="16">
        <v>17442</v>
      </c>
      <c r="M2337" s="16">
        <v>-1585.48</v>
      </c>
      <c r="N2337" s="16">
        <v>0</v>
      </c>
      <c r="O2337" s="16">
        <v>2061.3476000000001</v>
      </c>
      <c r="P2337" s="16">
        <v>17917.867600000001</v>
      </c>
    </row>
    <row r="2338" spans="1:16" ht="14.5" hidden="1" x14ac:dyDescent="0.25">
      <c r="A2338" s="17">
        <v>46081</v>
      </c>
      <c r="B2338" s="2" t="str">
        <f t="shared" si="74"/>
        <v>Feb-2026</v>
      </c>
      <c r="C2338" s="2" t="str">
        <f t="shared" si="75"/>
        <v>Q4</v>
      </c>
      <c r="D2338" s="2" t="s">
        <v>28</v>
      </c>
      <c r="E2338" s="2" t="s">
        <v>494</v>
      </c>
      <c r="F2338" s="2" t="s">
        <v>19</v>
      </c>
      <c r="G2338" s="11" t="s">
        <v>506</v>
      </c>
      <c r="H2338" s="2" t="s">
        <v>58</v>
      </c>
      <c r="I2338" s="16">
        <v>1</v>
      </c>
      <c r="J2338" s="16">
        <v>72</v>
      </c>
      <c r="K2338" s="16">
        <v>148.72999999999999</v>
      </c>
      <c r="L2338" s="16">
        <v>10708.56</v>
      </c>
      <c r="M2338" s="16">
        <v>-973.41</v>
      </c>
      <c r="N2338" s="16">
        <v>0</v>
      </c>
      <c r="O2338" s="16">
        <v>1265.5694999999998</v>
      </c>
      <c r="P2338" s="16">
        <v>11000.719499999999</v>
      </c>
    </row>
    <row r="2339" spans="1:16" ht="14.5" hidden="1" x14ac:dyDescent="0.25">
      <c r="A2339" s="17">
        <v>46081</v>
      </c>
      <c r="B2339" s="2" t="str">
        <f t="shared" si="74"/>
        <v>Feb-2026</v>
      </c>
      <c r="C2339" s="2" t="str">
        <f t="shared" si="75"/>
        <v>Q4</v>
      </c>
      <c r="D2339" s="2" t="s">
        <v>28</v>
      </c>
      <c r="E2339" s="2" t="s">
        <v>494</v>
      </c>
      <c r="F2339" s="2" t="s">
        <v>19</v>
      </c>
      <c r="G2339" s="11" t="s">
        <v>508</v>
      </c>
      <c r="H2339" s="2" t="s">
        <v>178</v>
      </c>
      <c r="I2339" s="16">
        <v>0.5</v>
      </c>
      <c r="J2339" s="16">
        <v>30</v>
      </c>
      <c r="K2339" s="16">
        <v>148.72999999999999</v>
      </c>
      <c r="L2339" s="16">
        <v>4461.9000000000005</v>
      </c>
      <c r="M2339" s="16">
        <v>-405.59</v>
      </c>
      <c r="N2339" s="16">
        <v>0</v>
      </c>
      <c r="O2339" s="16">
        <v>527.32029999999997</v>
      </c>
      <c r="P2339" s="16">
        <v>4583.6302999999998</v>
      </c>
    </row>
    <row r="2340" spans="1:16" ht="14.5" hidden="1" x14ac:dyDescent="0.25">
      <c r="A2340" s="17">
        <v>46081</v>
      </c>
      <c r="B2340" s="2" t="str">
        <f t="shared" si="74"/>
        <v>Feb-2026</v>
      </c>
      <c r="C2340" s="2" t="str">
        <f t="shared" si="75"/>
        <v>Q4</v>
      </c>
      <c r="D2340" s="2" t="s">
        <v>28</v>
      </c>
      <c r="E2340" s="2" t="s">
        <v>495</v>
      </c>
      <c r="F2340" s="2" t="s">
        <v>477</v>
      </c>
      <c r="G2340" s="11" t="s">
        <v>505</v>
      </c>
      <c r="H2340" s="2" t="s">
        <v>56</v>
      </c>
      <c r="I2340" s="16">
        <v>5</v>
      </c>
      <c r="J2340" s="16">
        <v>600</v>
      </c>
      <c r="K2340" s="16">
        <v>50.7</v>
      </c>
      <c r="L2340" s="16">
        <v>30420</v>
      </c>
      <c r="M2340" s="16">
        <v>-2765.1800000000003</v>
      </c>
      <c r="N2340" s="16">
        <v>0</v>
      </c>
      <c r="O2340" s="16">
        <v>3595.1263039999999</v>
      </c>
      <c r="P2340" s="16">
        <v>31249.946304000001</v>
      </c>
    </row>
    <row r="2341" spans="1:16" ht="14.5" hidden="1" x14ac:dyDescent="0.25">
      <c r="A2341" s="17">
        <v>46081</v>
      </c>
      <c r="B2341" s="2" t="str">
        <f t="shared" si="74"/>
        <v>Feb-2026</v>
      </c>
      <c r="C2341" s="2" t="str">
        <f t="shared" si="75"/>
        <v>Q4</v>
      </c>
      <c r="D2341" s="2" t="s">
        <v>28</v>
      </c>
      <c r="E2341" s="2" t="s">
        <v>495</v>
      </c>
      <c r="F2341" s="2" t="s">
        <v>477</v>
      </c>
      <c r="G2341" s="11" t="s">
        <v>505</v>
      </c>
      <c r="H2341" s="2" t="s">
        <v>43</v>
      </c>
      <c r="I2341" s="16">
        <v>1</v>
      </c>
      <c r="J2341" s="16">
        <v>40</v>
      </c>
      <c r="K2341" s="16">
        <v>283.94</v>
      </c>
      <c r="L2341" s="16">
        <v>11357.599999999999</v>
      </c>
      <c r="M2341" s="16">
        <v>-1032.4099999999999</v>
      </c>
      <c r="N2341" s="16">
        <v>0</v>
      </c>
      <c r="O2341" s="16">
        <v>1342.2745890000001</v>
      </c>
      <c r="P2341" s="16">
        <v>11667.464588999999</v>
      </c>
    </row>
    <row r="2342" spans="1:16" ht="14.5" hidden="1" x14ac:dyDescent="0.25">
      <c r="A2342" s="17">
        <v>46081</v>
      </c>
      <c r="B2342" s="2" t="str">
        <f t="shared" si="74"/>
        <v>Feb-2026</v>
      </c>
      <c r="C2342" s="2" t="str">
        <f t="shared" si="75"/>
        <v>Q4</v>
      </c>
      <c r="D2342" s="2" t="s">
        <v>28</v>
      </c>
      <c r="E2342" s="2" t="s">
        <v>495</v>
      </c>
      <c r="F2342" s="2" t="s">
        <v>477</v>
      </c>
      <c r="G2342" s="11" t="s">
        <v>505</v>
      </c>
      <c r="H2342" s="2" t="s">
        <v>49</v>
      </c>
      <c r="I2342" s="16">
        <v>5</v>
      </c>
      <c r="J2342" s="16">
        <v>900</v>
      </c>
      <c r="K2342" s="16">
        <v>158.87</v>
      </c>
      <c r="L2342" s="16">
        <v>142983</v>
      </c>
      <c r="M2342" s="16">
        <v>-12997.15</v>
      </c>
      <c r="N2342" s="16">
        <v>0</v>
      </c>
      <c r="O2342" s="16">
        <v>16898.159106999999</v>
      </c>
      <c r="P2342" s="16">
        <v>146884.00910699999</v>
      </c>
    </row>
    <row r="2343" spans="1:16" ht="14.5" hidden="1" x14ac:dyDescent="0.25">
      <c r="A2343" s="17">
        <v>46081</v>
      </c>
      <c r="B2343" s="2" t="str">
        <f t="shared" si="74"/>
        <v>Feb-2026</v>
      </c>
      <c r="C2343" s="2" t="str">
        <f t="shared" si="75"/>
        <v>Q4</v>
      </c>
      <c r="D2343" s="2" t="s">
        <v>28</v>
      </c>
      <c r="E2343" s="2" t="s">
        <v>496</v>
      </c>
      <c r="F2343" s="2" t="s">
        <v>416</v>
      </c>
      <c r="G2343" s="11" t="s">
        <v>505</v>
      </c>
      <c r="H2343" s="2" t="s">
        <v>55</v>
      </c>
      <c r="I2343" s="16">
        <v>1</v>
      </c>
      <c r="J2343" s="16">
        <v>120</v>
      </c>
      <c r="K2343" s="16">
        <v>145.35</v>
      </c>
      <c r="L2343" s="16">
        <v>17442</v>
      </c>
      <c r="M2343" s="16">
        <v>-1585.48</v>
      </c>
      <c r="N2343" s="16">
        <v>0</v>
      </c>
      <c r="O2343" s="16">
        <v>2061.3472750000001</v>
      </c>
      <c r="P2343" s="16">
        <v>17917.867275000001</v>
      </c>
    </row>
    <row r="2344" spans="1:16" ht="14.5" hidden="1" x14ac:dyDescent="0.25">
      <c r="A2344" s="17">
        <v>46081</v>
      </c>
      <c r="B2344" s="2" t="str">
        <f t="shared" si="74"/>
        <v>Feb-2026</v>
      </c>
      <c r="C2344" s="2" t="str">
        <f t="shared" si="75"/>
        <v>Q4</v>
      </c>
      <c r="D2344" s="2" t="s">
        <v>28</v>
      </c>
      <c r="E2344" s="2" t="s">
        <v>496</v>
      </c>
      <c r="F2344" s="2" t="s">
        <v>416</v>
      </c>
      <c r="G2344" s="11" t="s">
        <v>505</v>
      </c>
      <c r="H2344" s="2" t="s">
        <v>40</v>
      </c>
      <c r="I2344" s="16">
        <v>1</v>
      </c>
      <c r="J2344" s="16">
        <v>180</v>
      </c>
      <c r="K2344" s="16">
        <v>81.14</v>
      </c>
      <c r="L2344" s="16">
        <v>14605.199999999999</v>
      </c>
      <c r="M2344" s="16">
        <v>-1327.61</v>
      </c>
      <c r="N2344" s="16">
        <v>0</v>
      </c>
      <c r="O2344" s="16">
        <v>1726.0864279999998</v>
      </c>
      <c r="P2344" s="16">
        <v>15003.676428000001</v>
      </c>
    </row>
    <row r="2345" spans="1:16" ht="14.5" hidden="1" x14ac:dyDescent="0.25">
      <c r="A2345" s="17">
        <v>46081</v>
      </c>
      <c r="B2345" s="2" t="str">
        <f t="shared" si="74"/>
        <v>Feb-2026</v>
      </c>
      <c r="C2345" s="2" t="str">
        <f t="shared" si="75"/>
        <v>Q4</v>
      </c>
      <c r="D2345" s="2" t="s">
        <v>28</v>
      </c>
      <c r="E2345" s="2" t="s">
        <v>496</v>
      </c>
      <c r="F2345" s="2" t="s">
        <v>416</v>
      </c>
      <c r="G2345" s="11" t="s">
        <v>507</v>
      </c>
      <c r="H2345" s="2" t="s">
        <v>90</v>
      </c>
      <c r="I2345" s="16">
        <v>2</v>
      </c>
      <c r="J2345" s="16">
        <v>240</v>
      </c>
      <c r="K2345" s="16">
        <v>57.46</v>
      </c>
      <c r="L2345" s="16">
        <v>13790.4</v>
      </c>
      <c r="M2345" s="16">
        <v>-1253.55</v>
      </c>
      <c r="N2345" s="16">
        <v>0</v>
      </c>
      <c r="O2345" s="16">
        <v>1629.7902429999999</v>
      </c>
      <c r="P2345" s="16">
        <v>14166.640243</v>
      </c>
    </row>
    <row r="2346" spans="1:16" ht="14.5" hidden="1" x14ac:dyDescent="0.25">
      <c r="A2346" s="17">
        <v>46081</v>
      </c>
      <c r="B2346" s="2" t="str">
        <f t="shared" si="74"/>
        <v>Feb-2026</v>
      </c>
      <c r="C2346" s="2" t="str">
        <f t="shared" si="75"/>
        <v>Q4</v>
      </c>
      <c r="D2346" s="2" t="s">
        <v>28</v>
      </c>
      <c r="E2346" s="2" t="s">
        <v>496</v>
      </c>
      <c r="F2346" s="2" t="s">
        <v>416</v>
      </c>
      <c r="G2346" s="11" t="s">
        <v>505</v>
      </c>
      <c r="H2346" s="2" t="s">
        <v>43</v>
      </c>
      <c r="I2346" s="16">
        <v>1</v>
      </c>
      <c r="J2346" s="16">
        <v>40</v>
      </c>
      <c r="K2346" s="16">
        <v>283.94</v>
      </c>
      <c r="L2346" s="16">
        <v>11357.599999999999</v>
      </c>
      <c r="M2346" s="16">
        <v>-1032.4099999999999</v>
      </c>
      <c r="N2346" s="16">
        <v>0</v>
      </c>
      <c r="O2346" s="16">
        <v>1342.274488</v>
      </c>
      <c r="P2346" s="16">
        <v>11667.464488</v>
      </c>
    </row>
    <row r="2347" spans="1:16" ht="14.5" hidden="1" x14ac:dyDescent="0.25">
      <c r="A2347" s="17">
        <v>46081</v>
      </c>
      <c r="B2347" s="2" t="str">
        <f t="shared" si="74"/>
        <v>Feb-2026</v>
      </c>
      <c r="C2347" s="2" t="str">
        <f t="shared" si="75"/>
        <v>Q4</v>
      </c>
      <c r="D2347" s="2" t="s">
        <v>28</v>
      </c>
      <c r="E2347" s="2" t="s">
        <v>496</v>
      </c>
      <c r="F2347" s="2" t="s">
        <v>416</v>
      </c>
      <c r="G2347" s="11" t="s">
        <v>506</v>
      </c>
      <c r="H2347" s="2" t="s">
        <v>189</v>
      </c>
      <c r="I2347" s="16">
        <v>1</v>
      </c>
      <c r="J2347" s="16">
        <v>100</v>
      </c>
      <c r="K2347" s="16">
        <v>70.989999999999995</v>
      </c>
      <c r="L2347" s="16">
        <v>7099</v>
      </c>
      <c r="M2347" s="16">
        <v>-645.29999999999995</v>
      </c>
      <c r="N2347" s="16">
        <v>0</v>
      </c>
      <c r="O2347" s="16">
        <v>838.98086799999999</v>
      </c>
      <c r="P2347" s="16">
        <v>7292.6808680000004</v>
      </c>
    </row>
    <row r="2348" spans="1:16" ht="14.5" hidden="1" x14ac:dyDescent="0.25">
      <c r="A2348" s="17">
        <v>46081</v>
      </c>
      <c r="B2348" s="2" t="str">
        <f t="shared" si="74"/>
        <v>Feb-2026</v>
      </c>
      <c r="C2348" s="2" t="str">
        <f t="shared" si="75"/>
        <v>Q4</v>
      </c>
      <c r="D2348" s="2" t="s">
        <v>28</v>
      </c>
      <c r="E2348" s="2" t="s">
        <v>496</v>
      </c>
      <c r="F2348" s="2" t="s">
        <v>416</v>
      </c>
      <c r="G2348" s="11" t="s">
        <v>505</v>
      </c>
      <c r="H2348" s="2" t="s">
        <v>56</v>
      </c>
      <c r="I2348" s="16">
        <v>1</v>
      </c>
      <c r="J2348" s="16">
        <v>120</v>
      </c>
      <c r="K2348" s="16">
        <v>50.7</v>
      </c>
      <c r="L2348" s="16">
        <v>6084</v>
      </c>
      <c r="M2348" s="16">
        <v>-553.04</v>
      </c>
      <c r="N2348" s="16">
        <v>0</v>
      </c>
      <c r="O2348" s="16">
        <v>719.02468699999997</v>
      </c>
      <c r="P2348" s="16">
        <v>6249.9846870000001</v>
      </c>
    </row>
    <row r="2349" spans="1:16" ht="14.5" hidden="1" x14ac:dyDescent="0.25">
      <c r="A2349" s="17">
        <v>46081</v>
      </c>
      <c r="B2349" s="2" t="str">
        <f t="shared" si="74"/>
        <v>Feb-2026</v>
      </c>
      <c r="C2349" s="2" t="str">
        <f t="shared" si="75"/>
        <v>Q4</v>
      </c>
      <c r="D2349" s="2" t="s">
        <v>28</v>
      </c>
      <c r="E2349" s="2" t="s">
        <v>496</v>
      </c>
      <c r="F2349" s="2" t="s">
        <v>416</v>
      </c>
      <c r="G2349" s="11" t="s">
        <v>510</v>
      </c>
      <c r="H2349" s="2" t="s">
        <v>497</v>
      </c>
      <c r="I2349" s="16">
        <v>1</v>
      </c>
      <c r="J2349" s="16">
        <v>600</v>
      </c>
      <c r="K2349" s="16">
        <v>13.52</v>
      </c>
      <c r="L2349" s="16">
        <v>8112</v>
      </c>
      <c r="M2349" s="16">
        <v>-737.38</v>
      </c>
      <c r="N2349" s="16">
        <v>0</v>
      </c>
      <c r="O2349" s="16">
        <v>958.70044900000005</v>
      </c>
      <c r="P2349" s="16">
        <v>8333.3204490000007</v>
      </c>
    </row>
    <row r="2350" spans="1:16" ht="14.5" hidden="1" x14ac:dyDescent="0.25">
      <c r="A2350" s="17">
        <v>46081</v>
      </c>
      <c r="B2350" s="2" t="str">
        <f t="shared" si="74"/>
        <v>Feb-2026</v>
      </c>
      <c r="C2350" s="2" t="str">
        <f t="shared" si="75"/>
        <v>Q4</v>
      </c>
      <c r="D2350" s="2" t="s">
        <v>28</v>
      </c>
      <c r="E2350" s="2" t="s">
        <v>496</v>
      </c>
      <c r="F2350" s="2" t="s">
        <v>416</v>
      </c>
      <c r="G2350" s="11" t="s">
        <v>503</v>
      </c>
      <c r="H2350" s="2" t="s">
        <v>52</v>
      </c>
      <c r="I2350" s="16">
        <v>1</v>
      </c>
      <c r="J2350" s="16">
        <v>180</v>
      </c>
      <c r="K2350" s="16">
        <v>70.989999999999995</v>
      </c>
      <c r="L2350" s="16">
        <v>12778.2</v>
      </c>
      <c r="M2350" s="16">
        <v>-1161.54</v>
      </c>
      <c r="N2350" s="16">
        <v>0</v>
      </c>
      <c r="O2350" s="16">
        <v>1510.1655619999999</v>
      </c>
      <c r="P2350" s="16">
        <v>13126.825562</v>
      </c>
    </row>
    <row r="2351" spans="1:16" ht="14.5" hidden="1" x14ac:dyDescent="0.25">
      <c r="A2351" s="17">
        <v>46081</v>
      </c>
      <c r="B2351" s="2" t="str">
        <f t="shared" si="74"/>
        <v>Feb-2026</v>
      </c>
      <c r="C2351" s="2" t="str">
        <f t="shared" si="75"/>
        <v>Q4</v>
      </c>
      <c r="D2351" s="2" t="s">
        <v>28</v>
      </c>
      <c r="E2351" s="2" t="s">
        <v>498</v>
      </c>
      <c r="F2351" s="2" t="s">
        <v>416</v>
      </c>
      <c r="G2351" s="11" t="s">
        <v>510</v>
      </c>
      <c r="H2351" s="2" t="s">
        <v>499</v>
      </c>
      <c r="I2351" s="16">
        <v>1</v>
      </c>
      <c r="J2351" s="16">
        <v>600</v>
      </c>
      <c r="K2351" s="16">
        <v>15.28</v>
      </c>
      <c r="L2351" s="16">
        <v>9168</v>
      </c>
      <c r="M2351" s="16">
        <v>-833.36999999999989</v>
      </c>
      <c r="N2351" s="16">
        <v>0</v>
      </c>
      <c r="O2351" s="16">
        <v>0</v>
      </c>
      <c r="P2351" s="16">
        <v>8334.6299999999992</v>
      </c>
    </row>
  </sheetData>
  <autoFilter ref="A1:P2351" xr:uid="{FEC82BD4-CAE9-4B30-8F8F-97B523EF7314}">
    <filterColumn colId="1">
      <filters>
        <filter val="Apr-2025"/>
        <filter val="Aug-2025"/>
        <filter val="Dec-2025"/>
        <filter val="Jan-2026"/>
        <filter val="Jul-2025"/>
        <filter val="Jun-2025"/>
        <filter val="May-2025"/>
        <filter val="Nov-2025"/>
        <filter val="Oct-2025"/>
        <filter val="Sep-2025"/>
      </filters>
    </filterColumn>
  </autoFilter>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 Case</vt:lpstr>
      <vt:lpstr>In Value</vt:lpstr>
      <vt:lpstr>Sheet2</vt: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Nirajan Bhat</dc:creator>
  <cp:lastModifiedBy>L E N O V O</cp:lastModifiedBy>
  <dcterms:created xsi:type="dcterms:W3CDTF">2025-12-01T06:21:58Z</dcterms:created>
  <dcterms:modified xsi:type="dcterms:W3CDTF">2026-03-09T06:03:56Z</dcterms:modified>
</cp:coreProperties>
</file>