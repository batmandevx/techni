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Ramesh\SNS\"/>
    </mc:Choice>
  </mc:AlternateContent>
  <xr:revisionPtr revIDLastSave="0" documentId="13_ncr:1_{DD2C6884-C492-4542-991C-8E342670514A}" xr6:coauthVersionLast="47" xr6:coauthVersionMax="47" xr10:uidLastSave="{00000000-0000-0000-0000-000000000000}"/>
  <bookViews>
    <workbookView xWindow="-120" yWindow="-120" windowWidth="20730" windowHeight="11160" activeTab="1" xr2:uid="{646CA514-A302-4F30-B043-02A8CA8CD146}"/>
  </bookViews>
  <sheets>
    <sheet name="PVT-FEB-26" sheetId="3" r:id="rId1"/>
    <sheet name="PVT-Month wise" sheetId="4" r:id="rId2"/>
    <sheet name="Main sheet" sheetId="1" r:id="rId3"/>
  </sheets>
  <externalReferences>
    <externalReference r:id="rId4"/>
  </externalReferences>
  <definedNames>
    <definedName name="_xlnm._FilterDatabase" localSheetId="2" hidden="1">'Main sheet'!$A$4:$BX$67</definedName>
    <definedName name="_xlnm._FilterDatabase" localSheetId="0" hidden="1">'PVT-FEB-26'!$A$3:$J$56</definedName>
  </definedNames>
  <calcPr calcId="191029"/>
  <pivotCaches>
    <pivotCache cacheId="3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8" i="4" l="1"/>
  <c r="O2" i="4"/>
  <c r="O1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4" i="4"/>
  <c r="E1" i="4"/>
  <c r="N1" i="4"/>
  <c r="M1" i="4"/>
  <c r="L1" i="4"/>
  <c r="K1" i="4"/>
  <c r="J1" i="4"/>
  <c r="I1" i="4"/>
  <c r="H1" i="4"/>
  <c r="G1" i="4"/>
  <c r="F1" i="4"/>
  <c r="M2" i="4" l="1"/>
  <c r="L2" i="4"/>
  <c r="N2" i="4"/>
  <c r="N58" i="4"/>
  <c r="K2" i="4" l="1"/>
  <c r="J2" i="4"/>
  <c r="I2" i="4"/>
  <c r="H2" i="4"/>
  <c r="G2" i="4"/>
  <c r="F2" i="4"/>
  <c r="E2" i="4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5" i="1"/>
  <c r="H5" i="1" s="1"/>
  <c r="BV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AW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5" i="1"/>
  <c r="BN5" i="1"/>
  <c r="BQ3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AO3" i="1" l="1"/>
  <c r="AX3" i="1"/>
  <c r="AG3" i="1"/>
  <c r="W3" i="1"/>
  <c r="M3" i="1"/>
  <c r="BR3" i="1"/>
  <c r="BN3" i="1"/>
  <c r="BV6" i="1" l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5" i="1"/>
  <c r="BK3" i="1"/>
  <c r="BP3" i="1" l="1"/>
  <c r="BM3" i="1"/>
  <c r="BL3" i="1"/>
  <c r="BF5" i="1"/>
  <c r="BE3" i="1"/>
  <c r="AZ6" i="1"/>
  <c r="BH6" i="1" s="1"/>
  <c r="AZ7" i="1"/>
  <c r="BH7" i="1" s="1"/>
  <c r="AZ8" i="1"/>
  <c r="BH8" i="1" s="1"/>
  <c r="AZ9" i="1"/>
  <c r="BH9" i="1" s="1"/>
  <c r="AZ10" i="1"/>
  <c r="BH10" i="1" s="1"/>
  <c r="AZ11" i="1"/>
  <c r="BH11" i="1" s="1"/>
  <c r="AZ12" i="1"/>
  <c r="BH12" i="1" s="1"/>
  <c r="AZ13" i="1"/>
  <c r="BH13" i="1" s="1"/>
  <c r="AZ14" i="1"/>
  <c r="BH14" i="1" s="1"/>
  <c r="AZ15" i="1"/>
  <c r="BH15" i="1" s="1"/>
  <c r="AZ16" i="1"/>
  <c r="BH16" i="1" s="1"/>
  <c r="AZ17" i="1"/>
  <c r="BH17" i="1" s="1"/>
  <c r="AZ18" i="1"/>
  <c r="BH18" i="1" s="1"/>
  <c r="AZ19" i="1"/>
  <c r="BH19" i="1" s="1"/>
  <c r="AZ20" i="1"/>
  <c r="BH20" i="1" s="1"/>
  <c r="AZ21" i="1"/>
  <c r="BH21" i="1" s="1"/>
  <c r="AZ22" i="1"/>
  <c r="BH22" i="1" s="1"/>
  <c r="AZ23" i="1"/>
  <c r="BH23" i="1" s="1"/>
  <c r="AZ24" i="1"/>
  <c r="BH24" i="1" s="1"/>
  <c r="AZ25" i="1"/>
  <c r="BH25" i="1" s="1"/>
  <c r="AZ26" i="1"/>
  <c r="BH26" i="1" s="1"/>
  <c r="AZ27" i="1"/>
  <c r="BH27" i="1" s="1"/>
  <c r="AZ28" i="1"/>
  <c r="BH28" i="1" s="1"/>
  <c r="AZ29" i="1"/>
  <c r="BH29" i="1" s="1"/>
  <c r="AZ30" i="1"/>
  <c r="BH30" i="1" s="1"/>
  <c r="AZ31" i="1"/>
  <c r="BH31" i="1" s="1"/>
  <c r="AZ32" i="1"/>
  <c r="BH32" i="1" s="1"/>
  <c r="AZ33" i="1"/>
  <c r="BH33" i="1" s="1"/>
  <c r="AZ34" i="1"/>
  <c r="BH34" i="1" s="1"/>
  <c r="AZ35" i="1"/>
  <c r="BH35" i="1" s="1"/>
  <c r="AZ36" i="1"/>
  <c r="BH36" i="1" s="1"/>
  <c r="AZ37" i="1"/>
  <c r="BH37" i="1" s="1"/>
  <c r="AZ38" i="1"/>
  <c r="BH38" i="1" s="1"/>
  <c r="AZ39" i="1"/>
  <c r="BH39" i="1" s="1"/>
  <c r="AZ40" i="1"/>
  <c r="BH40" i="1" s="1"/>
  <c r="AZ41" i="1"/>
  <c r="BH41" i="1" s="1"/>
  <c r="AZ42" i="1"/>
  <c r="BH42" i="1" s="1"/>
  <c r="AZ43" i="1"/>
  <c r="BH43" i="1" s="1"/>
  <c r="AZ44" i="1"/>
  <c r="BH44" i="1" s="1"/>
  <c r="AZ45" i="1"/>
  <c r="BH45" i="1" s="1"/>
  <c r="AZ46" i="1"/>
  <c r="BH46" i="1" s="1"/>
  <c r="AZ47" i="1"/>
  <c r="BH47" i="1" s="1"/>
  <c r="AZ48" i="1"/>
  <c r="BH48" i="1" s="1"/>
  <c r="AZ49" i="1"/>
  <c r="BH49" i="1" s="1"/>
  <c r="AZ50" i="1"/>
  <c r="BH50" i="1" s="1"/>
  <c r="AZ51" i="1"/>
  <c r="BH51" i="1" s="1"/>
  <c r="AZ52" i="1"/>
  <c r="BH52" i="1" s="1"/>
  <c r="AZ53" i="1"/>
  <c r="BH53" i="1" s="1"/>
  <c r="AZ54" i="1"/>
  <c r="BH54" i="1" s="1"/>
  <c r="AZ55" i="1"/>
  <c r="BH55" i="1" s="1"/>
  <c r="AZ56" i="1"/>
  <c r="BH56" i="1" s="1"/>
  <c r="AZ57" i="1"/>
  <c r="BH57" i="1" s="1"/>
  <c r="AZ58" i="1"/>
  <c r="BH58" i="1" s="1"/>
  <c r="AZ59" i="1"/>
  <c r="BH59" i="1" s="1"/>
  <c r="AZ60" i="1"/>
  <c r="BH60" i="1" s="1"/>
  <c r="AZ61" i="1"/>
  <c r="BH61" i="1" s="1"/>
  <c r="AZ62" i="1"/>
  <c r="BH62" i="1" s="1"/>
  <c r="AZ63" i="1"/>
  <c r="BH63" i="1" s="1"/>
  <c r="AZ64" i="1"/>
  <c r="BH64" i="1" s="1"/>
  <c r="AZ65" i="1"/>
  <c r="BH65" i="1" s="1"/>
  <c r="AZ66" i="1"/>
  <c r="BH66" i="1" s="1"/>
  <c r="AZ67" i="1"/>
  <c r="BH67" i="1" s="1"/>
  <c r="AZ5" i="1"/>
  <c r="BH5" i="1" s="1"/>
  <c r="AY66" i="1"/>
  <c r="BB66" i="1" s="1"/>
  <c r="BG66" i="1" s="1"/>
  <c r="BJ66" i="1" s="1"/>
  <c r="BO66" i="1" s="1"/>
  <c r="BS66" i="1" s="1"/>
  <c r="AY67" i="1"/>
  <c r="BB67" i="1" s="1"/>
  <c r="BG67" i="1" s="1"/>
  <c r="BJ67" i="1" s="1"/>
  <c r="BO67" i="1" s="1"/>
  <c r="BS67" i="1" s="1"/>
  <c r="BF3" i="1" l="1"/>
  <c r="BI66" i="1"/>
  <c r="BI67" i="1"/>
  <c r="BH3" i="1"/>
  <c r="BX13" i="1"/>
  <c r="BD3" i="1"/>
  <c r="BC3" i="1"/>
  <c r="BX8" i="1"/>
  <c r="BX28" i="1"/>
  <c r="BX60" i="1"/>
  <c r="BX50" i="1"/>
  <c r="BX45" i="1"/>
  <c r="BX16" i="1"/>
  <c r="BX32" i="1"/>
  <c r="BX21" i="1"/>
  <c r="BX17" i="1"/>
  <c r="BX12" i="1"/>
  <c r="BX25" i="1"/>
  <c r="BX64" i="1"/>
  <c r="BX10" i="1"/>
  <c r="BX49" i="1"/>
  <c r="BX54" i="1"/>
  <c r="BX37" i="1"/>
  <c r="BX62" i="1"/>
  <c r="BX36" i="1"/>
  <c r="BX52" i="1"/>
  <c r="BA67" i="1"/>
  <c r="BX26" i="1"/>
  <c r="BX30" i="1"/>
  <c r="BX46" i="1"/>
  <c r="BX41" i="1"/>
  <c r="BX34" i="1"/>
  <c r="BX24" i="1"/>
  <c r="BX58" i="1"/>
  <c r="BX14" i="1"/>
  <c r="BX48" i="1"/>
  <c r="BX29" i="1"/>
  <c r="BX38" i="1"/>
  <c r="BX33" i="1"/>
  <c r="BX42" i="1"/>
  <c r="BX61" i="1"/>
  <c r="BX65" i="1"/>
  <c r="BX20" i="1"/>
  <c r="BX5" i="1"/>
  <c r="BX56" i="1"/>
  <c r="BX18" i="1"/>
  <c r="BX9" i="1"/>
  <c r="BX40" i="1"/>
  <c r="BX31" i="1"/>
  <c r="BX22" i="1"/>
  <c r="BX53" i="1"/>
  <c r="BX44" i="1"/>
  <c r="BX7" i="1"/>
  <c r="BX66" i="1"/>
  <c r="BX57" i="1"/>
  <c r="BX35" i="1"/>
  <c r="BX51" i="1"/>
  <c r="BX43" i="1"/>
  <c r="BX47" i="1"/>
  <c r="BX55" i="1"/>
  <c r="BX59" i="1"/>
  <c r="BX11" i="1"/>
  <c r="BW3" i="1"/>
  <c r="BX39" i="1"/>
  <c r="BX63" i="1"/>
  <c r="BX15" i="1"/>
  <c r="BX6" i="1"/>
  <c r="BX67" i="1"/>
  <c r="BX19" i="1"/>
  <c r="BX23" i="1"/>
  <c r="BX27" i="1"/>
  <c r="BV3" i="1"/>
  <c r="AZ3" i="1"/>
  <c r="BA66" i="1"/>
  <c r="AV3" i="1"/>
  <c r="AU3" i="1"/>
  <c r="AM3" i="1"/>
  <c r="BX3" i="1" l="1"/>
  <c r="AR3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5" i="1"/>
  <c r="AI3" i="1"/>
  <c r="AD3" i="1"/>
  <c r="AC42" i="1"/>
  <c r="AH42" i="1" s="1"/>
  <c r="AJ42" i="1" s="1"/>
  <c r="Q6" i="1"/>
  <c r="Y6" i="1" s="1"/>
  <c r="AA6" i="1" s="1"/>
  <c r="Q7" i="1"/>
  <c r="Y7" i="1" s="1"/>
  <c r="AA7" i="1" s="1"/>
  <c r="Q8" i="1"/>
  <c r="Y8" i="1" s="1"/>
  <c r="AA8" i="1" s="1"/>
  <c r="Q9" i="1"/>
  <c r="Y9" i="1" s="1"/>
  <c r="AA9" i="1" s="1"/>
  <c r="Q10" i="1"/>
  <c r="Y10" i="1" s="1"/>
  <c r="AA10" i="1" s="1"/>
  <c r="Q11" i="1"/>
  <c r="Y11" i="1" s="1"/>
  <c r="AA11" i="1" s="1"/>
  <c r="Q12" i="1"/>
  <c r="Y12" i="1" s="1"/>
  <c r="AA12" i="1" s="1"/>
  <c r="Q13" i="1"/>
  <c r="Y13" i="1" s="1"/>
  <c r="AA13" i="1" s="1"/>
  <c r="Q14" i="1"/>
  <c r="Y14" i="1" s="1"/>
  <c r="AA14" i="1" s="1"/>
  <c r="Q15" i="1"/>
  <c r="Y15" i="1" s="1"/>
  <c r="AA15" i="1" s="1"/>
  <c r="Q16" i="1"/>
  <c r="Y16" i="1" s="1"/>
  <c r="AA16" i="1" s="1"/>
  <c r="Q17" i="1"/>
  <c r="Y17" i="1" s="1"/>
  <c r="AA17" i="1" s="1"/>
  <c r="Q18" i="1"/>
  <c r="Y18" i="1" s="1"/>
  <c r="AA18" i="1" s="1"/>
  <c r="Q19" i="1"/>
  <c r="Y19" i="1" s="1"/>
  <c r="AA19" i="1" s="1"/>
  <c r="Q20" i="1"/>
  <c r="Y20" i="1" s="1"/>
  <c r="AA20" i="1" s="1"/>
  <c r="Q21" i="1"/>
  <c r="Y21" i="1" s="1"/>
  <c r="AA21" i="1" s="1"/>
  <c r="Q22" i="1"/>
  <c r="Y22" i="1" s="1"/>
  <c r="AA22" i="1" s="1"/>
  <c r="Q23" i="1"/>
  <c r="Y23" i="1" s="1"/>
  <c r="AA23" i="1" s="1"/>
  <c r="Q24" i="1"/>
  <c r="Y24" i="1" s="1"/>
  <c r="AA24" i="1" s="1"/>
  <c r="Q25" i="1"/>
  <c r="Y25" i="1" s="1"/>
  <c r="AA25" i="1" s="1"/>
  <c r="Q26" i="1"/>
  <c r="Y26" i="1" s="1"/>
  <c r="AA26" i="1" s="1"/>
  <c r="Q27" i="1"/>
  <c r="Y27" i="1" s="1"/>
  <c r="AA27" i="1" s="1"/>
  <c r="Q28" i="1"/>
  <c r="Y28" i="1" s="1"/>
  <c r="AA28" i="1" s="1"/>
  <c r="Q29" i="1"/>
  <c r="Y29" i="1" s="1"/>
  <c r="AA29" i="1" s="1"/>
  <c r="Q30" i="1"/>
  <c r="Y30" i="1" s="1"/>
  <c r="AA30" i="1" s="1"/>
  <c r="Q31" i="1"/>
  <c r="Y31" i="1" s="1"/>
  <c r="AA31" i="1" s="1"/>
  <c r="Q32" i="1"/>
  <c r="Y32" i="1" s="1"/>
  <c r="AA32" i="1" s="1"/>
  <c r="Q33" i="1"/>
  <c r="Y33" i="1" s="1"/>
  <c r="AA33" i="1" s="1"/>
  <c r="Q34" i="1"/>
  <c r="Y34" i="1" s="1"/>
  <c r="AA34" i="1" s="1"/>
  <c r="Q35" i="1"/>
  <c r="Y35" i="1" s="1"/>
  <c r="AA35" i="1" s="1"/>
  <c r="Q36" i="1"/>
  <c r="Y36" i="1" s="1"/>
  <c r="AA36" i="1" s="1"/>
  <c r="Q37" i="1"/>
  <c r="Y37" i="1" s="1"/>
  <c r="AA37" i="1" s="1"/>
  <c r="Q38" i="1"/>
  <c r="Y38" i="1" s="1"/>
  <c r="AA38" i="1" s="1"/>
  <c r="Q39" i="1"/>
  <c r="Y39" i="1" s="1"/>
  <c r="AA39" i="1" s="1"/>
  <c r="Q40" i="1"/>
  <c r="Y40" i="1" s="1"/>
  <c r="AA40" i="1" s="1"/>
  <c r="Q41" i="1"/>
  <c r="Y41" i="1" s="1"/>
  <c r="AA41" i="1" s="1"/>
  <c r="Q42" i="1"/>
  <c r="Y42" i="1" s="1"/>
  <c r="AA42" i="1" s="1"/>
  <c r="Q43" i="1"/>
  <c r="Y43" i="1" s="1"/>
  <c r="AA43" i="1" s="1"/>
  <c r="Q44" i="1"/>
  <c r="Y44" i="1" s="1"/>
  <c r="AA44" i="1" s="1"/>
  <c r="Q45" i="1"/>
  <c r="Y45" i="1" s="1"/>
  <c r="AA45" i="1" s="1"/>
  <c r="Q46" i="1"/>
  <c r="Y46" i="1" s="1"/>
  <c r="AA46" i="1" s="1"/>
  <c r="Q47" i="1"/>
  <c r="Y47" i="1" s="1"/>
  <c r="AA47" i="1" s="1"/>
  <c r="Q48" i="1"/>
  <c r="Y48" i="1" s="1"/>
  <c r="AA48" i="1" s="1"/>
  <c r="Q49" i="1"/>
  <c r="Y49" i="1" s="1"/>
  <c r="AA49" i="1" s="1"/>
  <c r="Q50" i="1"/>
  <c r="Y50" i="1" s="1"/>
  <c r="AA50" i="1" s="1"/>
  <c r="Q51" i="1"/>
  <c r="Y51" i="1" s="1"/>
  <c r="AA51" i="1" s="1"/>
  <c r="Q52" i="1"/>
  <c r="Y52" i="1" s="1"/>
  <c r="AA52" i="1" s="1"/>
  <c r="Q53" i="1"/>
  <c r="Y53" i="1" s="1"/>
  <c r="AA53" i="1" s="1"/>
  <c r="Q54" i="1"/>
  <c r="Y54" i="1" s="1"/>
  <c r="AA54" i="1" s="1"/>
  <c r="Q55" i="1"/>
  <c r="Y55" i="1" s="1"/>
  <c r="AA55" i="1" s="1"/>
  <c r="Q56" i="1"/>
  <c r="Y56" i="1" s="1"/>
  <c r="AA56" i="1" s="1"/>
  <c r="Q57" i="1"/>
  <c r="Y57" i="1" s="1"/>
  <c r="AA57" i="1" s="1"/>
  <c r="Q58" i="1"/>
  <c r="Y58" i="1" s="1"/>
  <c r="AA58" i="1" s="1"/>
  <c r="Q59" i="1"/>
  <c r="Y59" i="1" s="1"/>
  <c r="AA59" i="1" s="1"/>
  <c r="Q60" i="1"/>
  <c r="Y60" i="1" s="1"/>
  <c r="AA60" i="1" s="1"/>
  <c r="Q61" i="1"/>
  <c r="Y61" i="1" s="1"/>
  <c r="AA61" i="1" s="1"/>
  <c r="Q62" i="1"/>
  <c r="Y62" i="1" s="1"/>
  <c r="AA62" i="1" s="1"/>
  <c r="Q63" i="1"/>
  <c r="Y63" i="1" s="1"/>
  <c r="AA63" i="1" s="1"/>
  <c r="Q64" i="1"/>
  <c r="Y64" i="1" s="1"/>
  <c r="AA64" i="1" s="1"/>
  <c r="Q65" i="1"/>
  <c r="Y65" i="1" s="1"/>
  <c r="AA65" i="1" s="1"/>
  <c r="Q5" i="1"/>
  <c r="P2" i="1"/>
  <c r="AQ3" i="1" l="1"/>
  <c r="AK42" i="1"/>
  <c r="AP42" i="1" s="1"/>
  <c r="AN3" i="1"/>
  <c r="AL3" i="1"/>
  <c r="AE3" i="1"/>
  <c r="AF3" i="1"/>
  <c r="Y5" i="1"/>
  <c r="AA5" i="1" s="1"/>
  <c r="AS42" i="1" l="1"/>
  <c r="AT42" i="1"/>
  <c r="AY42" i="1" s="1"/>
  <c r="S42" i="1"/>
  <c r="Z3" i="1"/>
  <c r="V3" i="1"/>
  <c r="U3" i="1"/>
  <c r="T3" i="1"/>
  <c r="AX2" i="1" l="1"/>
  <c r="AO2" i="1"/>
  <c r="AG2" i="1"/>
  <c r="W2" i="1"/>
  <c r="M2" i="1"/>
  <c r="BV2" i="1"/>
  <c r="BW2" i="1"/>
  <c r="BX2" i="1"/>
  <c r="BQ2" i="1"/>
  <c r="BR2" i="1"/>
  <c r="BK2" i="1"/>
  <c r="BM2" i="1"/>
  <c r="BP2" i="1"/>
  <c r="BN2" i="1"/>
  <c r="BL2" i="1"/>
  <c r="BF2" i="1"/>
  <c r="BA42" i="1"/>
  <c r="BB42" i="1"/>
  <c r="BG42" i="1" s="1"/>
  <c r="BH2" i="1"/>
  <c r="BC2" i="1"/>
  <c r="BD2" i="1"/>
  <c r="BE2" i="1"/>
  <c r="AW2" i="1"/>
  <c r="AU2" i="1"/>
  <c r="AV2" i="1"/>
  <c r="AZ2" i="1"/>
  <c r="AR2" i="1"/>
  <c r="AN2" i="1"/>
  <c r="AQ2" i="1"/>
  <c r="AM2" i="1"/>
  <c r="AL2" i="1"/>
  <c r="AI2" i="1"/>
  <c r="AD2" i="1"/>
  <c r="AE2" i="1"/>
  <c r="AF2" i="1"/>
  <c r="V2" i="1"/>
  <c r="Z2" i="1"/>
  <c r="T2" i="1"/>
  <c r="U2" i="1"/>
  <c r="P3" i="1"/>
  <c r="N34" i="1"/>
  <c r="N20" i="1"/>
  <c r="N21" i="1"/>
  <c r="N18" i="1"/>
  <c r="N19" i="1"/>
  <c r="N23" i="1"/>
  <c r="N25" i="1"/>
  <c r="BI42" i="1" l="1"/>
  <c r="BJ42" i="1"/>
  <c r="BO42" i="1" s="1"/>
  <c r="BS42" i="1" s="1"/>
  <c r="S23" i="1"/>
  <c r="X23" i="1" s="1"/>
  <c r="R23" i="1"/>
  <c r="S20" i="1"/>
  <c r="X20" i="1" s="1"/>
  <c r="R20" i="1"/>
  <c r="R42" i="1"/>
  <c r="Q3" i="1"/>
  <c r="R19" i="1"/>
  <c r="S19" i="1"/>
  <c r="X19" i="1" s="1"/>
  <c r="Q2" i="1"/>
  <c r="S34" i="1"/>
  <c r="X34" i="1" s="1"/>
  <c r="R34" i="1"/>
  <c r="R18" i="1"/>
  <c r="S18" i="1"/>
  <c r="X18" i="1" s="1"/>
  <c r="S25" i="1"/>
  <c r="X25" i="1" s="1"/>
  <c r="R25" i="1"/>
  <c r="S21" i="1"/>
  <c r="X21" i="1" s="1"/>
  <c r="R21" i="1"/>
  <c r="J3" i="1"/>
  <c r="I3" i="1"/>
  <c r="AB25" i="1" l="1"/>
  <c r="AC25" i="1"/>
  <c r="AH25" i="1" s="1"/>
  <c r="AB18" i="1"/>
  <c r="AC18" i="1"/>
  <c r="AH18" i="1" s="1"/>
  <c r="AB21" i="1"/>
  <c r="AC21" i="1"/>
  <c r="AH21" i="1" s="1"/>
  <c r="AB19" i="1"/>
  <c r="AC19" i="1"/>
  <c r="AH19" i="1" s="1"/>
  <c r="AB20" i="1"/>
  <c r="AC20" i="1"/>
  <c r="AH20" i="1" s="1"/>
  <c r="AB34" i="1"/>
  <c r="AC34" i="1"/>
  <c r="AH34" i="1" s="1"/>
  <c r="AB23" i="1"/>
  <c r="AC23" i="1"/>
  <c r="AH23" i="1" s="1"/>
  <c r="Y2" i="1"/>
  <c r="AB42" i="1"/>
  <c r="AA3" i="1"/>
  <c r="Y3" i="1"/>
  <c r="N17" i="1"/>
  <c r="J2" i="1"/>
  <c r="O3" i="1"/>
  <c r="L3" i="1"/>
  <c r="K3" i="1"/>
  <c r="K2" i="1"/>
  <c r="AJ34" i="1" l="1"/>
  <c r="AK34" i="1"/>
  <c r="AP34" i="1" s="1"/>
  <c r="AJ19" i="1"/>
  <c r="AK19" i="1"/>
  <c r="AP19" i="1" s="1"/>
  <c r="AJ18" i="1"/>
  <c r="AK18" i="1"/>
  <c r="AP18" i="1" s="1"/>
  <c r="AJ23" i="1"/>
  <c r="AK23" i="1"/>
  <c r="AP23" i="1" s="1"/>
  <c r="AJ20" i="1"/>
  <c r="AK20" i="1"/>
  <c r="AP20" i="1" s="1"/>
  <c r="AJ21" i="1"/>
  <c r="AK21" i="1"/>
  <c r="AP21" i="1" s="1"/>
  <c r="AJ25" i="1"/>
  <c r="AK25" i="1"/>
  <c r="AP25" i="1" s="1"/>
  <c r="AA2" i="1"/>
  <c r="R17" i="1"/>
  <c r="S17" i="1"/>
  <c r="X17" i="1" s="1"/>
  <c r="L2" i="1"/>
  <c r="N54" i="1"/>
  <c r="N53" i="1"/>
  <c r="N41" i="1"/>
  <c r="N12" i="1"/>
  <c r="N8" i="1"/>
  <c r="N47" i="1"/>
  <c r="N37" i="1"/>
  <c r="O2" i="1"/>
  <c r="AS25" i="1" l="1"/>
  <c r="AT25" i="1"/>
  <c r="AY25" i="1" s="1"/>
  <c r="AS20" i="1"/>
  <c r="AT20" i="1"/>
  <c r="AY20" i="1" s="1"/>
  <c r="AS18" i="1"/>
  <c r="AT18" i="1"/>
  <c r="AY18" i="1" s="1"/>
  <c r="AS34" i="1"/>
  <c r="AT34" i="1"/>
  <c r="AY34" i="1" s="1"/>
  <c r="AS21" i="1"/>
  <c r="AT21" i="1"/>
  <c r="AY21" i="1" s="1"/>
  <c r="AS23" i="1"/>
  <c r="AT23" i="1"/>
  <c r="AY23" i="1" s="1"/>
  <c r="AS19" i="1"/>
  <c r="AT19" i="1"/>
  <c r="AY19" i="1" s="1"/>
  <c r="AB17" i="1"/>
  <c r="AC17" i="1"/>
  <c r="AH17" i="1" s="1"/>
  <c r="S54" i="1"/>
  <c r="X54" i="1" s="1"/>
  <c r="R54" i="1"/>
  <c r="R12" i="1"/>
  <c r="S12" i="1"/>
  <c r="X12" i="1" s="1"/>
  <c r="R37" i="1"/>
  <c r="S37" i="1"/>
  <c r="X37" i="1" s="1"/>
  <c r="R8" i="1"/>
  <c r="S8" i="1"/>
  <c r="X8" i="1" s="1"/>
  <c r="S41" i="1"/>
  <c r="X41" i="1" s="1"/>
  <c r="R41" i="1"/>
  <c r="R47" i="1"/>
  <c r="S47" i="1"/>
  <c r="X47" i="1" s="1"/>
  <c r="R53" i="1"/>
  <c r="S53" i="1"/>
  <c r="X53" i="1" s="1"/>
  <c r="N14" i="1"/>
  <c r="N56" i="1"/>
  <c r="N26" i="1"/>
  <c r="N48" i="1"/>
  <c r="N27" i="1"/>
  <c r="N13" i="1"/>
  <c r="N44" i="1"/>
  <c r="N51" i="1"/>
  <c r="N32" i="1"/>
  <c r="N55" i="1"/>
  <c r="BA34" i="1" l="1"/>
  <c r="BB34" i="1"/>
  <c r="BG34" i="1" s="1"/>
  <c r="BA20" i="1"/>
  <c r="BB20" i="1"/>
  <c r="BG20" i="1" s="1"/>
  <c r="BA19" i="1"/>
  <c r="BB19" i="1"/>
  <c r="BG19" i="1" s="1"/>
  <c r="BA21" i="1"/>
  <c r="BB21" i="1"/>
  <c r="BG21" i="1" s="1"/>
  <c r="BA25" i="1"/>
  <c r="BB25" i="1"/>
  <c r="BG25" i="1" s="1"/>
  <c r="BA23" i="1"/>
  <c r="BB23" i="1"/>
  <c r="BG23" i="1" s="1"/>
  <c r="BA18" i="1"/>
  <c r="BB18" i="1"/>
  <c r="BG18" i="1" s="1"/>
  <c r="AJ17" i="1"/>
  <c r="AK17" i="1"/>
  <c r="AP17" i="1" s="1"/>
  <c r="AB53" i="1"/>
  <c r="AC53" i="1"/>
  <c r="AH53" i="1" s="1"/>
  <c r="AB37" i="1"/>
  <c r="AC37" i="1"/>
  <c r="AH37" i="1" s="1"/>
  <c r="AB41" i="1"/>
  <c r="AC41" i="1"/>
  <c r="AH41" i="1" s="1"/>
  <c r="AB54" i="1"/>
  <c r="AC54" i="1"/>
  <c r="AH54" i="1" s="1"/>
  <c r="AB47" i="1"/>
  <c r="AC47" i="1"/>
  <c r="AH47" i="1" s="1"/>
  <c r="AB8" i="1"/>
  <c r="AC8" i="1"/>
  <c r="AH8" i="1" s="1"/>
  <c r="AB12" i="1"/>
  <c r="AC12" i="1"/>
  <c r="AH12" i="1" s="1"/>
  <c r="S13" i="1"/>
  <c r="X13" i="1" s="1"/>
  <c r="R13" i="1"/>
  <c r="R56" i="1"/>
  <c r="S56" i="1"/>
  <c r="X56" i="1" s="1"/>
  <c r="R32" i="1"/>
  <c r="S32" i="1"/>
  <c r="X32" i="1" s="1"/>
  <c r="R27" i="1"/>
  <c r="S27" i="1"/>
  <c r="X27" i="1" s="1"/>
  <c r="R51" i="1"/>
  <c r="S51" i="1"/>
  <c r="X51" i="1" s="1"/>
  <c r="R48" i="1"/>
  <c r="S48" i="1"/>
  <c r="X48" i="1" s="1"/>
  <c r="R55" i="1"/>
  <c r="S55" i="1"/>
  <c r="X55" i="1" s="1"/>
  <c r="R14" i="1"/>
  <c r="S14" i="1"/>
  <c r="X14" i="1" s="1"/>
  <c r="S44" i="1"/>
  <c r="R44" i="1"/>
  <c r="R26" i="1"/>
  <c r="S26" i="1"/>
  <c r="X26" i="1" s="1"/>
  <c r="N65" i="1"/>
  <c r="N39" i="1"/>
  <c r="N60" i="1"/>
  <c r="N50" i="1"/>
  <c r="N59" i="1"/>
  <c r="N22" i="1"/>
  <c r="N40" i="1"/>
  <c r="N45" i="1"/>
  <c r="N6" i="1"/>
  <c r="N58" i="1"/>
  <c r="N16" i="1"/>
  <c r="N57" i="1"/>
  <c r="N64" i="1"/>
  <c r="N10" i="1"/>
  <c r="N15" i="1"/>
  <c r="N24" i="1"/>
  <c r="N9" i="1"/>
  <c r="N49" i="1"/>
  <c r="BI23" i="1" l="1"/>
  <c r="BJ23" i="1"/>
  <c r="BO23" i="1" s="1"/>
  <c r="BS23" i="1" s="1"/>
  <c r="BI21" i="1"/>
  <c r="BJ21" i="1"/>
  <c r="BO21" i="1" s="1"/>
  <c r="BS21" i="1" s="1"/>
  <c r="BI18" i="1"/>
  <c r="BJ18" i="1"/>
  <c r="BO18" i="1" s="1"/>
  <c r="BS18" i="1" s="1"/>
  <c r="BI25" i="1"/>
  <c r="BJ25" i="1"/>
  <c r="BO25" i="1" s="1"/>
  <c r="BS25" i="1" s="1"/>
  <c r="BI19" i="1"/>
  <c r="BJ19" i="1"/>
  <c r="BO19" i="1" s="1"/>
  <c r="BS19" i="1" s="1"/>
  <c r="BI34" i="1"/>
  <c r="BJ34" i="1"/>
  <c r="BO34" i="1" s="1"/>
  <c r="BS34" i="1" s="1"/>
  <c r="BI20" i="1"/>
  <c r="BJ20" i="1"/>
  <c r="BO20" i="1" s="1"/>
  <c r="BS20" i="1" s="1"/>
  <c r="AS17" i="1"/>
  <c r="AT17" i="1"/>
  <c r="AY17" i="1" s="1"/>
  <c r="AJ41" i="1"/>
  <c r="AK41" i="1"/>
  <c r="AP41" i="1" s="1"/>
  <c r="AJ53" i="1"/>
  <c r="AK53" i="1"/>
  <c r="AP53" i="1" s="1"/>
  <c r="AJ12" i="1"/>
  <c r="AK12" i="1"/>
  <c r="AP12" i="1" s="1"/>
  <c r="AJ8" i="1"/>
  <c r="AK8" i="1"/>
  <c r="AP8" i="1" s="1"/>
  <c r="AJ54" i="1"/>
  <c r="AK54" i="1"/>
  <c r="AP54" i="1" s="1"/>
  <c r="AJ37" i="1"/>
  <c r="AK37" i="1"/>
  <c r="AP37" i="1" s="1"/>
  <c r="AJ47" i="1"/>
  <c r="AK47" i="1"/>
  <c r="AP47" i="1" s="1"/>
  <c r="AB51" i="1"/>
  <c r="AC51" i="1"/>
  <c r="AH51" i="1" s="1"/>
  <c r="AB13" i="1"/>
  <c r="AC13" i="1"/>
  <c r="AH13" i="1" s="1"/>
  <c r="AB14" i="1"/>
  <c r="AC14" i="1"/>
  <c r="AH14" i="1" s="1"/>
  <c r="AB48" i="1"/>
  <c r="AC48" i="1"/>
  <c r="AH48" i="1" s="1"/>
  <c r="AB27" i="1"/>
  <c r="AC27" i="1"/>
  <c r="AH27" i="1" s="1"/>
  <c r="AB56" i="1"/>
  <c r="AC56" i="1"/>
  <c r="AH56" i="1" s="1"/>
  <c r="AB55" i="1"/>
  <c r="AC55" i="1"/>
  <c r="AH55" i="1" s="1"/>
  <c r="AB32" i="1"/>
  <c r="AC32" i="1"/>
  <c r="AH32" i="1" s="1"/>
  <c r="AB26" i="1"/>
  <c r="AC26" i="1"/>
  <c r="AH26" i="1" s="1"/>
  <c r="S57" i="1"/>
  <c r="X57" i="1" s="1"/>
  <c r="R57" i="1"/>
  <c r="R16" i="1"/>
  <c r="S16" i="1"/>
  <c r="X16" i="1" s="1"/>
  <c r="R60" i="1"/>
  <c r="S60" i="1"/>
  <c r="X60" i="1" s="1"/>
  <c r="R24" i="1"/>
  <c r="S24" i="1"/>
  <c r="X24" i="1" s="1"/>
  <c r="S45" i="1"/>
  <c r="X45" i="1" s="1"/>
  <c r="R45" i="1"/>
  <c r="S50" i="1"/>
  <c r="X50" i="1" s="1"/>
  <c r="R50" i="1"/>
  <c r="R15" i="1"/>
  <c r="S15" i="1"/>
  <c r="X15" i="1" s="1"/>
  <c r="S40" i="1"/>
  <c r="X40" i="1" s="1"/>
  <c r="R40" i="1"/>
  <c r="S49" i="1"/>
  <c r="X49" i="1" s="1"/>
  <c r="R49" i="1"/>
  <c r="R10" i="1"/>
  <c r="S10" i="1"/>
  <c r="X10" i="1" s="1"/>
  <c r="R58" i="1"/>
  <c r="S58" i="1"/>
  <c r="X58" i="1" s="1"/>
  <c r="S22" i="1"/>
  <c r="X22" i="1" s="1"/>
  <c r="R22" i="1"/>
  <c r="R39" i="1"/>
  <c r="S39" i="1"/>
  <c r="X39" i="1" s="1"/>
  <c r="R9" i="1"/>
  <c r="S9" i="1"/>
  <c r="X9" i="1" s="1"/>
  <c r="R64" i="1"/>
  <c r="S64" i="1"/>
  <c r="X64" i="1" s="1"/>
  <c r="S6" i="1"/>
  <c r="X6" i="1" s="1"/>
  <c r="R6" i="1"/>
  <c r="R59" i="1"/>
  <c r="S59" i="1"/>
  <c r="X59" i="1" s="1"/>
  <c r="S65" i="1"/>
  <c r="X65" i="1" s="1"/>
  <c r="R65" i="1"/>
  <c r="X44" i="1"/>
  <c r="N11" i="1"/>
  <c r="N30" i="1"/>
  <c r="N7" i="1"/>
  <c r="N46" i="1"/>
  <c r="N5" i="1"/>
  <c r="N29" i="1"/>
  <c r="N31" i="1"/>
  <c r="N63" i="1"/>
  <c r="N62" i="1"/>
  <c r="N43" i="1"/>
  <c r="N28" i="1"/>
  <c r="N33" i="1"/>
  <c r="N61" i="1"/>
  <c r="N52" i="1"/>
  <c r="N36" i="1"/>
  <c r="BA17" i="1" l="1"/>
  <c r="BB17" i="1"/>
  <c r="BG17" i="1" s="1"/>
  <c r="AS54" i="1"/>
  <c r="AT54" i="1"/>
  <c r="AY54" i="1" s="1"/>
  <c r="AS41" i="1"/>
  <c r="AT41" i="1"/>
  <c r="AY41" i="1" s="1"/>
  <c r="AS37" i="1"/>
  <c r="AT37" i="1"/>
  <c r="AY37" i="1" s="1"/>
  <c r="AS8" i="1"/>
  <c r="AT8" i="1"/>
  <c r="AY8" i="1" s="1"/>
  <c r="AS53" i="1"/>
  <c r="AT53" i="1"/>
  <c r="AY53" i="1" s="1"/>
  <c r="AS47" i="1"/>
  <c r="AT47" i="1"/>
  <c r="AY47" i="1" s="1"/>
  <c r="AS12" i="1"/>
  <c r="AT12" i="1"/>
  <c r="AY12" i="1" s="1"/>
  <c r="AJ55" i="1"/>
  <c r="AK55" i="1"/>
  <c r="AP55" i="1" s="1"/>
  <c r="AJ14" i="1"/>
  <c r="AK14" i="1"/>
  <c r="AP14" i="1" s="1"/>
  <c r="AJ26" i="1"/>
  <c r="AK26" i="1"/>
  <c r="AP26" i="1" s="1"/>
  <c r="AJ27" i="1"/>
  <c r="AK27" i="1"/>
  <c r="AP27" i="1" s="1"/>
  <c r="AJ51" i="1"/>
  <c r="AK51" i="1"/>
  <c r="AP51" i="1" s="1"/>
  <c r="AJ32" i="1"/>
  <c r="AK32" i="1"/>
  <c r="AP32" i="1" s="1"/>
  <c r="AJ56" i="1"/>
  <c r="AK56" i="1"/>
  <c r="AP56" i="1" s="1"/>
  <c r="AJ48" i="1"/>
  <c r="AK48" i="1"/>
  <c r="AP48" i="1" s="1"/>
  <c r="AJ13" i="1"/>
  <c r="AK13" i="1"/>
  <c r="AP13" i="1" s="1"/>
  <c r="AB59" i="1"/>
  <c r="AC59" i="1"/>
  <c r="AH59" i="1" s="1"/>
  <c r="AB58" i="1"/>
  <c r="AC58" i="1"/>
  <c r="AH58" i="1" s="1"/>
  <c r="AB15" i="1"/>
  <c r="AC15" i="1"/>
  <c r="AH15" i="1" s="1"/>
  <c r="AB44" i="1"/>
  <c r="AC44" i="1"/>
  <c r="AH44" i="1" s="1"/>
  <c r="AB49" i="1"/>
  <c r="AC49" i="1"/>
  <c r="AH49" i="1" s="1"/>
  <c r="AB45" i="1"/>
  <c r="AC45" i="1"/>
  <c r="AH45" i="1" s="1"/>
  <c r="AB57" i="1"/>
  <c r="AC57" i="1"/>
  <c r="AH57" i="1" s="1"/>
  <c r="AB39" i="1"/>
  <c r="AC39" i="1"/>
  <c r="AH39" i="1" s="1"/>
  <c r="AB9" i="1"/>
  <c r="AC9" i="1"/>
  <c r="AH9" i="1" s="1"/>
  <c r="AB10" i="1"/>
  <c r="AC10" i="1"/>
  <c r="AH10" i="1" s="1"/>
  <c r="AB24" i="1"/>
  <c r="AC24" i="1"/>
  <c r="AH24" i="1" s="1"/>
  <c r="AB16" i="1"/>
  <c r="AC16" i="1"/>
  <c r="AH16" i="1" s="1"/>
  <c r="AB64" i="1"/>
  <c r="AC64" i="1"/>
  <c r="AH64" i="1" s="1"/>
  <c r="AB60" i="1"/>
  <c r="AC60" i="1"/>
  <c r="AH60" i="1" s="1"/>
  <c r="AB65" i="1"/>
  <c r="AC65" i="1"/>
  <c r="AH65" i="1" s="1"/>
  <c r="AB6" i="1"/>
  <c r="AC6" i="1"/>
  <c r="AH6" i="1" s="1"/>
  <c r="AB22" i="1"/>
  <c r="AC22" i="1"/>
  <c r="AH22" i="1" s="1"/>
  <c r="AB40" i="1"/>
  <c r="AC40" i="1"/>
  <c r="AH40" i="1" s="1"/>
  <c r="AB50" i="1"/>
  <c r="AC50" i="1"/>
  <c r="AH50" i="1" s="1"/>
  <c r="R62" i="1"/>
  <c r="S62" i="1"/>
  <c r="X62" i="1" s="1"/>
  <c r="R5" i="1"/>
  <c r="S5" i="1"/>
  <c r="X5" i="1" s="1"/>
  <c r="R63" i="1"/>
  <c r="S63" i="1"/>
  <c r="X63" i="1" s="1"/>
  <c r="R36" i="1"/>
  <c r="S36" i="1"/>
  <c r="X36" i="1" s="1"/>
  <c r="R28" i="1"/>
  <c r="S28" i="1"/>
  <c r="X28" i="1" s="1"/>
  <c r="R31" i="1"/>
  <c r="S31" i="1"/>
  <c r="X31" i="1" s="1"/>
  <c r="S7" i="1"/>
  <c r="X7" i="1" s="1"/>
  <c r="R7" i="1"/>
  <c r="R61" i="1"/>
  <c r="S61" i="1"/>
  <c r="X61" i="1" s="1"/>
  <c r="S11" i="1"/>
  <c r="X11" i="1" s="1"/>
  <c r="R11" i="1"/>
  <c r="S33" i="1"/>
  <c r="X33" i="1" s="1"/>
  <c r="R33" i="1"/>
  <c r="S46" i="1"/>
  <c r="X46" i="1" s="1"/>
  <c r="R46" i="1"/>
  <c r="R52" i="1"/>
  <c r="S52" i="1"/>
  <c r="S43" i="1"/>
  <c r="X43" i="1" s="1"/>
  <c r="R43" i="1"/>
  <c r="S29" i="1"/>
  <c r="X29" i="1" s="1"/>
  <c r="R29" i="1"/>
  <c r="R30" i="1"/>
  <c r="S30" i="1"/>
  <c r="X30" i="1" s="1"/>
  <c r="N38" i="1"/>
  <c r="BI17" i="1" l="1"/>
  <c r="BJ17" i="1"/>
  <c r="BO17" i="1" s="1"/>
  <c r="BS17" i="1" s="1"/>
  <c r="BA12" i="1"/>
  <c r="BB12" i="1"/>
  <c r="BG12" i="1" s="1"/>
  <c r="BA53" i="1"/>
  <c r="BB53" i="1"/>
  <c r="BG53" i="1" s="1"/>
  <c r="BA54" i="1"/>
  <c r="BB54" i="1"/>
  <c r="BG54" i="1" s="1"/>
  <c r="BA47" i="1"/>
  <c r="BB47" i="1"/>
  <c r="BG47" i="1" s="1"/>
  <c r="BA8" i="1"/>
  <c r="BB8" i="1"/>
  <c r="BG8" i="1" s="1"/>
  <c r="BA41" i="1"/>
  <c r="BB41" i="1"/>
  <c r="BG41" i="1" s="1"/>
  <c r="BA37" i="1"/>
  <c r="BB37" i="1"/>
  <c r="BG37" i="1" s="1"/>
  <c r="AS56" i="1"/>
  <c r="AT56" i="1"/>
  <c r="AY56" i="1" s="1"/>
  <c r="AS26" i="1"/>
  <c r="AT26" i="1"/>
  <c r="AY26" i="1" s="1"/>
  <c r="AS48" i="1"/>
  <c r="AT48" i="1"/>
  <c r="AY48" i="1" s="1"/>
  <c r="AS32" i="1"/>
  <c r="AT32" i="1"/>
  <c r="AY32" i="1" s="1"/>
  <c r="AS27" i="1"/>
  <c r="AT27" i="1"/>
  <c r="AY27" i="1" s="1"/>
  <c r="AS14" i="1"/>
  <c r="AT14" i="1"/>
  <c r="AY14" i="1" s="1"/>
  <c r="AS13" i="1"/>
  <c r="AT13" i="1"/>
  <c r="AY13" i="1" s="1"/>
  <c r="AS51" i="1"/>
  <c r="AT51" i="1"/>
  <c r="AY51" i="1" s="1"/>
  <c r="AS55" i="1"/>
  <c r="AT55" i="1"/>
  <c r="AY55" i="1" s="1"/>
  <c r="AJ65" i="1"/>
  <c r="AK65" i="1"/>
  <c r="AP65" i="1" s="1"/>
  <c r="AJ9" i="1"/>
  <c r="AK9" i="1"/>
  <c r="AP9" i="1" s="1"/>
  <c r="AJ15" i="1"/>
  <c r="AK15" i="1"/>
  <c r="AP15" i="1" s="1"/>
  <c r="AJ50" i="1"/>
  <c r="AK50" i="1"/>
  <c r="AP50" i="1" s="1"/>
  <c r="AJ64" i="1"/>
  <c r="AK64" i="1"/>
  <c r="AP64" i="1" s="1"/>
  <c r="AJ49" i="1"/>
  <c r="AK49" i="1"/>
  <c r="AP49" i="1" s="1"/>
  <c r="AJ40" i="1"/>
  <c r="AK40" i="1"/>
  <c r="AP40" i="1" s="1"/>
  <c r="AJ60" i="1"/>
  <c r="AK60" i="1"/>
  <c r="AP60" i="1" s="1"/>
  <c r="AJ16" i="1"/>
  <c r="AK16" i="1"/>
  <c r="AP16" i="1" s="1"/>
  <c r="AJ10" i="1"/>
  <c r="AK10" i="1"/>
  <c r="AP10" i="1" s="1"/>
  <c r="AJ39" i="1"/>
  <c r="AK39" i="1"/>
  <c r="AP39" i="1" s="1"/>
  <c r="AJ45" i="1"/>
  <c r="AK45" i="1"/>
  <c r="AP45" i="1" s="1"/>
  <c r="AJ44" i="1"/>
  <c r="AK44" i="1"/>
  <c r="AP44" i="1" s="1"/>
  <c r="AJ58" i="1"/>
  <c r="AK58" i="1"/>
  <c r="AP58" i="1" s="1"/>
  <c r="AJ22" i="1"/>
  <c r="AK22" i="1"/>
  <c r="AP22" i="1" s="1"/>
  <c r="AJ24" i="1"/>
  <c r="AK24" i="1"/>
  <c r="AP24" i="1" s="1"/>
  <c r="AJ57" i="1"/>
  <c r="AK57" i="1"/>
  <c r="AP57" i="1" s="1"/>
  <c r="AJ59" i="1"/>
  <c r="AK59" i="1"/>
  <c r="AP59" i="1" s="1"/>
  <c r="AJ6" i="1"/>
  <c r="AK6" i="1"/>
  <c r="AP6" i="1" s="1"/>
  <c r="AB28" i="1"/>
  <c r="AC28" i="1"/>
  <c r="AH28" i="1" s="1"/>
  <c r="AB62" i="1"/>
  <c r="AC62" i="1"/>
  <c r="AH62" i="1" s="1"/>
  <c r="AB43" i="1"/>
  <c r="AC43" i="1"/>
  <c r="AH43" i="1" s="1"/>
  <c r="AB46" i="1"/>
  <c r="AC46" i="1"/>
  <c r="AH46" i="1" s="1"/>
  <c r="AB11" i="1"/>
  <c r="AC11" i="1"/>
  <c r="AH11" i="1" s="1"/>
  <c r="AB7" i="1"/>
  <c r="AC7" i="1"/>
  <c r="AH7" i="1" s="1"/>
  <c r="AB31" i="1"/>
  <c r="AC31" i="1"/>
  <c r="AH31" i="1" s="1"/>
  <c r="AB30" i="1"/>
  <c r="AC30" i="1"/>
  <c r="AH30" i="1" s="1"/>
  <c r="AB63" i="1"/>
  <c r="AC63" i="1"/>
  <c r="AH63" i="1" s="1"/>
  <c r="AB61" i="1"/>
  <c r="AC61" i="1"/>
  <c r="AH61" i="1" s="1"/>
  <c r="AB36" i="1"/>
  <c r="AC36" i="1"/>
  <c r="AH36" i="1" s="1"/>
  <c r="AB5" i="1"/>
  <c r="AC5" i="1"/>
  <c r="AH5" i="1" s="1"/>
  <c r="AB29" i="1"/>
  <c r="AC29" i="1"/>
  <c r="AH29" i="1" s="1"/>
  <c r="AB33" i="1"/>
  <c r="AC33" i="1"/>
  <c r="AH33" i="1" s="1"/>
  <c r="X52" i="1"/>
  <c r="R38" i="1"/>
  <c r="S38" i="1"/>
  <c r="N35" i="1"/>
  <c r="I2" i="1"/>
  <c r="BI37" i="1" l="1"/>
  <c r="BJ37" i="1"/>
  <c r="BO37" i="1" s="1"/>
  <c r="BS37" i="1" s="1"/>
  <c r="BI8" i="1"/>
  <c r="BJ8" i="1"/>
  <c r="BO8" i="1" s="1"/>
  <c r="BS8" i="1" s="1"/>
  <c r="BI12" i="1"/>
  <c r="BJ12" i="1"/>
  <c r="BO12" i="1" s="1"/>
  <c r="BS12" i="1" s="1"/>
  <c r="BI41" i="1"/>
  <c r="BJ41" i="1"/>
  <c r="BO41" i="1" s="1"/>
  <c r="BS41" i="1" s="1"/>
  <c r="BI47" i="1"/>
  <c r="BJ47" i="1"/>
  <c r="BO47" i="1" s="1"/>
  <c r="BS47" i="1" s="1"/>
  <c r="BI53" i="1"/>
  <c r="BJ53" i="1"/>
  <c r="BO53" i="1" s="1"/>
  <c r="BS53" i="1" s="1"/>
  <c r="BI54" i="1"/>
  <c r="BJ54" i="1"/>
  <c r="BO54" i="1" s="1"/>
  <c r="BS54" i="1" s="1"/>
  <c r="BA55" i="1"/>
  <c r="BB55" i="1"/>
  <c r="BG55" i="1" s="1"/>
  <c r="BA27" i="1"/>
  <c r="BB27" i="1"/>
  <c r="BG27" i="1" s="1"/>
  <c r="BA48" i="1"/>
  <c r="BB48" i="1"/>
  <c r="BG48" i="1" s="1"/>
  <c r="BA56" i="1"/>
  <c r="BB56" i="1"/>
  <c r="BG56" i="1" s="1"/>
  <c r="BA51" i="1"/>
  <c r="BB51" i="1"/>
  <c r="BG51" i="1" s="1"/>
  <c r="BA14" i="1"/>
  <c r="BB14" i="1"/>
  <c r="BG14" i="1" s="1"/>
  <c r="BA32" i="1"/>
  <c r="BB32" i="1"/>
  <c r="BG32" i="1" s="1"/>
  <c r="BA26" i="1"/>
  <c r="BB26" i="1"/>
  <c r="BG26" i="1" s="1"/>
  <c r="BA13" i="1"/>
  <c r="BB13" i="1"/>
  <c r="BG13" i="1" s="1"/>
  <c r="AS6" i="1"/>
  <c r="AT6" i="1"/>
  <c r="AY6" i="1" s="1"/>
  <c r="AS57" i="1"/>
  <c r="AT57" i="1"/>
  <c r="AY57" i="1" s="1"/>
  <c r="AS22" i="1"/>
  <c r="AT22" i="1"/>
  <c r="AY22" i="1" s="1"/>
  <c r="AS44" i="1"/>
  <c r="AT44" i="1"/>
  <c r="AY44" i="1" s="1"/>
  <c r="AS39" i="1"/>
  <c r="AT39" i="1"/>
  <c r="AY39" i="1" s="1"/>
  <c r="AS16" i="1"/>
  <c r="AT16" i="1"/>
  <c r="AY16" i="1" s="1"/>
  <c r="AS40" i="1"/>
  <c r="AT40" i="1"/>
  <c r="AY40" i="1" s="1"/>
  <c r="AS64" i="1"/>
  <c r="AT64" i="1"/>
  <c r="AY64" i="1" s="1"/>
  <c r="AS15" i="1"/>
  <c r="AT15" i="1"/>
  <c r="AY15" i="1" s="1"/>
  <c r="AS65" i="1"/>
  <c r="AT65" i="1"/>
  <c r="AY65" i="1" s="1"/>
  <c r="AS59" i="1"/>
  <c r="AT59" i="1"/>
  <c r="AY59" i="1" s="1"/>
  <c r="AS24" i="1"/>
  <c r="AT24" i="1"/>
  <c r="AY24" i="1" s="1"/>
  <c r="AS58" i="1"/>
  <c r="AT58" i="1"/>
  <c r="AY58" i="1" s="1"/>
  <c r="AS45" i="1"/>
  <c r="AT45" i="1"/>
  <c r="AY45" i="1" s="1"/>
  <c r="AS10" i="1"/>
  <c r="AT10" i="1"/>
  <c r="AY10" i="1" s="1"/>
  <c r="AS60" i="1"/>
  <c r="AT60" i="1"/>
  <c r="AY60" i="1" s="1"/>
  <c r="AS49" i="1"/>
  <c r="AT49" i="1"/>
  <c r="AY49" i="1" s="1"/>
  <c r="AS50" i="1"/>
  <c r="AT50" i="1"/>
  <c r="AY50" i="1" s="1"/>
  <c r="AS9" i="1"/>
  <c r="AT9" i="1"/>
  <c r="AY9" i="1" s="1"/>
  <c r="AJ29" i="1"/>
  <c r="AK29" i="1"/>
  <c r="AP29" i="1" s="1"/>
  <c r="AJ36" i="1"/>
  <c r="AK36" i="1"/>
  <c r="AP36" i="1" s="1"/>
  <c r="AJ63" i="1"/>
  <c r="AK63" i="1"/>
  <c r="AP63" i="1" s="1"/>
  <c r="AJ31" i="1"/>
  <c r="AK31" i="1"/>
  <c r="AP31" i="1" s="1"/>
  <c r="AJ11" i="1"/>
  <c r="AK11" i="1"/>
  <c r="AP11" i="1" s="1"/>
  <c r="AJ43" i="1"/>
  <c r="AK43" i="1"/>
  <c r="AP43" i="1" s="1"/>
  <c r="AJ28" i="1"/>
  <c r="AK28" i="1"/>
  <c r="AP28" i="1" s="1"/>
  <c r="AJ5" i="1"/>
  <c r="AK5" i="1"/>
  <c r="AJ7" i="1"/>
  <c r="AK7" i="1"/>
  <c r="AP7" i="1" s="1"/>
  <c r="AJ33" i="1"/>
  <c r="AK33" i="1"/>
  <c r="AP33" i="1" s="1"/>
  <c r="AJ61" i="1"/>
  <c r="AK61" i="1"/>
  <c r="AP61" i="1" s="1"/>
  <c r="AJ30" i="1"/>
  <c r="AK30" i="1"/>
  <c r="AP30" i="1" s="1"/>
  <c r="AJ46" i="1"/>
  <c r="AK46" i="1"/>
  <c r="AP46" i="1" s="1"/>
  <c r="AJ62" i="1"/>
  <c r="AK62" i="1"/>
  <c r="AP62" i="1" s="1"/>
  <c r="AB52" i="1"/>
  <c r="AC52" i="1"/>
  <c r="AH52" i="1" s="1"/>
  <c r="R35" i="1"/>
  <c r="R3" i="1" s="1"/>
  <c r="S35" i="1"/>
  <c r="X35" i="1" s="1"/>
  <c r="X38" i="1"/>
  <c r="N3" i="1"/>
  <c r="N2" i="1"/>
  <c r="BI13" i="1" l="1"/>
  <c r="BJ13" i="1"/>
  <c r="BO13" i="1" s="1"/>
  <c r="BS13" i="1" s="1"/>
  <c r="BI32" i="1"/>
  <c r="BJ32" i="1"/>
  <c r="BO32" i="1" s="1"/>
  <c r="BS32" i="1" s="1"/>
  <c r="BI51" i="1"/>
  <c r="BJ51" i="1"/>
  <c r="BO51" i="1" s="1"/>
  <c r="BS51" i="1" s="1"/>
  <c r="BI48" i="1"/>
  <c r="BJ48" i="1"/>
  <c r="BO48" i="1" s="1"/>
  <c r="BS48" i="1" s="1"/>
  <c r="BI55" i="1"/>
  <c r="BJ55" i="1"/>
  <c r="BO55" i="1" s="1"/>
  <c r="BS55" i="1" s="1"/>
  <c r="BI26" i="1"/>
  <c r="BJ26" i="1"/>
  <c r="BO26" i="1" s="1"/>
  <c r="BS26" i="1" s="1"/>
  <c r="BI14" i="1"/>
  <c r="BJ14" i="1"/>
  <c r="BO14" i="1" s="1"/>
  <c r="BS14" i="1" s="1"/>
  <c r="BI56" i="1"/>
  <c r="BJ56" i="1"/>
  <c r="BO56" i="1" s="1"/>
  <c r="BS56" i="1" s="1"/>
  <c r="BI27" i="1"/>
  <c r="BJ27" i="1"/>
  <c r="BA49" i="1"/>
  <c r="BB49" i="1"/>
  <c r="BG49" i="1" s="1"/>
  <c r="BA59" i="1"/>
  <c r="BB59" i="1"/>
  <c r="BG59" i="1" s="1"/>
  <c r="BA40" i="1"/>
  <c r="BB40" i="1"/>
  <c r="BG40" i="1" s="1"/>
  <c r="BA39" i="1"/>
  <c r="BB39" i="1"/>
  <c r="BG39" i="1" s="1"/>
  <c r="BA22" i="1"/>
  <c r="BB22" i="1"/>
  <c r="BG22" i="1" s="1"/>
  <c r="BA6" i="1"/>
  <c r="BB6" i="1"/>
  <c r="BG6" i="1" s="1"/>
  <c r="BA10" i="1"/>
  <c r="BB10" i="1"/>
  <c r="BG10" i="1" s="1"/>
  <c r="BA50" i="1"/>
  <c r="BB50" i="1"/>
  <c r="BG50" i="1" s="1"/>
  <c r="BA24" i="1"/>
  <c r="BB24" i="1"/>
  <c r="BG24" i="1" s="1"/>
  <c r="BA64" i="1"/>
  <c r="BB64" i="1"/>
  <c r="BG64" i="1" s="1"/>
  <c r="BA44" i="1"/>
  <c r="BB44" i="1"/>
  <c r="BG44" i="1" s="1"/>
  <c r="BA57" i="1"/>
  <c r="BB57" i="1"/>
  <c r="BG57" i="1" s="1"/>
  <c r="BA9" i="1"/>
  <c r="BB9" i="1"/>
  <c r="BG9" i="1" s="1"/>
  <c r="BA58" i="1"/>
  <c r="BB58" i="1"/>
  <c r="BG58" i="1" s="1"/>
  <c r="BA15" i="1"/>
  <c r="BB15" i="1"/>
  <c r="BG15" i="1" s="1"/>
  <c r="BA60" i="1"/>
  <c r="BB60" i="1"/>
  <c r="BG60" i="1" s="1"/>
  <c r="BA45" i="1"/>
  <c r="BB45" i="1"/>
  <c r="BG45" i="1" s="1"/>
  <c r="BA65" i="1"/>
  <c r="BB65" i="1"/>
  <c r="BG65" i="1" s="1"/>
  <c r="BA16" i="1"/>
  <c r="BB16" i="1"/>
  <c r="BG16" i="1" s="1"/>
  <c r="AS46" i="1"/>
  <c r="AT46" i="1"/>
  <c r="AY46" i="1" s="1"/>
  <c r="AS7" i="1"/>
  <c r="AT7" i="1"/>
  <c r="AY7" i="1" s="1"/>
  <c r="AS11" i="1"/>
  <c r="AT11" i="1"/>
  <c r="AY11" i="1" s="1"/>
  <c r="AS29" i="1"/>
  <c r="AT29" i="1"/>
  <c r="AY29" i="1" s="1"/>
  <c r="AS61" i="1"/>
  <c r="AT61" i="1"/>
  <c r="AY61" i="1" s="1"/>
  <c r="AS28" i="1"/>
  <c r="AT28" i="1"/>
  <c r="AY28" i="1" s="1"/>
  <c r="AS63" i="1"/>
  <c r="AT63" i="1"/>
  <c r="AY63" i="1" s="1"/>
  <c r="AS62" i="1"/>
  <c r="AT62" i="1"/>
  <c r="AY62" i="1" s="1"/>
  <c r="AS30" i="1"/>
  <c r="AT30" i="1"/>
  <c r="AY30" i="1" s="1"/>
  <c r="AS33" i="1"/>
  <c r="AT33" i="1"/>
  <c r="AY33" i="1" s="1"/>
  <c r="AS43" i="1"/>
  <c r="AT43" i="1"/>
  <c r="AY43" i="1" s="1"/>
  <c r="AS31" i="1"/>
  <c r="AT31" i="1"/>
  <c r="AY31" i="1" s="1"/>
  <c r="AS36" i="1"/>
  <c r="AT36" i="1"/>
  <c r="AY36" i="1" s="1"/>
  <c r="AP5" i="1"/>
  <c r="AJ52" i="1"/>
  <c r="AK52" i="1"/>
  <c r="AP52" i="1" s="1"/>
  <c r="AB38" i="1"/>
  <c r="AC38" i="1"/>
  <c r="AH38" i="1" s="1"/>
  <c r="AB35" i="1"/>
  <c r="AC35" i="1"/>
  <c r="AH35" i="1" s="1"/>
  <c r="X3" i="1"/>
  <c r="S3" i="1"/>
  <c r="S2" i="1"/>
  <c r="X2" i="1"/>
  <c r="R2" i="1"/>
  <c r="BO27" i="1" l="1"/>
  <c r="BS27" i="1" s="1"/>
  <c r="BI16" i="1"/>
  <c r="BJ16" i="1"/>
  <c r="BO16" i="1" s="1"/>
  <c r="BS16" i="1" s="1"/>
  <c r="BI15" i="1"/>
  <c r="BJ15" i="1"/>
  <c r="BO15" i="1" s="1"/>
  <c r="BS15" i="1" s="1"/>
  <c r="BI44" i="1"/>
  <c r="BJ44" i="1"/>
  <c r="BO44" i="1" s="1"/>
  <c r="BS44" i="1" s="1"/>
  <c r="BI10" i="1"/>
  <c r="BJ10" i="1"/>
  <c r="BO10" i="1" s="1"/>
  <c r="BS10" i="1" s="1"/>
  <c r="BI40" i="1"/>
  <c r="BJ40" i="1"/>
  <c r="BO40" i="1" s="1"/>
  <c r="BS40" i="1" s="1"/>
  <c r="BI65" i="1"/>
  <c r="BJ65" i="1"/>
  <c r="BO65" i="1" s="1"/>
  <c r="BS65" i="1" s="1"/>
  <c r="BI60" i="1"/>
  <c r="BJ60" i="1"/>
  <c r="BO60" i="1" s="1"/>
  <c r="BS60" i="1" s="1"/>
  <c r="BI58" i="1"/>
  <c r="BJ58" i="1"/>
  <c r="BO58" i="1" s="1"/>
  <c r="BS58" i="1" s="1"/>
  <c r="BI57" i="1"/>
  <c r="BJ57" i="1"/>
  <c r="BO57" i="1" s="1"/>
  <c r="BS57" i="1" s="1"/>
  <c r="BI64" i="1"/>
  <c r="BJ64" i="1"/>
  <c r="BO64" i="1" s="1"/>
  <c r="BS64" i="1" s="1"/>
  <c r="BI50" i="1"/>
  <c r="BJ50" i="1"/>
  <c r="BO50" i="1" s="1"/>
  <c r="BS50" i="1" s="1"/>
  <c r="BI6" i="1"/>
  <c r="BJ6" i="1"/>
  <c r="BO6" i="1" s="1"/>
  <c r="BS6" i="1" s="1"/>
  <c r="BI39" i="1"/>
  <c r="BJ39" i="1"/>
  <c r="BO39" i="1" s="1"/>
  <c r="BS39" i="1" s="1"/>
  <c r="BI59" i="1"/>
  <c r="BJ59" i="1"/>
  <c r="BO59" i="1" s="1"/>
  <c r="BS59" i="1" s="1"/>
  <c r="BI45" i="1"/>
  <c r="BJ45" i="1"/>
  <c r="BO45" i="1" s="1"/>
  <c r="BS45" i="1" s="1"/>
  <c r="BI9" i="1"/>
  <c r="BJ9" i="1"/>
  <c r="BO9" i="1" s="1"/>
  <c r="BS9" i="1" s="1"/>
  <c r="BI24" i="1"/>
  <c r="BJ24" i="1"/>
  <c r="BO24" i="1" s="1"/>
  <c r="BS24" i="1" s="1"/>
  <c r="BI22" i="1"/>
  <c r="BJ22" i="1"/>
  <c r="BO22" i="1" s="1"/>
  <c r="BS22" i="1" s="1"/>
  <c r="BI49" i="1"/>
  <c r="BJ49" i="1"/>
  <c r="BO49" i="1" s="1"/>
  <c r="BS49" i="1" s="1"/>
  <c r="BA30" i="1"/>
  <c r="BB30" i="1"/>
  <c r="BG30" i="1" s="1"/>
  <c r="BA11" i="1"/>
  <c r="BB11" i="1"/>
  <c r="BG11" i="1" s="1"/>
  <c r="BA36" i="1"/>
  <c r="BB36" i="1"/>
  <c r="BG36" i="1" s="1"/>
  <c r="BA61" i="1"/>
  <c r="BB61" i="1"/>
  <c r="BG61" i="1" s="1"/>
  <c r="BA62" i="1"/>
  <c r="BB62" i="1"/>
  <c r="BG62" i="1" s="1"/>
  <c r="BA29" i="1"/>
  <c r="BB29" i="1"/>
  <c r="BG29" i="1" s="1"/>
  <c r="BA43" i="1"/>
  <c r="BB43" i="1"/>
  <c r="BG43" i="1" s="1"/>
  <c r="BA63" i="1"/>
  <c r="BB63" i="1"/>
  <c r="BG63" i="1" s="1"/>
  <c r="BA46" i="1"/>
  <c r="BB46" i="1"/>
  <c r="BG46" i="1" s="1"/>
  <c r="BA31" i="1"/>
  <c r="BB31" i="1"/>
  <c r="BG31" i="1" s="1"/>
  <c r="BA33" i="1"/>
  <c r="BB33" i="1"/>
  <c r="BG33" i="1" s="1"/>
  <c r="BA28" i="1"/>
  <c r="BB28" i="1"/>
  <c r="BG28" i="1" s="1"/>
  <c r="BA7" i="1"/>
  <c r="BB7" i="1"/>
  <c r="BG7" i="1" s="1"/>
  <c r="AS5" i="1"/>
  <c r="AT5" i="1"/>
  <c r="AY5" i="1" s="1"/>
  <c r="AS52" i="1"/>
  <c r="AT52" i="1"/>
  <c r="AY52" i="1" s="1"/>
  <c r="AJ38" i="1"/>
  <c r="AK38" i="1"/>
  <c r="AP38" i="1" s="1"/>
  <c r="AJ35" i="1"/>
  <c r="AK35" i="1"/>
  <c r="AB2" i="1"/>
  <c r="AH3" i="1"/>
  <c r="AH2" i="1"/>
  <c r="AC3" i="1"/>
  <c r="AC2" i="1"/>
  <c r="AB3" i="1"/>
  <c r="BI7" i="1" l="1"/>
  <c r="BJ7" i="1"/>
  <c r="BO7" i="1" s="1"/>
  <c r="BS7" i="1" s="1"/>
  <c r="BI33" i="1"/>
  <c r="BJ33" i="1"/>
  <c r="BO33" i="1" s="1"/>
  <c r="BS33" i="1" s="1"/>
  <c r="BI46" i="1"/>
  <c r="BJ46" i="1"/>
  <c r="BO46" i="1" s="1"/>
  <c r="BS46" i="1" s="1"/>
  <c r="BI43" i="1"/>
  <c r="BJ43" i="1"/>
  <c r="BO43" i="1" s="1"/>
  <c r="BS43" i="1" s="1"/>
  <c r="BI62" i="1"/>
  <c r="BJ62" i="1"/>
  <c r="BO62" i="1" s="1"/>
  <c r="BS62" i="1" s="1"/>
  <c r="BI36" i="1"/>
  <c r="BJ36" i="1"/>
  <c r="BO36" i="1" s="1"/>
  <c r="BS36" i="1" s="1"/>
  <c r="BI30" i="1"/>
  <c r="BJ30" i="1"/>
  <c r="BO30" i="1" s="1"/>
  <c r="BS30" i="1" s="1"/>
  <c r="BI28" i="1"/>
  <c r="BJ28" i="1"/>
  <c r="BO28" i="1" s="1"/>
  <c r="BS28" i="1" s="1"/>
  <c r="BI31" i="1"/>
  <c r="BJ31" i="1"/>
  <c r="BO31" i="1" s="1"/>
  <c r="BS31" i="1" s="1"/>
  <c r="BI63" i="1"/>
  <c r="BJ63" i="1"/>
  <c r="BO63" i="1" s="1"/>
  <c r="BS63" i="1" s="1"/>
  <c r="BI29" i="1"/>
  <c r="BJ29" i="1"/>
  <c r="BI61" i="1"/>
  <c r="BJ61" i="1"/>
  <c r="BO61" i="1" s="1"/>
  <c r="BS61" i="1" s="1"/>
  <c r="BI11" i="1"/>
  <c r="BJ11" i="1"/>
  <c r="BO11" i="1" s="1"/>
  <c r="BS11" i="1" s="1"/>
  <c r="AJ3" i="1"/>
  <c r="BA52" i="1"/>
  <c r="BB52" i="1"/>
  <c r="BG52" i="1" s="1"/>
  <c r="BA5" i="1"/>
  <c r="BB5" i="1"/>
  <c r="BG5" i="1" s="1"/>
  <c r="AS38" i="1"/>
  <c r="AT38" i="1"/>
  <c r="AY38" i="1" s="1"/>
  <c r="AJ2" i="1"/>
  <c r="AP35" i="1"/>
  <c r="AK2" i="1"/>
  <c r="AK3" i="1"/>
  <c r="BO29" i="1" l="1"/>
  <c r="BS29" i="1" s="1"/>
  <c r="BI5" i="1"/>
  <c r="BJ5" i="1"/>
  <c r="BI52" i="1"/>
  <c r="BJ52" i="1"/>
  <c r="BO52" i="1" s="1"/>
  <c r="BS52" i="1" s="1"/>
  <c r="BA38" i="1"/>
  <c r="BB38" i="1"/>
  <c r="BG38" i="1" s="1"/>
  <c r="AS35" i="1"/>
  <c r="AS3" i="1" s="1"/>
  <c r="AT35" i="1"/>
  <c r="AY35" i="1" s="1"/>
  <c r="AP3" i="1"/>
  <c r="AP2" i="1"/>
  <c r="BO5" i="1" l="1"/>
  <c r="BS5" i="1" s="1"/>
  <c r="BI38" i="1"/>
  <c r="BJ38" i="1"/>
  <c r="BO38" i="1" s="1"/>
  <c r="BS38" i="1" s="1"/>
  <c r="BA35" i="1"/>
  <c r="BA3" i="1" s="1"/>
  <c r="BB35" i="1"/>
  <c r="BG35" i="1" s="1"/>
  <c r="AY2" i="1"/>
  <c r="AY3" i="1"/>
  <c r="AT3" i="1"/>
  <c r="AT2" i="1"/>
  <c r="AS2" i="1"/>
  <c r="BA2" i="1" l="1"/>
  <c r="BI35" i="1"/>
  <c r="BI2" i="1" s="1"/>
  <c r="BJ35" i="1"/>
  <c r="BJ3" i="1" s="1"/>
  <c r="BG2" i="1"/>
  <c r="BG3" i="1"/>
  <c r="BB3" i="1"/>
  <c r="BB2" i="1"/>
  <c r="BO35" i="1" l="1"/>
  <c r="BO2" i="1" s="1"/>
  <c r="BJ2" i="1"/>
  <c r="BI3" i="1"/>
  <c r="BO3" i="1" l="1"/>
  <c r="BS35" i="1"/>
  <c r="BS2" i="1" s="1"/>
  <c r="BS3" i="1"/>
</calcChain>
</file>

<file path=xl/sharedStrings.xml><?xml version="1.0" encoding="utf-8"?>
<sst xmlns="http://schemas.openxmlformats.org/spreadsheetml/2006/main" count="574" uniqueCount="267">
  <si>
    <t>August</t>
  </si>
  <si>
    <t>Volume</t>
  </si>
  <si>
    <t>Product Code</t>
  </si>
  <si>
    <t>SUBGROUP</t>
  </si>
  <si>
    <t>Product</t>
  </si>
  <si>
    <t>Case Pack</t>
  </si>
  <si>
    <t>MRP</t>
  </si>
  <si>
    <t xml:space="preserve">DLP </t>
  </si>
  <si>
    <t>Purchase</t>
  </si>
  <si>
    <t xml:space="preserve">Primary </t>
  </si>
  <si>
    <t>Sales Return</t>
  </si>
  <si>
    <t xml:space="preserve">Closing Stock </t>
  </si>
  <si>
    <t xml:space="preserve">Total Stock </t>
  </si>
  <si>
    <t>August-25 Opening</t>
  </si>
  <si>
    <t>FG-0536</t>
  </si>
  <si>
    <t>FG-0538</t>
  </si>
  <si>
    <t>FG-0540</t>
  </si>
  <si>
    <t>FG-0963</t>
  </si>
  <si>
    <t>FG-0964</t>
  </si>
  <si>
    <t>FG-0965</t>
  </si>
  <si>
    <t>FG-1189</t>
  </si>
  <si>
    <t>FG-1251</t>
  </si>
  <si>
    <t>FG-1253</t>
  </si>
  <si>
    <t>FG-2465</t>
  </si>
  <si>
    <t>FG-3890</t>
  </si>
  <si>
    <t>FG-4348</t>
  </si>
  <si>
    <t>FG-5114</t>
  </si>
  <si>
    <t>FG-5181</t>
  </si>
  <si>
    <t>FG-5495</t>
  </si>
  <si>
    <t>FG-5496</t>
  </si>
  <si>
    <t>FG-6779</t>
  </si>
  <si>
    <t>PM0140</t>
  </si>
  <si>
    <t>PM0141</t>
  </si>
  <si>
    <t>PM0144</t>
  </si>
  <si>
    <t>PM0145</t>
  </si>
  <si>
    <t>PM0150</t>
  </si>
  <si>
    <t>PM0151</t>
  </si>
  <si>
    <t>PM0152</t>
  </si>
  <si>
    <t>PM0153</t>
  </si>
  <si>
    <t>PM0154</t>
  </si>
  <si>
    <t>PM0155</t>
  </si>
  <si>
    <t>PM0156</t>
  </si>
  <si>
    <t>PM0157</t>
  </si>
  <si>
    <t>PM0158</t>
  </si>
  <si>
    <t>PM0159</t>
  </si>
  <si>
    <t>PM0160</t>
  </si>
  <si>
    <t>PM0161</t>
  </si>
  <si>
    <t>PM0162</t>
  </si>
  <si>
    <t>PM0163</t>
  </si>
  <si>
    <t>PM0164</t>
  </si>
  <si>
    <t>PM0165</t>
  </si>
  <si>
    <t>PM0166</t>
  </si>
  <si>
    <t>PM0167</t>
  </si>
  <si>
    <t>PM0171</t>
  </si>
  <si>
    <t>PM0172</t>
  </si>
  <si>
    <t>PM0173</t>
  </si>
  <si>
    <t>PM0177</t>
  </si>
  <si>
    <t>PM0178</t>
  </si>
  <si>
    <t>PM0179</t>
  </si>
  <si>
    <t>PM0180</t>
  </si>
  <si>
    <t>PM0183</t>
  </si>
  <si>
    <t>PM0184</t>
  </si>
  <si>
    <t>PM0185</t>
  </si>
  <si>
    <t>PM0186</t>
  </si>
  <si>
    <t>PM0187</t>
  </si>
  <si>
    <t>PM0188</t>
  </si>
  <si>
    <t>PM0189</t>
  </si>
  <si>
    <t>PM0190</t>
  </si>
  <si>
    <t>PM0191</t>
  </si>
  <si>
    <t>PM0192</t>
  </si>
  <si>
    <t>PM0193</t>
  </si>
  <si>
    <t>PM0194</t>
  </si>
  <si>
    <t>PM0195</t>
  </si>
  <si>
    <t>PM0196</t>
  </si>
  <si>
    <t>NILONS MANGO PICKLE 400GM*20</t>
  </si>
  <si>
    <t>NILONS LIME PICKLE 400GM*20</t>
  </si>
  <si>
    <t>NILONS CHILLI PICKLE 400GM*20</t>
  </si>
  <si>
    <t>NILONS MANGO PICKLE 500GM*20</t>
  </si>
  <si>
    <t>NILONS MIX PICKLE 500GM*20</t>
  </si>
  <si>
    <t>NILONS CHILLI PICKLE 500GM*20</t>
  </si>
  <si>
    <t>NILONS PAPAYA  FRUIT  GREEN 800 GM*18</t>
  </si>
  <si>
    <t>NILONS MANGO PICKLE 350GM*40</t>
  </si>
  <si>
    <t>NILONS CHILLI PICKLE 350GM*40</t>
  </si>
  <si>
    <t>NILONS GULABJAMUN MIX 500GM*30</t>
  </si>
  <si>
    <t>NILONS SOYA SAUCE-700GM*24</t>
  </si>
  <si>
    <t>NILONS SCHEZWAN FRIED RICE MASALA 20GM*240</t>
  </si>
  <si>
    <t>NILONS MANGO PICKLE 900*15</t>
  </si>
  <si>
    <t>NILONS PIZZA PASTA SAUCE 250GM*24</t>
  </si>
  <si>
    <t>NILONS SOYA SAUCE 180GM*40</t>
  </si>
  <si>
    <t>NILONS RED CHILLI SAUCE 660GM*24</t>
  </si>
  <si>
    <t>NILONS TOMATO KETCHUP 8GM*100*16</t>
  </si>
  <si>
    <t>NILONS KHAMAN DHOKLA MIX 200G*60</t>
  </si>
  <si>
    <t>NILONS DOSA MIX 200G*60</t>
  </si>
  <si>
    <t>NILONS MANCHURIAN MASALA 20GM*240</t>
  </si>
  <si>
    <t>NILONS CHOWMEIN MASALA 10GM*600</t>
  </si>
  <si>
    <t>NILONS CHINESE SOYA SAUCE 700GM*24</t>
  </si>
  <si>
    <t>NILONS CHINESE SOYA SAUCE 180GM*40</t>
  </si>
  <si>
    <t>NILONS CHINESE RED CHILLI SAUCE 180GM*40</t>
  </si>
  <si>
    <t>NILONS CHINESE GREEN CHILLI SAUCE 180GM*40</t>
  </si>
  <si>
    <t>NILONS SOYA CHUNKS 160GM*50</t>
  </si>
  <si>
    <t>NILONS ROASTED SEWAI 100GM*70</t>
  </si>
  <si>
    <t>NILONS PAPAYA FRUIT PRESERVED-RED 800GM*18</t>
  </si>
  <si>
    <t>NILONS PAPAYA FRUIT PRESERVED-YELLOW 800GM*18</t>
  </si>
  <si>
    <t>NILONS PAPAYA FRUIT PRESERVED-MIXED 800GM*18</t>
  </si>
  <si>
    <t>NILONS KHANA KHAZANA CHILLI PICKLE 350GM*40</t>
  </si>
  <si>
    <t>NILONS KHANA KHAZANA MANGO PICKLE 350GM*40</t>
  </si>
  <si>
    <t>NILONS KHANA KHAZANA MIX PICKLE 350GM*40</t>
  </si>
  <si>
    <t>NILONS CUT SEWAI 130GM*130</t>
  </si>
  <si>
    <t>NILONS STANDARD CHILLI PICKLE 400GM*20</t>
  </si>
  <si>
    <t>NILONS PASTA MASALA 8GM*600</t>
  </si>
  <si>
    <t>NILONS STANDARD GARLIC PICKLE 400GM*20</t>
  </si>
  <si>
    <t>NILONS SCHEZWAN CHUTNEY 250GM*24</t>
  </si>
  <si>
    <t>NILONS STANDARD LIME PICKLE 400GM*20</t>
  </si>
  <si>
    <t>NILONS ASSORTED MIX PICKLES 50 GM*6*30</t>
  </si>
  <si>
    <t>NILONS TOMATO KETCHUP 8GM*100*10</t>
  </si>
  <si>
    <t>NILONS STANDARD MANGO PICKLE 400GM*20</t>
  </si>
  <si>
    <t>NILONS  PASTA PENNE-350GM*42</t>
  </si>
  <si>
    <t>NILONS PASTA FUSILLI-350GM*42</t>
  </si>
  <si>
    <t>NILONS PASTA ELBOW-350GM*42</t>
  </si>
  <si>
    <t>NILONS MIX FRUIT JAM-500GM*20</t>
  </si>
  <si>
    <t>NILONS STANDARD MIXED PICKLE 400GM*20</t>
  </si>
  <si>
    <t>NILONS GODKERI PICKLE 475GM*20</t>
  </si>
  <si>
    <t>NILONS CLASSIC MIX PICKLE 5KG*4</t>
  </si>
  <si>
    <t>NILONS KHANA KHAZANA CHILLI PICKLE 500GM*20</t>
  </si>
  <si>
    <t>NILONS KHANA KHAZANA MANGO PICKLE 500GM*20</t>
  </si>
  <si>
    <t>NILONS KHANA KHAZANA MIX PICKLE 500GM*20</t>
  </si>
  <si>
    <t>NILONS KHANA KHAZANA MANGO PICKLE 900GM*15</t>
  </si>
  <si>
    <t>NILONS KHANA KHAZANA MIX PICKLE 900GM*15</t>
  </si>
  <si>
    <t>NILONS GINGER GARLIC PASTE 25GM*800</t>
  </si>
  <si>
    <t>NILONS GINGER PASTE 180GM*40</t>
  </si>
  <si>
    <t>NILONS GARLIC PASTE 180GM*40</t>
  </si>
  <si>
    <t>NILONS GINGER GARLIC PASTE 180GM*40</t>
  </si>
  <si>
    <t>NILONS GULAB JAMUN MIX 175GM*60</t>
  </si>
  <si>
    <t>NILONS IDLI MIX 200GM*60</t>
  </si>
  <si>
    <t>SAUCE</t>
  </si>
  <si>
    <t>NILONS MIX PICKLE 350GM*40</t>
  </si>
  <si>
    <t>FG-1252</t>
  </si>
  <si>
    <t>6th PI</t>
  </si>
  <si>
    <t>Total Transit</t>
  </si>
  <si>
    <t>2nd PI (New)</t>
  </si>
  <si>
    <t xml:space="preserve">PAPAYA FRUIT </t>
  </si>
  <si>
    <t>GULAB JAMUN</t>
  </si>
  <si>
    <t>MASALA</t>
  </si>
  <si>
    <t>KETCHUP</t>
  </si>
  <si>
    <t xml:space="preserve">DHOKLA </t>
  </si>
  <si>
    <t xml:space="preserve">DOSA </t>
  </si>
  <si>
    <t xml:space="preserve">CHUNKS </t>
  </si>
  <si>
    <t>SEWAI</t>
  </si>
  <si>
    <t>PASTE</t>
  </si>
  <si>
    <t>PASTA</t>
  </si>
  <si>
    <t>JAM</t>
  </si>
  <si>
    <t>IDLI</t>
  </si>
  <si>
    <t>September</t>
  </si>
  <si>
    <t xml:space="preserve">Aug-Pending </t>
  </si>
  <si>
    <t>Sep-25 Opening</t>
  </si>
  <si>
    <t>New PI 111</t>
  </si>
  <si>
    <t>Oct-25 Opening</t>
  </si>
  <si>
    <t>October</t>
  </si>
  <si>
    <t>Transit</t>
  </si>
  <si>
    <t>NOVEMBER</t>
  </si>
  <si>
    <t>NOV-25 Opening</t>
  </si>
  <si>
    <t>Transit-NEW</t>
  </si>
  <si>
    <t>DECEMBER</t>
  </si>
  <si>
    <t>DEC-25 Opening</t>
  </si>
  <si>
    <t>NILONS RED STUFF CHILLI PICKLE 400GM*20</t>
  </si>
  <si>
    <t>NILONS SOYA CHUNKS 200GM*50</t>
  </si>
  <si>
    <t>PM0202</t>
  </si>
  <si>
    <t>PM0203</t>
  </si>
  <si>
    <t>Grand Total</t>
  </si>
  <si>
    <t>Total Sales</t>
  </si>
  <si>
    <t>Total SR</t>
  </si>
  <si>
    <t>Net Sales</t>
  </si>
  <si>
    <t>JAN-25 Opening</t>
  </si>
  <si>
    <t>JANUARY</t>
  </si>
  <si>
    <t>Product-1</t>
  </si>
  <si>
    <t>NILONS  PASTA PENNE-350GM</t>
  </si>
  <si>
    <t>NILONS ASSORTED MIX PICKLES 50 GM</t>
  </si>
  <si>
    <t>NILONS CHINESE SOYA SAUCE 180GM</t>
  </si>
  <si>
    <t>NILONS CHINESE SOYA SAUCE 700GM</t>
  </si>
  <si>
    <t>NILONS KHANA KHAZANA CHILLI PICKLE 350GM</t>
  </si>
  <si>
    <t>NILONS KHANA KHAZANA CHILLI PICKLE 500GM</t>
  </si>
  <si>
    <t>NILONS KHANA KHAZANA MANGO PICKLE 350GM</t>
  </si>
  <si>
    <t>NILONS KHANA KHAZANA MANGO PICKLE 500GM</t>
  </si>
  <si>
    <t>NILONS KHANA KHAZANA MANGO PICKLE 900GM</t>
  </si>
  <si>
    <t>NILONS KHANA KHAZANA MIX PICKLE 350GM</t>
  </si>
  <si>
    <t>NILONS KHANA KHAZANA MIX PICKLE 500GM</t>
  </si>
  <si>
    <t>NILONS PASTA ELBOW-350GM</t>
  </si>
  <si>
    <t>NILONS PASTA FUSILLI-350GM</t>
  </si>
  <si>
    <t>NILONS RED CHILLI SAUCE 660GM</t>
  </si>
  <si>
    <t>NILONS SOYA CHUNKS 160GM</t>
  </si>
  <si>
    <t>NILONS SOYA SAUCE 180GM</t>
  </si>
  <si>
    <t>NILONS SOYA SAUCE-700GM</t>
  </si>
  <si>
    <t>NILONS STANDARD CHILLI PICKLE 400GM</t>
  </si>
  <si>
    <t>NILONS STANDARD LIME PICKLE 400GM</t>
  </si>
  <si>
    <t>NILONS STANDARD MANGO PICKLE 400GM</t>
  </si>
  <si>
    <t>NILONS TOMATO KETCHUP 8GM</t>
  </si>
  <si>
    <t>NILONS SOYA CHUNKS 200GM</t>
  </si>
  <si>
    <t>PICKLE-350</t>
  </si>
  <si>
    <t>PICKLE-400</t>
  </si>
  <si>
    <t>PICKLE-500</t>
  </si>
  <si>
    <t>PICKLE-5kg</t>
  </si>
  <si>
    <t>SAUCE-180</t>
  </si>
  <si>
    <t>PICKLE-900</t>
  </si>
  <si>
    <t>PICKLE-Assorted</t>
  </si>
  <si>
    <t>PICKLE-GODKERI</t>
  </si>
  <si>
    <t>NILONS CHINESE GREEN CHILLI SAUCE 180GM</t>
  </si>
  <si>
    <t>NILONS CHINESE RED CHILLI SAUCE 180GM</t>
  </si>
  <si>
    <t>NILONS CHOWMEIN MASALA 10GM</t>
  </si>
  <si>
    <t>NILONS CLASSIC MIX PICKLE 5KG</t>
  </si>
  <si>
    <t>NILONS CUT SEWAI 130GM</t>
  </si>
  <si>
    <t>NILONS DOSA MIX 200G</t>
  </si>
  <si>
    <t>NILONS GARLIC PASTE 180GM</t>
  </si>
  <si>
    <t>NILONS GINGER GARLIC PASTE 180GM</t>
  </si>
  <si>
    <t>NILONS GINGER GARLIC PASTE 25GM</t>
  </si>
  <si>
    <t>NILONS GINGER PASTE 180GM</t>
  </si>
  <si>
    <t>NILONS GODKERI PICKLE 475GM</t>
  </si>
  <si>
    <t>NILONS GULAB JAMUN MIX 175GM</t>
  </si>
  <si>
    <t>NILONS GULABJAMUN MIX 500GM</t>
  </si>
  <si>
    <t>NILONS IDLI MIX 200GM</t>
  </si>
  <si>
    <t>NILONS KHAMAN DHOKLA MIX 200G</t>
  </si>
  <si>
    <t>NILONS KHANA KHAZANA MIX PICKLE 900GM</t>
  </si>
  <si>
    <t>NILONS MANCHURIAN MASALA 20GM</t>
  </si>
  <si>
    <t>NILONS MIX FRUIT JAM-500GM</t>
  </si>
  <si>
    <t>NILONS PAPAYA  FRUIT  GREEN 800 GM</t>
  </si>
  <si>
    <t>NILONS PAPAYA FRUIT PRESERVED-MIXED 800GM</t>
  </si>
  <si>
    <t>NILONS PAPAYA FRUIT PRESERVED-RED 800GM</t>
  </si>
  <si>
    <t>NILONS PAPAYA FRUIT PRESERVED-YELLOW 800GM</t>
  </si>
  <si>
    <t>NILONS PASTA MASALA 8GM</t>
  </si>
  <si>
    <t>NILONS PIZZA PASTA SAUCE 250GM</t>
  </si>
  <si>
    <t>NILONS ROASTED SEWAI 100GM</t>
  </si>
  <si>
    <t>NILONS SCHEZWAN CHUTNEY 250GM</t>
  </si>
  <si>
    <t>NILONS SCHEZWAN FRIED RICE MASALA 20GM</t>
  </si>
  <si>
    <t>NILONS STANDARD GARLIC PICKLE 400GM</t>
  </si>
  <si>
    <t>NILONS STANDARD MIXED PICKLE 400GM</t>
  </si>
  <si>
    <t>NILONS RED STUFF CHILLI PICKLE 400GM</t>
  </si>
  <si>
    <t>FEB-25 Opening</t>
  </si>
  <si>
    <t>FEBRUARY</t>
  </si>
  <si>
    <t>PI-181</t>
  </si>
  <si>
    <t>PI-174</t>
  </si>
  <si>
    <t>Value In Lacs (DLP)</t>
  </si>
  <si>
    <t>Sum of FEB-25 Opening</t>
  </si>
  <si>
    <t>Sum of Purchase7</t>
  </si>
  <si>
    <t>Sum of Primary 7</t>
  </si>
  <si>
    <t>Sum of Sales Return7</t>
  </si>
  <si>
    <t>Sum of Closing Stock 7</t>
  </si>
  <si>
    <t>Sum of Total Transit3</t>
  </si>
  <si>
    <t>Sum of Total Stock 7</t>
  </si>
  <si>
    <t>SEP-Net Sales</t>
  </si>
  <si>
    <t>AUG-Net Sales</t>
  </si>
  <si>
    <t>OCT-Net Sales</t>
  </si>
  <si>
    <t>NOV-Net Sales</t>
  </si>
  <si>
    <t>DEC-Net Sales</t>
  </si>
  <si>
    <t>JAN-Net Sales</t>
  </si>
  <si>
    <t>FEB-Net Sales</t>
  </si>
  <si>
    <t>DLP/CASE</t>
  </si>
  <si>
    <t>Sum of AUG-Net Sales</t>
  </si>
  <si>
    <t>Sum of SEP-Net Sales</t>
  </si>
  <si>
    <t>Sum of OCT-Net Sales</t>
  </si>
  <si>
    <t>Sum of NOV-Net Sales</t>
  </si>
  <si>
    <t>Sum of DEC-Net Sales</t>
  </si>
  <si>
    <t>Sum of JAN-Net Sales</t>
  </si>
  <si>
    <t>Sum of FEB-Net Sales</t>
  </si>
  <si>
    <t>March Sales Plan</t>
  </si>
  <si>
    <t>Sum of PI-174</t>
  </si>
  <si>
    <t>IN VALUE</t>
  </si>
  <si>
    <t>IN VOLUME</t>
  </si>
  <si>
    <t>Add if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</si>
</sst>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#,###,###,###,##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</font>
    <font>
      <b/>
      <sz val="8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1" applyNumberFormat="1" applyFont="1"/>
    <xf numFmtId="43" fontId="0" fillId="0" borderId="0" xfId="1" applyFont="1"/>
    <xf numFmtId="43" fontId="4" fillId="0" borderId="0" xfId="1" applyFont="1" applyAlignment="1">
      <alignment horizontal="center" wrapText="1"/>
    </xf>
    <xf numFmtId="43" fontId="3" fillId="0" borderId="1" xfId="1" applyFont="1" applyFill="1" applyBorder="1" applyAlignment="1">
      <alignment horizontal="center" wrapText="1"/>
    </xf>
    <xf numFmtId="43" fontId="5" fillId="2" borderId="1" xfId="1" applyFont="1" applyFill="1" applyBorder="1" applyAlignment="1">
      <alignment horizontal="center" wrapText="1"/>
    </xf>
    <xf numFmtId="43" fontId="6" fillId="0" borderId="0" xfId="1" applyFont="1"/>
    <xf numFmtId="43" fontId="3" fillId="0" borderId="2" xfId="1" applyFont="1" applyFill="1" applyBorder="1" applyAlignment="1">
      <alignment horizontal="center" wrapText="1"/>
    </xf>
    <xf numFmtId="43" fontId="5" fillId="2" borderId="2" xfId="1" applyFont="1" applyFill="1" applyBorder="1" applyAlignment="1">
      <alignment horizontal="center" wrapText="1"/>
    </xf>
    <xf numFmtId="0" fontId="0" fillId="0" borderId="1" xfId="0" applyBorder="1"/>
    <xf numFmtId="43" fontId="0" fillId="0" borderId="1" xfId="0" applyNumberFormat="1" applyBorder="1"/>
    <xf numFmtId="165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43" fontId="0" fillId="0" borderId="1" xfId="1" applyFont="1" applyBorder="1"/>
    <xf numFmtId="43" fontId="2" fillId="2" borderId="1" xfId="1" applyFont="1" applyFill="1" applyBorder="1"/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3" fontId="0" fillId="0" borderId="1" xfId="1" applyFont="1" applyFill="1" applyBorder="1"/>
    <xf numFmtId="0" fontId="0" fillId="0" borderId="1" xfId="0" pivotButton="1" applyBorder="1"/>
    <xf numFmtId="0" fontId="0" fillId="0" borderId="1" xfId="0" pivotButton="1" applyBorder="1" applyAlignment="1">
      <alignment horizontal="center"/>
    </xf>
    <xf numFmtId="43" fontId="0" fillId="0" borderId="1" xfId="0" applyNumberFormat="1" applyFill="1" applyBorder="1"/>
    <xf numFmtId="14" fontId="3" fillId="3" borderId="1" xfId="1" applyNumberFormat="1" applyFont="1" applyFill="1" applyBorder="1" applyAlignment="1">
      <alignment vertical="center" wrapText="1"/>
    </xf>
    <xf numFmtId="14" fontId="3" fillId="6" borderId="1" xfId="1" applyNumberFormat="1" applyFont="1" applyFill="1" applyBorder="1" applyAlignment="1">
      <alignment vertical="center" wrapText="1"/>
    </xf>
    <xf numFmtId="14" fontId="3" fillId="7" borderId="1" xfId="1" applyNumberFormat="1" applyFont="1" applyFill="1" applyBorder="1" applyAlignment="1">
      <alignment vertical="center" wrapText="1"/>
    </xf>
    <xf numFmtId="14" fontId="3" fillId="8" borderId="1" xfId="1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164" fontId="7" fillId="5" borderId="1" xfId="1" applyNumberFormat="1" applyFont="1" applyFill="1" applyBorder="1" applyAlignment="1">
      <alignment vertical="center"/>
    </xf>
    <xf numFmtId="43" fontId="7" fillId="5" borderId="1" xfId="1" applyFont="1" applyFill="1" applyBorder="1" applyAlignment="1">
      <alignment vertical="center"/>
    </xf>
    <xf numFmtId="43" fontId="8" fillId="4" borderId="1" xfId="1" applyFont="1" applyFill="1" applyBorder="1" applyAlignment="1">
      <alignment vertical="center" wrapText="1"/>
    </xf>
    <xf numFmtId="43" fontId="3" fillId="2" borderId="1" xfId="1" applyFont="1" applyFill="1" applyBorder="1" applyAlignment="1">
      <alignment vertical="center" wrapText="1"/>
    </xf>
    <xf numFmtId="43" fontId="3" fillId="2" borderId="1" xfId="1" applyFont="1" applyFill="1" applyBorder="1" applyAlignment="1">
      <alignment vertical="center"/>
    </xf>
    <xf numFmtId="43" fontId="8" fillId="4" borderId="1" xfId="1" applyFont="1" applyFill="1" applyBorder="1" applyAlignment="1">
      <alignment vertical="center"/>
    </xf>
    <xf numFmtId="43" fontId="3" fillId="8" borderId="1" xfId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3" fontId="3" fillId="9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wrapText="1"/>
    </xf>
    <xf numFmtId="14" fontId="3" fillId="8" borderId="1" xfId="1" applyNumberFormat="1" applyFont="1" applyFill="1" applyBorder="1" applyAlignment="1">
      <alignment horizontal="center" wrapText="1"/>
    </xf>
    <xf numFmtId="14" fontId="3" fillId="7" borderId="1" xfId="1" applyNumberFormat="1" applyFont="1" applyFill="1" applyBorder="1" applyAlignment="1">
      <alignment horizontal="center" wrapText="1"/>
    </xf>
    <xf numFmtId="43" fontId="8" fillId="4" borderId="3" xfId="1" applyFont="1" applyFill="1" applyBorder="1" applyAlignment="1">
      <alignment horizontal="center" vertical="center" wrapText="1"/>
    </xf>
    <xf numFmtId="43" fontId="8" fillId="4" borderId="4" xfId="1" applyFont="1" applyFill="1" applyBorder="1" applyAlignment="1">
      <alignment horizontal="center" vertical="center" wrapText="1"/>
    </xf>
    <xf numFmtId="43" fontId="8" fillId="4" borderId="5" xfId="1" applyFont="1" applyFill="1" applyBorder="1" applyAlignment="1">
      <alignment horizontal="center" vertical="center" wrapText="1"/>
    </xf>
    <xf numFmtId="14" fontId="3" fillId="3" borderId="1" xfId="1" applyNumberFormat="1" applyFont="1" applyFill="1" applyBorder="1" applyAlignment="1">
      <alignment horizontal="center" wrapText="1"/>
    </xf>
    <xf numFmtId="14" fontId="3" fillId="6" borderId="1" xfId="1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3" fontId="10" fillId="5" borderId="0" xfId="1" applyFont="1" applyFill="1"/>
    <xf numFmtId="0" fontId="0" fillId="0" borderId="1" xfId="0" pivotButton="1" applyBorder="1" applyAlignment="1">
      <alignment horizontal="center" wrapText="1"/>
    </xf>
    <xf numFmtId="0" fontId="2" fillId="11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/>
    </xf>
    <xf numFmtId="43" fontId="10" fillId="3" borderId="0" xfId="1" applyFont="1" applyFill="1"/>
  </cellXfs>
  <cellStyles count="2">
    <cellStyle name="Comma" xfId="1" builtinId="3"/>
    <cellStyle name="Normal" xfId="0" builtinId="0"/>
  </cellStyles>
  <dxfs count="6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/>
    </dxf>
    <dxf>
      <alignment wrapText="1"/>
    </dxf>
    <dxf>
      <alignment wrapText="0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wrapText="1"/>
    </dxf>
    <dxf>
      <alignment wrapText="1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NILONS%20SNS%20REPORT%20FEB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VT-FEB-26"/>
      <sheetName val="Main sheet"/>
    </sheetNames>
    <sheetDataSet>
      <sheetData sheetId="0">
        <row r="2">
          <cell r="M2">
            <v>890</v>
          </cell>
        </row>
        <row r="3">
          <cell r="B3" t="str">
            <v>Product-1</v>
          </cell>
          <cell r="M3" t="str">
            <v>Add if connect</v>
          </cell>
        </row>
        <row r="4">
          <cell r="B4" t="str">
            <v>NILONS SOYA CHUNKS 160GM</v>
          </cell>
        </row>
        <row r="5">
          <cell r="B5" t="str">
            <v>NILONS SOYA CHUNKS 200GM</v>
          </cell>
        </row>
        <row r="6">
          <cell r="B6" t="str">
            <v>NILONS KHAMAN DHOKLA MIX 200G</v>
          </cell>
        </row>
        <row r="7">
          <cell r="B7" t="str">
            <v>NILONS DOSA MIX 200G</v>
          </cell>
        </row>
        <row r="8">
          <cell r="B8" t="str">
            <v>NILONS GULAB JAMUN MIX 175GM</v>
          </cell>
        </row>
        <row r="9">
          <cell r="B9" t="str">
            <v>NILONS GULABJAMUN MIX 500GM</v>
          </cell>
        </row>
        <row r="10">
          <cell r="B10" t="str">
            <v>NILONS IDLI MIX 200GM</v>
          </cell>
        </row>
        <row r="11">
          <cell r="B11" t="str">
            <v>NILONS MIX FRUIT JAM-500GM</v>
          </cell>
          <cell r="M11">
            <v>65</v>
          </cell>
        </row>
        <row r="12">
          <cell r="B12" t="str">
            <v>NILONS TOMATO KETCHUP 8GM</v>
          </cell>
        </row>
        <row r="13">
          <cell r="B13" t="str">
            <v>NILONS CHOWMEIN MASALA 10GM</v>
          </cell>
        </row>
        <row r="14">
          <cell r="B14" t="str">
            <v>NILONS MANCHURIAN MASALA 20GM</v>
          </cell>
        </row>
        <row r="15">
          <cell r="B15" t="str">
            <v>NILONS PASTA MASALA 8GM</v>
          </cell>
        </row>
        <row r="16">
          <cell r="B16" t="str">
            <v>NILONS SCHEZWAN FRIED RICE MASALA 20GM</v>
          </cell>
        </row>
        <row r="17">
          <cell r="B17" t="str">
            <v>NILONS PAPAYA  FRUIT  GREEN 800 GM</v>
          </cell>
        </row>
        <row r="18">
          <cell r="B18" t="str">
            <v>NILONS PAPAYA FRUIT PRESERVED-MIXED 800GM</v>
          </cell>
        </row>
        <row r="19">
          <cell r="B19" t="str">
            <v>NILONS PAPAYA FRUIT PRESERVED-RED 800GM</v>
          </cell>
        </row>
        <row r="20">
          <cell r="B20" t="str">
            <v>NILONS PAPAYA FRUIT PRESERVED-YELLOW 800GM</v>
          </cell>
        </row>
        <row r="21">
          <cell r="B21" t="str">
            <v>NILONS  PASTA PENNE-350GM</v>
          </cell>
        </row>
        <row r="22">
          <cell r="B22" t="str">
            <v>NILONS PASTA ELBOW-350GM</v>
          </cell>
        </row>
        <row r="23">
          <cell r="B23" t="str">
            <v>NILONS PASTA FUSILLI-350GM</v>
          </cell>
        </row>
        <row r="24">
          <cell r="B24" t="str">
            <v>NILONS GARLIC PASTE 180GM</v>
          </cell>
        </row>
        <row r="25">
          <cell r="B25" t="str">
            <v>NILONS GINGER GARLIC PASTE 180GM</v>
          </cell>
        </row>
        <row r="26">
          <cell r="B26" t="str">
            <v>NILONS GINGER GARLIC PASTE 25GM</v>
          </cell>
        </row>
        <row r="27">
          <cell r="B27" t="str">
            <v>NILONS GINGER PASTE 180GM</v>
          </cell>
        </row>
        <row r="28">
          <cell r="B28" t="str">
            <v>NILONS SCHEZWAN CHUTNEY 250GM</v>
          </cell>
          <cell r="M28">
            <v>60</v>
          </cell>
        </row>
        <row r="29">
          <cell r="B29" t="str">
            <v>NILONS KHANA KHAZANA CHILLI PICKLE 350GM</v>
          </cell>
          <cell r="M29">
            <v>60</v>
          </cell>
        </row>
        <row r="30">
          <cell r="B30" t="str">
            <v>NILONS KHANA KHAZANA MANGO PICKLE 350GM</v>
          </cell>
          <cell r="M30">
            <v>100</v>
          </cell>
        </row>
        <row r="31">
          <cell r="B31" t="str">
            <v>NILONS KHANA KHAZANA MIX PICKLE 350GM</v>
          </cell>
          <cell r="M31">
            <v>100</v>
          </cell>
        </row>
        <row r="32">
          <cell r="B32" t="str">
            <v>NILONS RED STUFF CHILLI PICKLE 400GM</v>
          </cell>
        </row>
        <row r="33">
          <cell r="B33" t="str">
            <v>NILONS STANDARD CHILLI PICKLE 400GM</v>
          </cell>
          <cell r="M33">
            <v>25</v>
          </cell>
        </row>
        <row r="34">
          <cell r="B34" t="str">
            <v>NILONS STANDARD GARLIC PICKLE 400GM</v>
          </cell>
          <cell r="M34">
            <v>60</v>
          </cell>
        </row>
        <row r="35">
          <cell r="B35" t="str">
            <v>NILONS STANDARD LIME PICKLE 400GM</v>
          </cell>
          <cell r="M35">
            <v>25</v>
          </cell>
        </row>
        <row r="36">
          <cell r="B36" t="str">
            <v>NILONS STANDARD MANGO PICKLE 400GM</v>
          </cell>
        </row>
        <row r="37">
          <cell r="B37" t="str">
            <v>NILONS STANDARD MIXED PICKLE 400GM</v>
          </cell>
        </row>
        <row r="38">
          <cell r="B38" t="str">
            <v>NILONS KHANA KHAZANA CHILLI PICKLE 500GM</v>
          </cell>
          <cell r="M38">
            <v>25</v>
          </cell>
        </row>
        <row r="39">
          <cell r="B39" t="str">
            <v>NILONS KHANA KHAZANA MANGO PICKLE 500GM</v>
          </cell>
          <cell r="M39">
            <v>60</v>
          </cell>
        </row>
        <row r="40">
          <cell r="B40" t="str">
            <v>NILONS KHANA KHAZANA MIX PICKLE 500GM</v>
          </cell>
          <cell r="M40">
            <v>60</v>
          </cell>
        </row>
        <row r="41">
          <cell r="B41" t="str">
            <v>NILONS CLASSIC MIX PICKLE 5KG</v>
          </cell>
          <cell r="M41">
            <v>250</v>
          </cell>
        </row>
        <row r="42">
          <cell r="B42" t="str">
            <v>NILONS KHANA KHAZANA MANGO PICKLE 900GM</v>
          </cell>
        </row>
        <row r="43">
          <cell r="B43" t="str">
            <v>NILONS KHANA KHAZANA MIX PICKLE 900GM</v>
          </cell>
        </row>
        <row r="44">
          <cell r="B44" t="str">
            <v>NILONS ASSORTED MIX PICKLES 50 GM</v>
          </cell>
        </row>
        <row r="45">
          <cell r="B45" t="str">
            <v>NILONS GODKERI PICKLE 475GM</v>
          </cell>
        </row>
        <row r="46">
          <cell r="B46" t="str">
            <v>NILONS CHINESE SOYA SAUCE 700GM</v>
          </cell>
        </row>
        <row r="47">
          <cell r="B47" t="str">
            <v>NILONS PIZZA PASTA SAUCE 250GM</v>
          </cell>
        </row>
        <row r="48">
          <cell r="B48" t="str">
            <v>NILONS RED CHILLI SAUCE 660GM</v>
          </cell>
        </row>
        <row r="49">
          <cell r="B49" t="str">
            <v>NILONS SOYA SAUCE-700GM</v>
          </cell>
        </row>
        <row r="50">
          <cell r="B50" t="str">
            <v>NILONS CHINESE GREEN CHILLI SAUCE 180GM</v>
          </cell>
        </row>
        <row r="51">
          <cell r="B51" t="str">
            <v>NILONS CHINESE RED CHILLI SAUCE 180GM</v>
          </cell>
        </row>
        <row r="52">
          <cell r="B52" t="str">
            <v>NILONS CHINESE SOYA SAUCE 180GM</v>
          </cell>
        </row>
        <row r="53">
          <cell r="B53" t="str">
            <v>NILONS SOYA SAUCE 180GM</v>
          </cell>
        </row>
        <row r="54">
          <cell r="B54" t="str">
            <v>NILONS CUT SEWAI 130GM</v>
          </cell>
        </row>
        <row r="55">
          <cell r="B55" t="str">
            <v>NILONS ROASTED SEWAI 100GM</v>
          </cell>
        </row>
        <row r="56">
          <cell r="M56">
            <v>890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670627893516" createdVersion="8" refreshedVersion="7" minRefreshableVersion="3" recordCount="63" xr:uid="{E8881DF6-4DA2-487D-8158-9D5E278EDF0B}">
  <cacheSource type="worksheet">
    <worksheetSource ref="A4:BX67" sheet="Main sheet"/>
  </cacheSource>
  <cacheFields count="76">
    <cacheField name="Product Code" numFmtId="0">
      <sharedItems/>
    </cacheField>
    <cacheField name="Product-1" numFmtId="0">
      <sharedItems count="52">
        <s v="NILONS  PASTA PENNE-350GM"/>
        <s v="NILONS ASSORTED MIX PICKLES 50 GM"/>
        <s v="NILONS KHANA KHAZANA CHILLI PICKLE 350GM"/>
        <s v="NILONS STANDARD CHILLI PICKLE 400GM"/>
        <s v="NILONS KHANA KHAZANA CHILLI PICKLE 500GM"/>
        <s v="NILONS CHINESE GREEN CHILLI SAUCE 180GM"/>
        <s v="NILONS CHINESE RED CHILLI SAUCE 180GM"/>
        <s v="NILONS CHINESE SOYA SAUCE 180GM"/>
        <s v="NILONS CHINESE SOYA SAUCE 700GM"/>
        <s v="NILONS CHOWMEIN MASALA 10GM"/>
        <s v="NILONS CLASSIC MIX PICKLE 5KG"/>
        <s v="NILONS CUT SEWAI 130GM"/>
        <s v="NILONS DOSA MIX 200G"/>
        <s v="NILONS GARLIC PASTE 180GM"/>
        <s v="NILONS GINGER GARLIC PASTE 180GM"/>
        <s v="NILONS GINGER GARLIC PASTE 25GM"/>
        <s v="NILONS GINGER PASTE 180GM"/>
        <s v="NILONS GODKERI PICKLE 475GM"/>
        <s v="NILONS GULAB JAMUN MIX 175GM"/>
        <s v="NILONS GULABJAMUN MIX 500GM"/>
        <s v="NILONS IDLI MIX 200GM"/>
        <s v="NILONS KHAMAN DHOKLA MIX 200G"/>
        <s v="NILONS KHANA KHAZANA MANGO PICKLE 350GM"/>
        <s v="NILONS KHANA KHAZANA MANGO PICKLE 500GM"/>
        <s v="NILONS KHANA KHAZANA MANGO PICKLE 900GM"/>
        <s v="NILONS KHANA KHAZANA MIX PICKLE 350GM"/>
        <s v="NILONS KHANA KHAZANA MIX PICKLE 500GM"/>
        <s v="NILONS KHANA KHAZANA MIX PICKLE 900GM"/>
        <s v="NILONS STANDARD LIME PICKLE 400GM"/>
        <s v="NILONS MANCHURIAN MASALA 20GM"/>
        <s v="NILONS STANDARD MANGO PICKLE 400GM"/>
        <s v="NILONS MIX FRUIT JAM-500GM"/>
        <s v="NILONS PAPAYA  FRUIT  GREEN 800 GM"/>
        <s v="NILONS PAPAYA FRUIT PRESERVED-MIXED 800GM"/>
        <s v="NILONS PAPAYA FRUIT PRESERVED-RED 800GM"/>
        <s v="NILONS PAPAYA FRUIT PRESERVED-YELLOW 800GM"/>
        <s v="NILONS PASTA ELBOW-350GM"/>
        <s v="NILONS PASTA FUSILLI-350GM"/>
        <s v="NILONS PASTA MASALA 8GM"/>
        <s v="NILONS PIZZA PASTA SAUCE 250GM"/>
        <s v="NILONS RED CHILLI SAUCE 660GM"/>
        <s v="NILONS ROASTED SEWAI 100GM"/>
        <s v="NILONS SCHEZWAN CHUTNEY 250GM"/>
        <s v="NILONS SCHEZWAN FRIED RICE MASALA 20GM"/>
        <s v="NILONS SOYA CHUNKS 160GM"/>
        <s v="NILONS SOYA SAUCE 180GM"/>
        <s v="NILONS SOYA SAUCE-700GM"/>
        <s v="NILONS STANDARD GARLIC PICKLE 400GM"/>
        <s v="NILONS STANDARD MIXED PICKLE 400GM"/>
        <s v="NILONS TOMATO KETCHUP 8GM"/>
        <s v="NILONS RED STUFF CHILLI PICKLE 400GM"/>
        <s v="NILONS SOYA CHUNKS 200GM"/>
      </sharedItems>
    </cacheField>
    <cacheField name="SUBGROUP" numFmtId="165">
      <sharedItems count="23">
        <s v="PASTA"/>
        <s v="PICKLE-Assorted"/>
        <s v="PICKLE-350"/>
        <s v="PICKLE-400"/>
        <s v="PICKLE-500"/>
        <s v="SAUCE-180"/>
        <s v="SAUCE"/>
        <s v="MASALA"/>
        <s v="PICKLE-5kg"/>
        <s v="SEWAI"/>
        <s v="DOSA "/>
        <s v="PASTE"/>
        <s v="PICKLE-GODKERI"/>
        <s v="GULAB JAMUN"/>
        <s v="IDLI"/>
        <s v="DHOKLA "/>
        <s v="PICKLE-900"/>
        <s v="JAM"/>
        <s v="PAPAYA FRUIT "/>
        <s v="CHUNKS "/>
        <s v="KETCHUP"/>
        <s v="Assorted PICKLE" u="1"/>
        <s v="PICKLE" u="1"/>
      </sharedItems>
    </cacheField>
    <cacheField name="Product" numFmtId="0">
      <sharedItems/>
    </cacheField>
    <cacheField name="Case Pack" numFmtId="0">
      <sharedItems containsSemiMixedTypes="0" containsString="0" containsNumber="1" containsInteger="1" minValue="4" maxValue="1600"/>
    </cacheField>
    <cacheField name="MRP" numFmtId="0">
      <sharedItems containsString="0" containsBlank="1" containsNumber="1" minValue="2.5" maxValue="800"/>
    </cacheField>
    <cacheField name="DLP " numFmtId="43">
      <sharedItems containsSemiMixedTypes="0" containsString="0" containsNumber="1" minValue="0" maxValue="621.6"/>
    </cacheField>
    <cacheField name="DLP/CASE" numFmtId="43">
      <sharedItems containsSemiMixedTypes="0" containsString="0" containsNumber="1" minValue="0" maxValue="9906.9000000000015" count="27">
        <n v="3263.4"/>
        <n v="3497.4"/>
        <n v="4662"/>
        <n v="4195.8"/>
        <n v="3652"/>
        <n v="3418.8"/>
        <n v="2486.4"/>
        <n v="5050.5"/>
        <n v="6993"/>
        <n v="3108"/>
        <n v="6216"/>
        <n v="5206"/>
        <n v="9091.2000000000007"/>
        <n v="9906.9000000000015"/>
        <n v="4079.25"/>
        <n v="4273.6000000000004"/>
        <n v="3729.6"/>
        <n v="3885"/>
        <n v="3356.64"/>
        <n v="5128.32"/>
        <n v="2393.2999999999997"/>
        <n v="3543.12"/>
        <n v="4663.2"/>
        <n v="5050.6000000000004"/>
        <n v="1940"/>
        <n v="3104"/>
        <n v="0"/>
      </sharedItems>
    </cacheField>
    <cacheField name="August-25 Opening" numFmtId="0">
      <sharedItems containsString="0" containsBlank="1" containsNumber="1" minValue="0" maxValue="126.46"/>
    </cacheField>
    <cacheField name="Purchase" numFmtId="0">
      <sharedItems containsString="0" containsBlank="1" containsNumber="1" containsInteger="1" minValue="0" maxValue="875"/>
    </cacheField>
    <cacheField name="Primary " numFmtId="0">
      <sharedItems containsString="0" containsBlank="1" containsNumber="1" minValue="0.4" maxValue="600"/>
    </cacheField>
    <cacheField name="Sales Return" numFmtId="0">
      <sharedItems containsString="0" containsBlank="1" containsNumber="1" containsInteger="1" minValue="0" maxValue="5"/>
    </cacheField>
    <cacheField name="AUG-Net Sales" numFmtId="43">
      <sharedItems containsSemiMixedTypes="0" containsString="0" containsNumber="1" minValue="0" maxValue="600"/>
    </cacheField>
    <cacheField name="Closing Stock " numFmtId="0">
      <sharedItems containsString="0" containsBlank="1" containsNumber="1" minValue="0" maxValue="436"/>
    </cacheField>
    <cacheField name="2nd PI (New)" numFmtId="0">
      <sharedItems containsString="0" containsBlank="1" containsNumber="1" containsInteger="1" minValue="0" maxValue="650"/>
    </cacheField>
    <cacheField name="6th PI" numFmtId="0">
      <sharedItems containsString="0" containsBlank="1" containsNumber="1" containsInteger="1" minValue="5" maxValue="195"/>
    </cacheField>
    <cacheField name="Total Transit" numFmtId="0">
      <sharedItems containsString="0" containsBlank="1" containsNumber="1" containsInteger="1" minValue="0" maxValue="660"/>
    </cacheField>
    <cacheField name="Total Stock " numFmtId="0">
      <sharedItems containsString="0" containsBlank="1" containsNumber="1" minValue="0" maxValue="806"/>
    </cacheField>
    <cacheField name="Sep-25 Opening" numFmtId="0">
      <sharedItems containsString="0" containsBlank="1" containsNumber="1" minValue="0" maxValue="436"/>
    </cacheField>
    <cacheField name="Purchase2" numFmtId="0">
      <sharedItems containsString="0" containsBlank="1" containsNumber="1" containsInteger="1" minValue="0" maxValue="660"/>
    </cacheField>
    <cacheField name="Primary 2" numFmtId="0">
      <sharedItems containsString="0" containsBlank="1" containsNumber="1" minValue="0" maxValue="350"/>
    </cacheField>
    <cacheField name="Sales Return2" numFmtId="0">
      <sharedItems containsString="0" containsBlank="1" containsNumber="1" containsInteger="1" minValue="0" maxValue="1"/>
    </cacheField>
    <cacheField name="SEP-Net Sales" numFmtId="43">
      <sharedItems containsSemiMixedTypes="0" containsString="0" containsNumber="1" minValue="-1" maxValue="350"/>
    </cacheField>
    <cacheField name="Closing Stock 2" numFmtId="0">
      <sharedItems containsString="0" containsBlank="1" containsNumber="1" minValue="0" maxValue="613"/>
    </cacheField>
    <cacheField name="Aug-Pending " numFmtId="0">
      <sharedItems containsString="0" containsBlank="1" containsNumber="1" containsInteger="1" minValue="0" maxValue="250"/>
    </cacheField>
    <cacheField name="New PI 111" numFmtId="0">
      <sharedItems containsString="0" containsBlank="1" containsNumber="1" containsInteger="1" minValue="25" maxValue="850"/>
    </cacheField>
    <cacheField name="Total Transit2" numFmtId="0">
      <sharedItems containsString="0" containsBlank="1" containsNumber="1" containsInteger="1" minValue="0" maxValue="1100"/>
    </cacheField>
    <cacheField name="Total Stock 2" numFmtId="0">
      <sharedItems containsString="0" containsBlank="1" containsNumber="1" minValue="0" maxValue="1100"/>
    </cacheField>
    <cacheField name="Oct-25 Opening" numFmtId="0">
      <sharedItems containsString="0" containsBlank="1" containsNumber="1" minValue="0" maxValue="613"/>
    </cacheField>
    <cacheField name="Purchase3" numFmtId="0">
      <sharedItems containsString="0" containsBlank="1" containsNumber="1" containsInteger="1" minValue="0" maxValue="250"/>
    </cacheField>
    <cacheField name="Primary 3" numFmtId="0">
      <sharedItems containsString="0" containsBlank="1" containsNumber="1" minValue="0" maxValue="140.6"/>
    </cacheField>
    <cacheField name="Sales Return3" numFmtId="0">
      <sharedItems containsString="0" containsBlank="1" containsNumber="1" minValue="0" maxValue="8.1199999999999992"/>
    </cacheField>
    <cacheField name="OCT-Net Sales" numFmtId="43">
      <sharedItems containsSemiMixedTypes="0" containsString="0" containsNumber="1" minValue="0" maxValue="140.6"/>
    </cacheField>
    <cacheField name="Closing Stock 3" numFmtId="0">
      <sharedItems containsString="0" containsBlank="1" containsNumber="1" minValue="0" maxValue="590"/>
    </cacheField>
    <cacheField name="Transit" numFmtId="0">
      <sharedItems containsString="0" containsBlank="1" containsNumber="1" containsInteger="1" minValue="0" maxValue="850"/>
    </cacheField>
    <cacheField name="Total Stock 3" numFmtId="0">
      <sharedItems containsString="0" containsBlank="1" containsNumber="1" minValue="0" maxValue="1099.72"/>
    </cacheField>
    <cacheField name="NOV-25 Opening" numFmtId="0">
      <sharedItems containsString="0" containsBlank="1" containsNumber="1" minValue="0" maxValue="590"/>
    </cacheField>
    <cacheField name="Purchase4" numFmtId="0">
      <sharedItems containsString="0" containsBlank="1" containsNumber="1" containsInteger="1" minValue="0" maxValue="625"/>
    </cacheField>
    <cacheField name="Primary 4" numFmtId="0">
      <sharedItems containsString="0" containsBlank="1" containsNumber="1" minValue="0" maxValue="349.25"/>
    </cacheField>
    <cacheField name="Sales Return4" numFmtId="0">
      <sharedItems containsString="0" containsBlank="1" containsNumber="1" minValue="0" maxValue="2.75"/>
    </cacheField>
    <cacheField name="NOV-Net Sales" numFmtId="43">
      <sharedItems containsSemiMixedTypes="0" containsString="0" containsNumber="1" minValue="0" maxValue="347.25"/>
    </cacheField>
    <cacheField name="Closing Stock 4" numFmtId="0">
      <sharedItems containsString="0" containsBlank="1" containsNumber="1" minValue="0" maxValue="762.66000000000008"/>
    </cacheField>
    <cacheField name="Transit2" numFmtId="0">
      <sharedItems containsString="0" containsBlank="1" containsNumber="1" containsInteger="1" minValue="0" maxValue="225"/>
    </cacheField>
    <cacheField name="Transit-NEW" numFmtId="0">
      <sharedItems containsString="0" containsBlank="1" containsNumber="1" containsInteger="1" minValue="0" maxValue="300"/>
    </cacheField>
    <cacheField name="Total Stock 4" numFmtId="0">
      <sharedItems containsString="0" containsBlank="1" containsNumber="1" minValue="0" maxValue="987.66000000000008"/>
    </cacheField>
    <cacheField name="DEC-25 Opening" numFmtId="43">
      <sharedItems containsSemiMixedTypes="0" containsString="0" containsNumber="1" minValue="0" maxValue="762.66000000000008"/>
    </cacheField>
    <cacheField name="Purchase5" numFmtId="43">
      <sharedItems containsSemiMixedTypes="0" containsString="0" containsNumber="1" minValue="0" maxValue="225"/>
    </cacheField>
    <cacheField name="Primary 5" numFmtId="43">
      <sharedItems containsSemiMixedTypes="0" containsString="0" containsNumber="1" minValue="0" maxValue="233"/>
    </cacheField>
    <cacheField name="Sales Return5" numFmtId="43">
      <sharedItems containsSemiMixedTypes="0" containsString="0" containsNumber="1" minValue="0" maxValue="50"/>
    </cacheField>
    <cacheField name="DEC-Net Sales" numFmtId="43">
      <sharedItems containsSemiMixedTypes="0" containsString="0" containsNumber="1" minValue="-5.33" maxValue="231"/>
    </cacheField>
    <cacheField name="Closing Stock 5" numFmtId="43">
      <sharedItems containsSemiMixedTypes="0" containsString="0" containsNumber="1" minValue="0" maxValue="981.66000000000008"/>
    </cacheField>
    <cacheField name="Transit3" numFmtId="43">
      <sharedItems containsSemiMixedTypes="0" containsString="0" containsNumber="1" containsInteger="1" minValue="0" maxValue="300"/>
    </cacheField>
    <cacheField name="Total Stock 5" numFmtId="43">
      <sharedItems containsSemiMixedTypes="0" containsString="0" containsNumber="1" minValue="0" maxValue="981.66000000000008"/>
    </cacheField>
    <cacheField name="JAN-25 Opening" numFmtId="43">
      <sharedItems containsSemiMixedTypes="0" containsString="0" containsNumber="1" minValue="0" maxValue="981.66000000000008"/>
    </cacheField>
    <cacheField name="Purchase6" numFmtId="43">
      <sharedItems containsSemiMixedTypes="0" containsString="0" containsNumber="1" containsInteger="1" minValue="0" maxValue="150"/>
    </cacheField>
    <cacheField name="Primary 6" numFmtId="43">
      <sharedItems containsSemiMixedTypes="0" containsString="0" containsNumber="1" minValue="0" maxValue="145"/>
    </cacheField>
    <cacheField name="Sales Return6" numFmtId="43">
      <sharedItems containsSemiMixedTypes="0" containsString="0" containsNumber="1" minValue="0" maxValue="10.98"/>
    </cacheField>
    <cacheField name="JAN-Net Sales" numFmtId="43">
      <sharedItems containsSemiMixedTypes="0" containsString="0" containsNumber="1" minValue="-1" maxValue="145"/>
    </cacheField>
    <cacheField name="Closing Stock 6" numFmtId="43">
      <sharedItems containsSemiMixedTypes="0" containsString="0" containsNumber="1" minValue="0" maxValue="945.38000000000011"/>
    </cacheField>
    <cacheField name="Transit4" numFmtId="43">
      <sharedItems containsSemiMixedTypes="0" containsString="0" containsNumber="1" containsInteger="1" minValue="0" maxValue="150"/>
    </cacheField>
    <cacheField name="Total Stock 6" numFmtId="43">
      <sharedItems containsSemiMixedTypes="0" containsString="0" containsNumber="1" minValue="0" maxValue="945.38000000000011"/>
    </cacheField>
    <cacheField name="FEB-25 Opening" numFmtId="43">
      <sharedItems containsSemiMixedTypes="0" containsString="0" containsNumber="1" minValue="0" maxValue="945.38000000000011"/>
    </cacheField>
    <cacheField name="Purchase7" numFmtId="43">
      <sharedItems containsSemiMixedTypes="0" containsString="0" containsNumber="1" containsInteger="1" minValue="0" maxValue="150"/>
    </cacheField>
    <cacheField name="Primary 7" numFmtId="43">
      <sharedItems containsSemiMixedTypes="0" containsString="0" containsNumber="1" minValue="0" maxValue="311.11"/>
    </cacheField>
    <cacheField name="Sales Return7" numFmtId="43">
      <sharedItems containsSemiMixedTypes="0" containsString="0" containsNumber="1" minValue="0" maxValue="33"/>
    </cacheField>
    <cacheField name="FEB-Net Sales" numFmtId="43">
      <sharedItems containsSemiMixedTypes="0" containsString="0" containsNumber="1" minValue="-20" maxValue="310.83000000000004"/>
    </cacheField>
    <cacheField name="Closing Stock 7" numFmtId="43">
      <sharedItems containsSemiMixedTypes="0" containsString="0" containsNumber="1" minValue="0" maxValue="634.55000000000007"/>
    </cacheField>
    <cacheField name="PI-174" numFmtId="43">
      <sharedItems containsSemiMixedTypes="0" containsString="0" containsNumber="1" containsInteger="1" minValue="0" maxValue="250"/>
    </cacheField>
    <cacheField name="PI-181" numFmtId="43">
      <sharedItems containsSemiMixedTypes="0" containsString="0" containsNumber="1" containsInteger="1" minValue="0" maxValue="415"/>
    </cacheField>
    <cacheField name="Total Transit3" numFmtId="43">
      <sharedItems containsSemiMixedTypes="0" containsString="0" containsNumber="1" containsInteger="1" minValue="0" maxValue="665"/>
    </cacheField>
    <cacheField name="Total Stock 7" numFmtId="43">
      <sharedItems containsSemiMixedTypes="0" containsString="0" containsNumber="1" minValue="0" maxValue="708.75"/>
    </cacheField>
    <cacheField name="1" numFmtId="0">
      <sharedItems containsNonDate="0" containsString="0" containsBlank="1" count="1">
        <m/>
      </sharedItems>
    </cacheField>
    <cacheField name="12" numFmtId="0">
      <sharedItems containsNonDate="0" containsString="0" containsBlank="1" count="1">
        <m/>
      </sharedItems>
    </cacheField>
    <cacheField name="Total Sales" numFmtId="43">
      <sharedItems containsSemiMixedTypes="0" containsString="0" containsNumber="1" minValue="0.32" maxValue="1514"/>
    </cacheField>
    <cacheField name="Total SR" numFmtId="43">
      <sharedItems containsSemiMixedTypes="0" containsString="0" containsNumber="1" minValue="0" maxValue="50.28"/>
    </cacheField>
    <cacheField name="Net Sales" numFmtId="43">
      <sharedItems containsSemiMixedTypes="0" containsString="0" containsNumber="1" minValue="0.32" maxValue="1506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PM0177"/>
    <x v="0"/>
    <x v="0"/>
    <s v="NILONS  PASTA PENNE-350GM*42"/>
    <n v="42"/>
    <n v="100"/>
    <n v="77.7"/>
    <x v="0"/>
    <n v="70"/>
    <n v="0"/>
    <n v="74.569999999999993"/>
    <n v="5"/>
    <n v="69.569999999999993"/>
    <n v="0.43000000000000682"/>
    <n v="0"/>
    <m/>
    <n v="0"/>
    <n v="0.43000000000000682"/>
    <n v="0.43000000000000682"/>
    <n v="0"/>
    <n v="0"/>
    <n v="0"/>
    <n v="0"/>
    <n v="0.43000000000000682"/>
    <n v="0"/>
    <m/>
    <n v="0"/>
    <n v="0.43000000000000682"/>
    <n v="0.43000000000000682"/>
    <n v="0"/>
    <n v="8"/>
    <n v="8"/>
    <n v="0"/>
    <n v="0.43000000000000682"/>
    <n v="0"/>
    <n v="0.43000000000000682"/>
    <n v="0.43000000000000682"/>
    <n v="0"/>
    <n v="0"/>
    <n v="0"/>
    <n v="0"/>
    <n v="0.43000000000000682"/>
    <n v="0"/>
    <n v="0"/>
    <n v="0.43000000000000682"/>
    <n v="0.43000000000000682"/>
    <n v="0"/>
    <n v="0"/>
    <n v="2"/>
    <n v="-2"/>
    <n v="2.4300000000000068"/>
    <n v="0"/>
    <n v="2.4300000000000068"/>
    <n v="2.4300000000000068"/>
    <n v="0"/>
    <n v="4"/>
    <n v="4"/>
    <n v="0"/>
    <n v="2.4300000000000068"/>
    <n v="0"/>
    <n v="2.4300000000000068"/>
    <n v="2.4300000000000068"/>
    <n v="0"/>
    <n v="0"/>
    <n v="1.83"/>
    <n v="-1.83"/>
    <n v="4.2600000000000069"/>
    <n v="0"/>
    <n v="0"/>
    <n v="0"/>
    <n v="4.2600000000000069"/>
    <x v="0"/>
    <x v="0"/>
    <n v="82.57"/>
    <n v="16.829999999999998"/>
    <n v="65.739999999999995"/>
  </r>
  <r>
    <s v="PM0171"/>
    <x v="1"/>
    <x v="1"/>
    <s v="NILONS ASSORTED MIX PICKLES 50 GM*6*30"/>
    <n v="180"/>
    <n v="25"/>
    <n v="19.43"/>
    <x v="1"/>
    <n v="50.02"/>
    <n v="0"/>
    <n v="30"/>
    <n v="0"/>
    <n v="30"/>
    <n v="20.020000000000003"/>
    <n v="0"/>
    <m/>
    <n v="0"/>
    <n v="20.020000000000003"/>
    <n v="20.020000000000003"/>
    <n v="0"/>
    <n v="5"/>
    <n v="0"/>
    <n v="5"/>
    <n v="15.020000000000003"/>
    <n v="0"/>
    <m/>
    <n v="0"/>
    <n v="15.020000000000003"/>
    <n v="15.020000000000003"/>
    <n v="0"/>
    <n v="14.78"/>
    <n v="0"/>
    <n v="14.78"/>
    <n v="0.24000000000000377"/>
    <n v="0"/>
    <n v="0.24000000000000377"/>
    <n v="0.24000000000000377"/>
    <n v="0"/>
    <n v="0.01"/>
    <n v="0"/>
    <n v="0.01"/>
    <n v="0.23000000000000376"/>
    <n v="0"/>
    <n v="0"/>
    <n v="0.23000000000000376"/>
    <n v="0.23000000000000376"/>
    <n v="0"/>
    <n v="0"/>
    <n v="5.33"/>
    <n v="-5.33"/>
    <n v="5.5600000000000041"/>
    <n v="0"/>
    <n v="5.5600000000000041"/>
    <n v="5.5600000000000041"/>
    <n v="0"/>
    <n v="0"/>
    <n v="0"/>
    <n v="0"/>
    <n v="5.5600000000000041"/>
    <n v="0"/>
    <n v="5.5600000000000041"/>
    <n v="5.5600000000000041"/>
    <n v="0"/>
    <n v="0"/>
    <n v="0"/>
    <n v="0"/>
    <n v="5.5600000000000041"/>
    <n v="0"/>
    <n v="0"/>
    <n v="0"/>
    <n v="5.5600000000000041"/>
    <x v="0"/>
    <x v="0"/>
    <n v="49.79"/>
    <n v="5.33"/>
    <n v="44.46"/>
  </r>
  <r>
    <s v="FG-1253"/>
    <x v="2"/>
    <x v="2"/>
    <s v="NILONS CHILLI PICKLE 350GM*40"/>
    <n v="40"/>
    <n v="150"/>
    <n v="116.55"/>
    <x v="2"/>
    <n v="52.78"/>
    <n v="0"/>
    <n v="34"/>
    <n v="0"/>
    <n v="34"/>
    <n v="18.78"/>
    <n v="0"/>
    <m/>
    <n v="0"/>
    <n v="18.78"/>
    <n v="18.78"/>
    <n v="0"/>
    <n v="8"/>
    <n v="0"/>
    <n v="8"/>
    <n v="10.780000000000001"/>
    <n v="0"/>
    <m/>
    <n v="0"/>
    <n v="10.780000000000001"/>
    <n v="10.780000000000001"/>
    <n v="0"/>
    <n v="1.03"/>
    <n v="0"/>
    <n v="1.03"/>
    <n v="9.7500000000000018"/>
    <n v="0"/>
    <n v="9.7500000000000018"/>
    <n v="9.7500000000000018"/>
    <n v="0"/>
    <n v="9"/>
    <n v="0"/>
    <n v="9"/>
    <n v="0.75000000000000178"/>
    <n v="0"/>
    <n v="0"/>
    <n v="0.75000000000000178"/>
    <n v="0.75000000000000178"/>
    <n v="0"/>
    <n v="1"/>
    <n v="1.93"/>
    <n v="-0.92999999999999994"/>
    <n v="1.6800000000000017"/>
    <n v="0"/>
    <n v="1.6800000000000017"/>
    <n v="1.6800000000000017"/>
    <n v="0"/>
    <n v="0"/>
    <n v="0"/>
    <n v="0"/>
    <n v="1.6800000000000017"/>
    <n v="0"/>
    <n v="1.6800000000000017"/>
    <n v="1.6800000000000017"/>
    <n v="0"/>
    <n v="0"/>
    <n v="0.03"/>
    <n v="-0.03"/>
    <n v="1.7100000000000017"/>
    <n v="0"/>
    <n v="0"/>
    <n v="0"/>
    <n v="1.7100000000000017"/>
    <x v="0"/>
    <x v="0"/>
    <n v="53.03"/>
    <n v="1.96"/>
    <n v="51.07"/>
  </r>
  <r>
    <s v="FG-0540"/>
    <x v="3"/>
    <x v="3"/>
    <s v="NILONS CHILLI PICKLE 400GM*20"/>
    <n v="20"/>
    <n v="270"/>
    <n v="209.79"/>
    <x v="3"/>
    <n v="11"/>
    <n v="0"/>
    <n v="11"/>
    <n v="0"/>
    <n v="11"/>
    <n v="0"/>
    <n v="0"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5"/>
    <n v="0.45"/>
    <n v="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25"/>
    <n v="25"/>
    <x v="0"/>
    <x v="0"/>
    <n v="11.45"/>
    <n v="0"/>
    <n v="11.45"/>
  </r>
  <r>
    <s v="FG-0965"/>
    <x v="4"/>
    <x v="4"/>
    <s v="NILONS CHILLI PICKLE 500GM*20"/>
    <n v="20"/>
    <n v="235"/>
    <n v="182.6"/>
    <x v="4"/>
    <n v="11.25"/>
    <n v="0"/>
    <n v="11"/>
    <n v="0"/>
    <n v="11"/>
    <n v="0.25"/>
    <n v="0"/>
    <m/>
    <n v="0"/>
    <n v="0.25"/>
    <n v="0.25"/>
    <n v="0"/>
    <n v="0"/>
    <n v="0"/>
    <n v="0"/>
    <n v="0.25"/>
    <n v="0"/>
    <m/>
    <n v="0"/>
    <n v="0.25"/>
    <n v="0.25"/>
    <n v="0"/>
    <n v="0.05"/>
    <n v="0"/>
    <n v="0.05"/>
    <n v="0.2"/>
    <n v="0"/>
    <n v="0.2"/>
    <n v="0.2"/>
    <n v="0"/>
    <n v="0"/>
    <n v="0"/>
    <n v="0"/>
    <n v="0.2"/>
    <n v="0"/>
    <n v="0"/>
    <n v="0.2"/>
    <n v="0.2"/>
    <n v="0"/>
    <n v="1"/>
    <n v="0.9"/>
    <n v="9.9999999999999978E-2"/>
    <n v="9.9999999999999978E-2"/>
    <n v="0"/>
    <n v="9.9999999999999978E-2"/>
    <n v="9.9999999999999978E-2"/>
    <n v="0"/>
    <n v="0"/>
    <n v="0"/>
    <n v="0"/>
    <n v="9.9999999999999978E-2"/>
    <n v="0"/>
    <n v="9.9999999999999978E-2"/>
    <n v="9.9999999999999978E-2"/>
    <n v="0"/>
    <n v="0"/>
    <n v="0"/>
    <n v="0"/>
    <n v="9.9999999999999978E-2"/>
    <n v="0"/>
    <n v="0"/>
    <n v="0"/>
    <n v="9.9999999999999978E-2"/>
    <x v="0"/>
    <x v="0"/>
    <n v="12.05"/>
    <n v="0.9"/>
    <n v="11.15"/>
  </r>
  <r>
    <s v="PM0153"/>
    <x v="5"/>
    <x v="5"/>
    <s v="NILONS CHINESE GREEN CHILLI SAUCE 180GM*40"/>
    <n v="40"/>
    <n v="110"/>
    <n v="85.47"/>
    <x v="5"/>
    <n v="0"/>
    <n v="40"/>
    <n v="28"/>
    <n v="0"/>
    <n v="28"/>
    <n v="12"/>
    <n v="0"/>
    <n v="10"/>
    <n v="10"/>
    <n v="22"/>
    <n v="12"/>
    <n v="10"/>
    <n v="11"/>
    <n v="0"/>
    <n v="11"/>
    <n v="11"/>
    <n v="0"/>
    <m/>
    <n v="0"/>
    <n v="11"/>
    <n v="11"/>
    <n v="0"/>
    <n v="4.28"/>
    <n v="0"/>
    <n v="4.28"/>
    <n v="6.72"/>
    <n v="0"/>
    <n v="6.72"/>
    <n v="6.72"/>
    <n v="0"/>
    <n v="6.03"/>
    <n v="0"/>
    <n v="6.03"/>
    <n v="0.6899999999999995"/>
    <n v="0"/>
    <n v="50"/>
    <n v="50.69"/>
    <n v="0.6899999999999995"/>
    <n v="3.4999999999999996"/>
    <n v="5.35"/>
    <n v="1.85"/>
    <n v="3.4999999999999996"/>
    <n v="0.69"/>
    <n v="50"/>
    <n v="50.69"/>
    <n v="0.69"/>
    <n v="0"/>
    <n v="1.1299999999999999"/>
    <n v="1.85"/>
    <n v="-0.7200000000000002"/>
    <n v="1.4100000000000001"/>
    <n v="50"/>
    <n v="51.41"/>
    <n v="1.4100000000000001"/>
    <n v="50"/>
    <n v="12.55"/>
    <n v="0.68"/>
    <n v="11.870000000000001"/>
    <n v="39.539999999999992"/>
    <n v="0"/>
    <n v="50"/>
    <n v="50"/>
    <n v="89.539999999999992"/>
    <x v="0"/>
    <x v="0"/>
    <n v="67.210000000000008"/>
    <n v="2.5300000000000002"/>
    <n v="64.680000000000007"/>
  </r>
  <r>
    <s v="PM0152"/>
    <x v="6"/>
    <x v="5"/>
    <s v="NILONS CHINESE RED CHILLI SAUCE 180GM*40"/>
    <n v="40"/>
    <n v="110"/>
    <n v="85.47"/>
    <x v="5"/>
    <n v="0"/>
    <n v="205"/>
    <n v="32"/>
    <n v="0"/>
    <n v="32"/>
    <n v="173"/>
    <n v="0"/>
    <n v="45"/>
    <n v="45"/>
    <n v="218"/>
    <n v="173"/>
    <n v="45"/>
    <n v="21"/>
    <n v="0"/>
    <n v="21"/>
    <n v="197"/>
    <n v="0"/>
    <m/>
    <n v="0"/>
    <n v="197"/>
    <n v="197"/>
    <n v="0"/>
    <n v="5.28"/>
    <n v="0"/>
    <n v="5.28"/>
    <n v="191.72"/>
    <n v="0"/>
    <n v="191.72"/>
    <n v="191.72"/>
    <n v="0"/>
    <n v="37.53"/>
    <n v="1.85"/>
    <n v="35.68"/>
    <n v="156.04"/>
    <n v="0"/>
    <n v="0"/>
    <n v="156.04"/>
    <n v="156.04"/>
    <n v="1.35"/>
    <n v="28.58"/>
    <n v="1.08"/>
    <n v="27.5"/>
    <n v="129.89000000000001"/>
    <n v="0"/>
    <n v="129.89000000000001"/>
    <n v="129.89000000000001"/>
    <n v="0"/>
    <n v="23"/>
    <n v="0.03"/>
    <n v="22.97"/>
    <n v="106.92000000000002"/>
    <n v="0"/>
    <n v="106.92000000000002"/>
    <n v="106.92000000000002"/>
    <n v="0"/>
    <n v="27.85"/>
    <n v="0.85"/>
    <n v="27"/>
    <n v="79.920000000000016"/>
    <n v="0"/>
    <n v="0"/>
    <n v="0"/>
    <n v="79.920000000000016"/>
    <x v="0"/>
    <x v="0"/>
    <n v="152.24"/>
    <n v="3.7800000000000002"/>
    <n v="148.46"/>
  </r>
  <r>
    <s v="PM0151"/>
    <x v="7"/>
    <x v="5"/>
    <s v="NILONS CHINESE SOYA SAUCE 180GM*40"/>
    <n v="40"/>
    <n v="110"/>
    <n v="85.47"/>
    <x v="5"/>
    <n v="0"/>
    <n v="85"/>
    <n v="17"/>
    <n v="0"/>
    <n v="17"/>
    <n v="68"/>
    <n v="0"/>
    <n v="15"/>
    <n v="15"/>
    <n v="83"/>
    <n v="68"/>
    <n v="15"/>
    <n v="10"/>
    <n v="0"/>
    <n v="10"/>
    <n v="73"/>
    <n v="0"/>
    <m/>
    <n v="0"/>
    <n v="73"/>
    <n v="73"/>
    <n v="0"/>
    <n v="4.3100000000000005"/>
    <n v="0"/>
    <n v="4.3100000000000005"/>
    <n v="68.69"/>
    <n v="0"/>
    <n v="68.69"/>
    <n v="68.69"/>
    <n v="0"/>
    <n v="16.53"/>
    <n v="0.57999999999999996"/>
    <n v="15.950000000000001"/>
    <n v="52.739999999999995"/>
    <n v="0"/>
    <n v="25"/>
    <n v="77.739999999999995"/>
    <n v="52.739999999999995"/>
    <n v="0"/>
    <n v="32.85"/>
    <n v="1.85"/>
    <n v="31"/>
    <n v="21.739999999999995"/>
    <n v="25"/>
    <n v="46.739999999999995"/>
    <n v="21.739999999999995"/>
    <n v="0"/>
    <n v="14.68"/>
    <n v="0.83"/>
    <n v="13.85"/>
    <n v="7.8899999999999952"/>
    <n v="25"/>
    <n v="32.889999999999993"/>
    <n v="7.8899999999999952"/>
    <n v="25"/>
    <n v="9.5299999999999994"/>
    <n v="0.38"/>
    <n v="9.1499999999999986"/>
    <n v="23.739999999999995"/>
    <n v="0"/>
    <n v="25"/>
    <n v="25"/>
    <n v="48.739999999999995"/>
    <x v="0"/>
    <x v="0"/>
    <n v="90.22"/>
    <n v="2.81"/>
    <n v="87.41"/>
  </r>
  <r>
    <s v="PM0150"/>
    <x v="8"/>
    <x v="6"/>
    <s v="NILONS CHINESE SOYA SAUCE 700GM*24"/>
    <n v="24"/>
    <n v="250"/>
    <n v="194.25"/>
    <x v="2"/>
    <n v="0"/>
    <n v="40"/>
    <n v="10"/>
    <n v="0"/>
    <n v="10"/>
    <n v="30"/>
    <n v="0"/>
    <n v="10"/>
    <n v="10"/>
    <n v="40"/>
    <n v="30"/>
    <n v="10"/>
    <n v="6"/>
    <n v="0"/>
    <n v="6"/>
    <n v="34"/>
    <n v="0"/>
    <m/>
    <n v="0"/>
    <n v="34"/>
    <n v="34"/>
    <n v="0"/>
    <n v="1.29"/>
    <n v="0"/>
    <n v="1.29"/>
    <n v="32.71"/>
    <n v="0"/>
    <n v="32.71"/>
    <n v="32.71"/>
    <n v="0"/>
    <n v="5.04"/>
    <n v="2.75"/>
    <n v="2.29"/>
    <n v="30.42"/>
    <n v="0"/>
    <n v="0"/>
    <n v="30.42"/>
    <n v="30.42"/>
    <n v="0"/>
    <n v="17"/>
    <n v="1"/>
    <n v="16"/>
    <n v="14.420000000000002"/>
    <n v="0"/>
    <n v="14.420000000000002"/>
    <n v="14.420000000000002"/>
    <n v="0"/>
    <n v="1"/>
    <n v="0"/>
    <n v="1"/>
    <n v="13.420000000000002"/>
    <n v="0"/>
    <n v="13.420000000000002"/>
    <n v="13.420000000000002"/>
    <n v="0"/>
    <n v="0"/>
    <n v="0"/>
    <n v="0"/>
    <n v="13.420000000000002"/>
    <n v="0"/>
    <n v="0"/>
    <n v="0"/>
    <n v="13.420000000000002"/>
    <x v="0"/>
    <x v="0"/>
    <n v="39.33"/>
    <n v="3.75"/>
    <n v="35.58"/>
  </r>
  <r>
    <s v="PM0145"/>
    <x v="9"/>
    <x v="7"/>
    <s v="NILONS CHOWMEIN MASALA 10GM*600"/>
    <n v="600"/>
    <n v="10"/>
    <n v="7.77"/>
    <x v="2"/>
    <n v="0"/>
    <n v="10"/>
    <n v="10"/>
    <n v="0"/>
    <n v="10"/>
    <n v="0"/>
    <n v="0"/>
    <m/>
    <n v="0"/>
    <n v="0"/>
    <n v="0"/>
    <n v="0"/>
    <n v="0"/>
    <n v="0"/>
    <n v="0"/>
    <n v="0"/>
    <n v="0"/>
    <n v="25"/>
    <n v="25"/>
    <n v="25"/>
    <n v="0"/>
    <n v="0"/>
    <n v="0"/>
    <n v="0"/>
    <n v="0"/>
    <n v="0"/>
    <n v="25"/>
    <n v="25"/>
    <n v="0"/>
    <n v="25"/>
    <n v="19"/>
    <n v="1"/>
    <n v="18"/>
    <n v="7"/>
    <n v="0"/>
    <n v="40"/>
    <n v="47"/>
    <n v="7"/>
    <n v="0"/>
    <n v="5"/>
    <n v="0"/>
    <n v="5"/>
    <n v="2"/>
    <n v="40"/>
    <n v="42"/>
    <n v="2"/>
    <n v="0"/>
    <n v="2"/>
    <n v="1"/>
    <n v="1"/>
    <n v="1"/>
    <n v="40"/>
    <n v="41"/>
    <n v="1"/>
    <n v="40"/>
    <n v="3"/>
    <n v="0.8"/>
    <n v="2.2000000000000002"/>
    <n v="38.799999999999997"/>
    <n v="25"/>
    <n v="0"/>
    <n v="25"/>
    <n v="63.8"/>
    <x v="0"/>
    <x v="0"/>
    <n v="37"/>
    <n v="1.8"/>
    <n v="35.200000000000003"/>
  </r>
  <r>
    <s v="PM0185"/>
    <x v="10"/>
    <x v="8"/>
    <s v="NILONS CLASSIC MIX PICKLE 5KG*4"/>
    <n v="4"/>
    <n v="800"/>
    <n v="621.6"/>
    <x v="6"/>
    <n v="0"/>
    <n v="875"/>
    <n v="439"/>
    <n v="0"/>
    <n v="439"/>
    <n v="436"/>
    <n v="175"/>
    <n v="195"/>
    <n v="370"/>
    <n v="806"/>
    <n v="436"/>
    <n v="275"/>
    <n v="98"/>
    <n v="0"/>
    <n v="98"/>
    <n v="613"/>
    <n v="95"/>
    <n v="250"/>
    <n v="345"/>
    <n v="958"/>
    <n v="613"/>
    <n v="95"/>
    <n v="118"/>
    <n v="0"/>
    <n v="118"/>
    <n v="590"/>
    <n v="250"/>
    <n v="840"/>
    <n v="590"/>
    <n v="150"/>
    <n v="349.25"/>
    <n v="2"/>
    <n v="347.25"/>
    <n v="392.75"/>
    <n v="100"/>
    <n v="200"/>
    <n v="692.75"/>
    <n v="392.75"/>
    <n v="100"/>
    <n v="233"/>
    <n v="2"/>
    <n v="231"/>
    <n v="261.75"/>
    <n v="200"/>
    <n v="461.75"/>
    <n v="261.75"/>
    <n v="150"/>
    <n v="145"/>
    <n v="0"/>
    <n v="145"/>
    <n v="266.75"/>
    <n v="50"/>
    <n v="316.75"/>
    <n v="266.75"/>
    <n v="50"/>
    <n v="276.75"/>
    <n v="3.75"/>
    <n v="273"/>
    <n v="43.75"/>
    <n v="250"/>
    <n v="415"/>
    <n v="665"/>
    <n v="708.75"/>
    <x v="0"/>
    <x v="0"/>
    <n v="1514"/>
    <n v="7.75"/>
    <n v="1506.25"/>
  </r>
  <r>
    <s v="PM0162"/>
    <x v="11"/>
    <x v="9"/>
    <s v="NILONS CUT SEWAI 130GM*130"/>
    <n v="130"/>
    <n v="50"/>
    <n v="38.85"/>
    <x v="7"/>
    <n v="20.52"/>
    <n v="240"/>
    <n v="64"/>
    <n v="0"/>
    <n v="64"/>
    <n v="196.51999999999998"/>
    <n v="0"/>
    <n v="60"/>
    <n v="60"/>
    <n v="256.52"/>
    <n v="196.51999999999998"/>
    <n v="60"/>
    <n v="9"/>
    <n v="0"/>
    <n v="9"/>
    <n v="247.51999999999998"/>
    <n v="0"/>
    <m/>
    <n v="0"/>
    <n v="247.51999999999998"/>
    <n v="247.51999999999998"/>
    <n v="0"/>
    <n v="2.02"/>
    <n v="0"/>
    <n v="2.02"/>
    <n v="245.49999999999997"/>
    <n v="0"/>
    <n v="245.49999999999997"/>
    <n v="245.49999999999997"/>
    <n v="0"/>
    <n v="9.51"/>
    <n v="0"/>
    <n v="9.51"/>
    <n v="235.98999999999998"/>
    <n v="0"/>
    <n v="0"/>
    <n v="235.98999999999998"/>
    <n v="235.98999999999998"/>
    <n v="0.12000000000000011"/>
    <n v="33.9"/>
    <n v="2.35"/>
    <n v="31.549999999999997"/>
    <n v="204.55999999999997"/>
    <n v="0"/>
    <n v="204.55999999999997"/>
    <n v="204.55999999999997"/>
    <n v="0"/>
    <n v="29.78"/>
    <n v="3.78"/>
    <n v="26"/>
    <n v="178.55999999999997"/>
    <n v="0"/>
    <n v="178.55999999999997"/>
    <n v="178.55999999999997"/>
    <n v="0"/>
    <n v="16"/>
    <n v="1.74"/>
    <n v="14.26"/>
    <n v="164.29999999999998"/>
    <n v="0"/>
    <n v="0"/>
    <n v="0"/>
    <n v="164.29999999999998"/>
    <x v="0"/>
    <x v="0"/>
    <n v="134.43"/>
    <n v="4.09"/>
    <n v="130.34"/>
  </r>
  <r>
    <s v="PM0141"/>
    <x v="12"/>
    <x v="10"/>
    <s v="NILONS DOSA MIX 200G*60"/>
    <n v="60"/>
    <n v="150"/>
    <n v="116.55"/>
    <x v="8"/>
    <n v="0"/>
    <n v="205"/>
    <n v="17"/>
    <n v="0"/>
    <n v="17"/>
    <n v="188"/>
    <n v="0"/>
    <n v="45"/>
    <n v="45"/>
    <n v="233"/>
    <n v="188"/>
    <n v="45"/>
    <n v="2"/>
    <n v="0"/>
    <n v="2"/>
    <n v="231"/>
    <n v="0"/>
    <m/>
    <n v="0"/>
    <n v="231"/>
    <n v="231"/>
    <n v="0"/>
    <n v="0.21"/>
    <n v="0"/>
    <n v="0.21"/>
    <n v="230.79"/>
    <n v="0"/>
    <n v="230.79"/>
    <n v="230.79"/>
    <n v="0"/>
    <n v="2.35"/>
    <n v="0"/>
    <n v="2.35"/>
    <n v="228.44"/>
    <n v="0"/>
    <n v="0"/>
    <n v="228.44"/>
    <n v="228.44"/>
    <n v="0"/>
    <n v="13"/>
    <n v="1.33"/>
    <n v="11.67"/>
    <n v="216.77"/>
    <n v="0"/>
    <n v="216.77"/>
    <n v="216.77"/>
    <n v="0"/>
    <n v="12"/>
    <n v="0"/>
    <n v="12"/>
    <n v="204.77"/>
    <n v="0"/>
    <n v="204.77"/>
    <n v="204.77"/>
    <n v="0"/>
    <n v="3.17"/>
    <n v="0"/>
    <n v="3.17"/>
    <n v="201.60000000000002"/>
    <n v="0"/>
    <n v="0"/>
    <n v="0"/>
    <n v="201.60000000000002"/>
    <x v="0"/>
    <x v="0"/>
    <n v="37.730000000000004"/>
    <n v="1.33"/>
    <n v="36.400000000000006"/>
  </r>
  <r>
    <s v="PM0193"/>
    <x v="13"/>
    <x v="11"/>
    <s v="NILONS GARLIC PASTE 180GM*40"/>
    <n v="40"/>
    <n v="100"/>
    <n v="77.7"/>
    <x v="9"/>
    <n v="0"/>
    <n v="80"/>
    <n v="48"/>
    <n v="0"/>
    <n v="48"/>
    <n v="32"/>
    <n v="0"/>
    <n v="20"/>
    <n v="20"/>
    <n v="52"/>
    <n v="32"/>
    <n v="20"/>
    <n v="8"/>
    <n v="0"/>
    <n v="8"/>
    <n v="44"/>
    <n v="0"/>
    <m/>
    <n v="0"/>
    <n v="44"/>
    <n v="44"/>
    <n v="0"/>
    <n v="43.41"/>
    <n v="0"/>
    <n v="43.41"/>
    <n v="0.59000000000000341"/>
    <n v="0"/>
    <n v="0.59000000000000341"/>
    <n v="0.59000000000000341"/>
    <n v="0"/>
    <n v="0.53"/>
    <n v="0"/>
    <n v="0.53"/>
    <n v="6.0000000000003384E-2"/>
    <n v="0"/>
    <n v="150"/>
    <n v="150.06"/>
    <n v="6.0000000000003384E-2"/>
    <n v="7.9999999999999849E-2"/>
    <n v="1.1599999999999999"/>
    <n v="1.08"/>
    <n v="7.9999999999999849E-2"/>
    <n v="6.0000000000003384E-2"/>
    <n v="150"/>
    <n v="150.06"/>
    <n v="6.0000000000003384E-2"/>
    <n v="100"/>
    <n v="26"/>
    <n v="1"/>
    <n v="25"/>
    <n v="75.06"/>
    <n v="50"/>
    <n v="125.06"/>
    <n v="75.06"/>
    <n v="50"/>
    <n v="62.08"/>
    <n v="0"/>
    <n v="62.08"/>
    <n v="62.980000000000004"/>
    <n v="0"/>
    <n v="100"/>
    <n v="100"/>
    <n v="162.98000000000002"/>
    <x v="0"/>
    <x v="0"/>
    <n v="163.18"/>
    <n v="1.08"/>
    <n v="162.1"/>
  </r>
  <r>
    <s v="PM0194"/>
    <x v="14"/>
    <x v="11"/>
    <s v="NILONS GINGER GARLIC PASTE 180GM*40"/>
    <n v="40"/>
    <n v="100"/>
    <n v="77.7"/>
    <x v="9"/>
    <n v="0"/>
    <n v="45"/>
    <n v="45"/>
    <n v="0"/>
    <n v="45"/>
    <n v="0"/>
    <n v="100"/>
    <n v="5"/>
    <n v="105"/>
    <n v="105"/>
    <n v="0"/>
    <n v="105"/>
    <n v="18"/>
    <n v="0"/>
    <n v="18"/>
    <n v="87"/>
    <n v="0"/>
    <m/>
    <n v="0"/>
    <n v="87"/>
    <n v="87"/>
    <n v="0"/>
    <n v="86.03"/>
    <n v="0"/>
    <n v="86.03"/>
    <n v="0.96999999999999886"/>
    <n v="250"/>
    <n v="250.97"/>
    <n v="0.96999999999999886"/>
    <n v="100"/>
    <n v="78.53"/>
    <n v="0"/>
    <n v="78.53"/>
    <n v="22.439999999999998"/>
    <n v="150"/>
    <n v="200"/>
    <n v="372.44"/>
    <n v="22.439999999999998"/>
    <n v="150"/>
    <n v="65"/>
    <n v="2"/>
    <n v="63"/>
    <n v="109.44"/>
    <n v="200"/>
    <n v="309.44"/>
    <n v="109.44"/>
    <n v="75"/>
    <n v="54"/>
    <n v="1"/>
    <n v="53"/>
    <n v="131.44"/>
    <n v="125"/>
    <n v="256.44"/>
    <n v="131.44"/>
    <n v="125"/>
    <n v="66"/>
    <n v="0"/>
    <n v="66"/>
    <n v="190.44"/>
    <n v="0"/>
    <n v="50"/>
    <n v="50"/>
    <n v="240.44"/>
    <x v="0"/>
    <x v="0"/>
    <n v="358.56"/>
    <n v="2"/>
    <n v="356.56"/>
  </r>
  <r>
    <s v="PM0191"/>
    <x v="15"/>
    <x v="11"/>
    <s v="NILONS GINGER GARLIC PASTE 25GM*800"/>
    <n v="800"/>
    <n v="10"/>
    <n v="7.77"/>
    <x v="10"/>
    <n v="0"/>
    <n v="45"/>
    <n v="22"/>
    <n v="0"/>
    <n v="22"/>
    <n v="23"/>
    <n v="50"/>
    <n v="5"/>
    <n v="55"/>
    <n v="78"/>
    <n v="23"/>
    <n v="55"/>
    <n v="2"/>
    <n v="0"/>
    <n v="2"/>
    <n v="76"/>
    <n v="0"/>
    <n v="250"/>
    <n v="250"/>
    <n v="326"/>
    <n v="76"/>
    <n v="0"/>
    <n v="3"/>
    <n v="0"/>
    <n v="3"/>
    <n v="73"/>
    <n v="0"/>
    <n v="73"/>
    <n v="73"/>
    <n v="0"/>
    <n v="10"/>
    <n v="2"/>
    <n v="8"/>
    <n v="65"/>
    <n v="0"/>
    <n v="0"/>
    <n v="65"/>
    <n v="65"/>
    <n v="0"/>
    <n v="18.64"/>
    <n v="3.35"/>
    <n v="15.290000000000001"/>
    <n v="49.71"/>
    <n v="0"/>
    <n v="49.71"/>
    <n v="49.71"/>
    <n v="0"/>
    <n v="20"/>
    <n v="0"/>
    <n v="20"/>
    <n v="29.71"/>
    <n v="0"/>
    <n v="29.71"/>
    <n v="29.71"/>
    <n v="0"/>
    <n v="5"/>
    <n v="0.86"/>
    <n v="4.1399999999999997"/>
    <n v="25.57"/>
    <n v="0"/>
    <n v="0"/>
    <n v="0"/>
    <n v="25.57"/>
    <x v="0"/>
    <x v="0"/>
    <n v="60.64"/>
    <n v="6.21"/>
    <n v="54.43"/>
  </r>
  <r>
    <s v="PM0192"/>
    <x v="16"/>
    <x v="11"/>
    <s v="NILONS GINGER PASTE 180GM*40"/>
    <n v="40"/>
    <n v="100"/>
    <n v="77.7"/>
    <x v="9"/>
    <n v="0"/>
    <n v="45"/>
    <n v="38"/>
    <n v="0"/>
    <n v="38"/>
    <n v="7"/>
    <n v="0"/>
    <n v="5"/>
    <n v="5"/>
    <n v="12"/>
    <n v="7"/>
    <n v="5"/>
    <n v="8"/>
    <n v="0"/>
    <n v="8"/>
    <n v="4"/>
    <n v="0"/>
    <n v="50"/>
    <n v="50"/>
    <n v="54"/>
    <n v="4"/>
    <n v="0"/>
    <n v="3.13"/>
    <n v="0"/>
    <n v="3.13"/>
    <n v="0.87000000000000011"/>
    <n v="50"/>
    <n v="50.87"/>
    <n v="0.87000000000000011"/>
    <n v="25"/>
    <n v="24.78"/>
    <n v="0"/>
    <n v="24.78"/>
    <n v="1.0899999999999999"/>
    <n v="25"/>
    <n v="150"/>
    <n v="176.09"/>
    <n v="1.0899999999999999"/>
    <n v="25"/>
    <n v="25.33"/>
    <n v="1.33"/>
    <n v="24"/>
    <n v="2.0900000000000016"/>
    <n v="150"/>
    <n v="152.09"/>
    <n v="2.0900000000000016"/>
    <n v="75"/>
    <n v="26"/>
    <n v="2"/>
    <n v="24"/>
    <n v="53.09"/>
    <n v="75"/>
    <n v="128.09"/>
    <n v="53.09"/>
    <n v="75"/>
    <n v="60"/>
    <n v="0"/>
    <n v="60"/>
    <n v="68.09"/>
    <n v="0"/>
    <n v="100"/>
    <n v="100"/>
    <n v="168.09"/>
    <x v="0"/>
    <x v="0"/>
    <n v="159.24"/>
    <n v="1.33"/>
    <n v="157.91"/>
  </r>
  <r>
    <s v="PM0184"/>
    <x v="17"/>
    <x v="12"/>
    <s v="NILONS GODKERI PICKLE 475GM*20"/>
    <n v="20"/>
    <n v="335"/>
    <n v="260.3"/>
    <x v="11"/>
    <n v="0"/>
    <n v="90"/>
    <n v="72"/>
    <n v="0"/>
    <n v="72"/>
    <n v="18"/>
    <n v="225"/>
    <n v="10"/>
    <n v="235"/>
    <n v="253"/>
    <n v="18"/>
    <n v="110"/>
    <n v="47.6"/>
    <n v="0"/>
    <n v="47.6"/>
    <n v="80.400000000000006"/>
    <n v="125"/>
    <n v="125"/>
    <n v="250"/>
    <n v="330.4"/>
    <n v="80.400000000000006"/>
    <n v="125"/>
    <n v="5.4"/>
    <n v="0"/>
    <n v="5.4"/>
    <n v="200"/>
    <n v="125"/>
    <n v="325"/>
    <n v="200"/>
    <n v="75"/>
    <n v="59.05"/>
    <n v="0"/>
    <n v="59.05"/>
    <n v="215.95"/>
    <n v="50"/>
    <n v="0"/>
    <n v="265.95"/>
    <n v="215.95"/>
    <n v="50"/>
    <n v="47.7"/>
    <n v="3.7"/>
    <n v="44"/>
    <n v="221.95"/>
    <n v="0"/>
    <n v="221.95"/>
    <n v="221.95"/>
    <n v="0"/>
    <n v="33.25"/>
    <n v="1"/>
    <n v="32.25"/>
    <n v="189.7"/>
    <n v="0"/>
    <n v="189.7"/>
    <n v="189.7"/>
    <n v="0"/>
    <n v="30"/>
    <n v="0"/>
    <n v="30"/>
    <n v="159.69999999999999"/>
    <n v="0"/>
    <n v="0"/>
    <n v="0"/>
    <n v="159.69999999999999"/>
    <x v="0"/>
    <x v="0"/>
    <n v="261.75"/>
    <n v="3.7"/>
    <n v="258.05"/>
  </r>
  <r>
    <s v="PM0195"/>
    <x v="18"/>
    <x v="13"/>
    <s v="NILONS GULAB JAMUN MIX 175GM*60"/>
    <n v="60"/>
    <n v="195"/>
    <n v="151.52000000000001"/>
    <x v="12"/>
    <n v="0"/>
    <n v="215"/>
    <n v="48"/>
    <n v="0"/>
    <n v="48"/>
    <n v="167"/>
    <n v="25"/>
    <n v="35"/>
    <n v="60"/>
    <n v="227"/>
    <n v="167"/>
    <n v="60"/>
    <n v="19"/>
    <n v="0"/>
    <n v="19"/>
    <n v="208"/>
    <n v="0"/>
    <m/>
    <n v="0"/>
    <n v="208"/>
    <n v="208"/>
    <n v="0"/>
    <n v="46.099999999999994"/>
    <n v="0"/>
    <n v="46.099999999999994"/>
    <n v="161.9"/>
    <n v="0"/>
    <n v="161.9"/>
    <n v="161.9"/>
    <n v="0"/>
    <n v="19.02"/>
    <n v="0"/>
    <n v="19.02"/>
    <n v="142.88"/>
    <n v="0"/>
    <n v="0"/>
    <n v="142.88"/>
    <n v="142.88"/>
    <n v="0"/>
    <n v="23.75"/>
    <n v="1.41"/>
    <n v="22.34"/>
    <n v="120.53999999999999"/>
    <n v="0"/>
    <n v="120.53999999999999"/>
    <n v="120.53999999999999"/>
    <n v="0"/>
    <n v="24.63"/>
    <n v="1.55"/>
    <n v="23.08"/>
    <n v="97.46"/>
    <n v="0"/>
    <n v="97.46"/>
    <n v="97.46"/>
    <n v="0"/>
    <n v="20"/>
    <n v="1"/>
    <n v="19"/>
    <n v="78.459999999999994"/>
    <n v="0"/>
    <n v="0"/>
    <n v="0"/>
    <n v="78.459999999999994"/>
    <x v="0"/>
    <x v="0"/>
    <n v="175.87"/>
    <n v="2.41"/>
    <n v="173.46"/>
  </r>
  <r>
    <s v="FG-2465"/>
    <x v="19"/>
    <x v="13"/>
    <s v="NILONS GULABJAMUN MIX 500GM*30"/>
    <n v="30"/>
    <n v="425"/>
    <n v="330.23"/>
    <x v="13"/>
    <n v="12.67"/>
    <n v="40"/>
    <n v="40"/>
    <n v="0"/>
    <n v="40"/>
    <n v="12.670000000000002"/>
    <n v="25"/>
    <n v="10"/>
    <n v="35"/>
    <n v="47.67"/>
    <n v="12.670000000000002"/>
    <n v="35"/>
    <n v="13"/>
    <n v="0"/>
    <n v="13"/>
    <n v="34.67"/>
    <n v="0"/>
    <n v="90"/>
    <n v="90"/>
    <n v="124.67"/>
    <n v="34.67"/>
    <n v="0"/>
    <n v="18.03"/>
    <n v="0"/>
    <n v="18.03"/>
    <n v="16.64"/>
    <n v="90"/>
    <n v="106.64"/>
    <n v="16.64"/>
    <n v="45"/>
    <n v="42.03"/>
    <n v="0"/>
    <n v="42.03"/>
    <n v="19.61"/>
    <n v="45"/>
    <n v="100"/>
    <n v="164.61"/>
    <n v="19.61"/>
    <n v="45"/>
    <n v="37.700000000000003"/>
    <n v="1.73"/>
    <n v="35.970000000000006"/>
    <n v="28.639999999999997"/>
    <n v="100"/>
    <n v="128.63999999999999"/>
    <n v="28.639999999999997"/>
    <n v="0"/>
    <n v="13"/>
    <n v="0"/>
    <n v="13"/>
    <n v="15.639999999999997"/>
    <n v="100"/>
    <n v="115.64"/>
    <n v="15.639999999999997"/>
    <n v="100"/>
    <n v="93"/>
    <n v="0"/>
    <n v="93"/>
    <n v="22.64"/>
    <n v="0"/>
    <n v="0"/>
    <n v="0"/>
    <n v="22.64"/>
    <x v="0"/>
    <x v="0"/>
    <n v="243.76"/>
    <n v="1.73"/>
    <n v="242.03"/>
  </r>
  <r>
    <s v="PM0196"/>
    <x v="20"/>
    <x v="14"/>
    <s v="NILONS IDLI MIX 200GM*60"/>
    <n v="60"/>
    <n v="150"/>
    <n v="116.55"/>
    <x v="8"/>
    <n v="0"/>
    <n v="40"/>
    <n v="19"/>
    <n v="0"/>
    <n v="19"/>
    <n v="21"/>
    <n v="50"/>
    <n v="10"/>
    <n v="60"/>
    <n v="81"/>
    <n v="21"/>
    <n v="35"/>
    <n v="12"/>
    <n v="0"/>
    <n v="12"/>
    <n v="44"/>
    <n v="25"/>
    <m/>
    <n v="25"/>
    <n v="69"/>
    <n v="44"/>
    <n v="25"/>
    <n v="2.12"/>
    <n v="0"/>
    <n v="2.12"/>
    <n v="66.88"/>
    <n v="0"/>
    <n v="66.88"/>
    <n v="66.88"/>
    <n v="0"/>
    <n v="1.52"/>
    <n v="0"/>
    <n v="1.52"/>
    <n v="65.36"/>
    <n v="0"/>
    <n v="0"/>
    <n v="65.36"/>
    <n v="65.36"/>
    <n v="0"/>
    <n v="18"/>
    <n v="1.57"/>
    <n v="16.43"/>
    <n v="48.93"/>
    <n v="0"/>
    <n v="48.93"/>
    <n v="48.93"/>
    <n v="0"/>
    <n v="16"/>
    <n v="2"/>
    <n v="14"/>
    <n v="34.93"/>
    <n v="0"/>
    <n v="34.93"/>
    <n v="34.93"/>
    <n v="0"/>
    <n v="7.17"/>
    <n v="0"/>
    <n v="7.17"/>
    <n v="27.759999999999998"/>
    <n v="0"/>
    <n v="0"/>
    <n v="0"/>
    <n v="27.759999999999998"/>
    <x v="0"/>
    <x v="0"/>
    <n v="59.81"/>
    <n v="1.57"/>
    <n v="58.24"/>
  </r>
  <r>
    <s v="PM0140"/>
    <x v="21"/>
    <x v="15"/>
    <s v="NILONS KHAMAN DHOKLA MIX 200G*60"/>
    <n v="60"/>
    <n v="150"/>
    <n v="116.55"/>
    <x v="8"/>
    <n v="0"/>
    <n v="40"/>
    <n v="12"/>
    <n v="0"/>
    <n v="12"/>
    <n v="28"/>
    <n v="0"/>
    <n v="10"/>
    <n v="10"/>
    <n v="38"/>
    <n v="28"/>
    <n v="10"/>
    <n v="2"/>
    <n v="0"/>
    <n v="2"/>
    <n v="36"/>
    <n v="0"/>
    <m/>
    <n v="0"/>
    <n v="36"/>
    <n v="36"/>
    <n v="0"/>
    <n v="3.12"/>
    <n v="0"/>
    <n v="3.12"/>
    <n v="32.880000000000003"/>
    <n v="0"/>
    <n v="32.880000000000003"/>
    <n v="32.880000000000003"/>
    <n v="0"/>
    <n v="1.19"/>
    <n v="0"/>
    <n v="1.19"/>
    <n v="31.69"/>
    <n v="0"/>
    <n v="0"/>
    <n v="31.69"/>
    <n v="31.69"/>
    <n v="0"/>
    <n v="12"/>
    <n v="2"/>
    <n v="10"/>
    <n v="21.69"/>
    <n v="0"/>
    <n v="21.69"/>
    <n v="21.69"/>
    <n v="0"/>
    <n v="10"/>
    <n v="2"/>
    <n v="8"/>
    <n v="13.690000000000001"/>
    <n v="0"/>
    <n v="13.690000000000001"/>
    <n v="13.690000000000001"/>
    <n v="0"/>
    <n v="0"/>
    <n v="0"/>
    <n v="0"/>
    <n v="13.690000000000001"/>
    <n v="0"/>
    <n v="0"/>
    <n v="0"/>
    <n v="13.690000000000001"/>
    <x v="0"/>
    <x v="0"/>
    <n v="30.310000000000002"/>
    <n v="2"/>
    <n v="28.310000000000002"/>
  </r>
  <r>
    <s v="PM0159"/>
    <x v="2"/>
    <x v="2"/>
    <s v="NILONS KHANA KHAZANA CHILLI PICKLE 350GM*40"/>
    <n v="40"/>
    <n v="150"/>
    <n v="116.55"/>
    <x v="2"/>
    <n v="0"/>
    <n v="50"/>
    <n v="6"/>
    <n v="0"/>
    <n v="6"/>
    <n v="44"/>
    <n v="0"/>
    <m/>
    <n v="0"/>
    <n v="44"/>
    <n v="44"/>
    <n v="0"/>
    <n v="0"/>
    <n v="0"/>
    <n v="0"/>
    <n v="44"/>
    <n v="0"/>
    <m/>
    <n v="0"/>
    <n v="44"/>
    <n v="44"/>
    <n v="0"/>
    <n v="7.16"/>
    <n v="0"/>
    <n v="7.16"/>
    <n v="36.840000000000003"/>
    <n v="0"/>
    <n v="36.840000000000003"/>
    <n v="36.840000000000003"/>
    <n v="0"/>
    <n v="13.53"/>
    <n v="0"/>
    <n v="13.53"/>
    <n v="23.310000000000002"/>
    <n v="0"/>
    <n v="25"/>
    <n v="48.31"/>
    <n v="23.310000000000002"/>
    <n v="0"/>
    <n v="17.68"/>
    <n v="0.68"/>
    <n v="17"/>
    <n v="6.3100000000000023"/>
    <n v="25"/>
    <n v="31.310000000000002"/>
    <n v="6.3100000000000023"/>
    <n v="0"/>
    <n v="3.93"/>
    <n v="2.2799999999999998"/>
    <n v="1.6500000000000004"/>
    <n v="4.6600000000000019"/>
    <n v="25"/>
    <n v="29.660000000000004"/>
    <n v="4.6600000000000019"/>
    <n v="25"/>
    <n v="25.1"/>
    <n v="0"/>
    <n v="25.1"/>
    <n v="4.5600000000000023"/>
    <n v="60"/>
    <n v="50"/>
    <n v="110"/>
    <n v="114.56"/>
    <x v="0"/>
    <x v="0"/>
    <n v="69.47"/>
    <n v="0.68"/>
    <n v="68.789999999999992"/>
  </r>
  <r>
    <s v="PM0186"/>
    <x v="4"/>
    <x v="4"/>
    <s v="NILONS KHANA KHAZANA CHILLI PICKLE 500GM*20"/>
    <n v="20"/>
    <n v="235"/>
    <n v="182.6"/>
    <x v="4"/>
    <n v="0"/>
    <n v="45"/>
    <n v="17"/>
    <n v="0"/>
    <n v="17"/>
    <n v="28"/>
    <n v="0"/>
    <n v="5"/>
    <n v="5"/>
    <n v="33"/>
    <n v="28"/>
    <n v="5"/>
    <n v="7"/>
    <n v="0"/>
    <n v="7"/>
    <n v="26"/>
    <n v="0"/>
    <m/>
    <n v="0"/>
    <n v="26"/>
    <n v="26"/>
    <n v="0"/>
    <n v="7.05"/>
    <n v="0"/>
    <n v="7.05"/>
    <n v="18.95"/>
    <n v="0"/>
    <n v="18.95"/>
    <n v="18.95"/>
    <n v="0"/>
    <n v="16.05"/>
    <n v="0"/>
    <n v="16.05"/>
    <n v="2.8999999999999986"/>
    <n v="0"/>
    <n v="25"/>
    <n v="27.9"/>
    <n v="2.8999999999999986"/>
    <n v="0"/>
    <n v="2"/>
    <n v="0"/>
    <n v="2"/>
    <n v="0.89999999999999858"/>
    <n v="25"/>
    <n v="25.9"/>
    <n v="0.89999999999999858"/>
    <n v="0"/>
    <n v="0"/>
    <n v="0.1"/>
    <n v="-0.1"/>
    <n v="0.99999999999999856"/>
    <n v="25"/>
    <n v="26"/>
    <n v="0.99999999999999856"/>
    <n v="25"/>
    <n v="15"/>
    <n v="0"/>
    <n v="15"/>
    <n v="11"/>
    <n v="25"/>
    <n v="50"/>
    <n v="75"/>
    <n v="86"/>
    <x v="0"/>
    <x v="0"/>
    <n v="64.099999999999994"/>
    <n v="0"/>
    <n v="64.099999999999994"/>
  </r>
  <r>
    <s v="PM0160"/>
    <x v="22"/>
    <x v="2"/>
    <s v="NILONS KHANA KHAZANA MANGO PICKLE 350GM*40"/>
    <n v="40"/>
    <n v="150"/>
    <n v="116.55"/>
    <x v="2"/>
    <n v="0"/>
    <n v="60"/>
    <n v="31"/>
    <n v="0"/>
    <n v="31"/>
    <n v="29"/>
    <n v="17"/>
    <n v="15"/>
    <n v="32"/>
    <n v="61"/>
    <n v="29"/>
    <n v="32"/>
    <n v="9"/>
    <n v="0"/>
    <n v="9"/>
    <n v="52"/>
    <n v="0"/>
    <m/>
    <n v="0"/>
    <n v="52"/>
    <n v="52"/>
    <n v="0"/>
    <n v="18.16"/>
    <n v="0"/>
    <n v="18.16"/>
    <n v="33.840000000000003"/>
    <n v="0"/>
    <n v="33.840000000000003"/>
    <n v="33.840000000000003"/>
    <n v="0"/>
    <n v="31.53"/>
    <n v="0"/>
    <n v="31.53"/>
    <n v="2.3100000000000023"/>
    <n v="0"/>
    <n v="50"/>
    <n v="52.31"/>
    <n v="2.3100000000000023"/>
    <n v="0"/>
    <n v="3.3"/>
    <n v="1.65"/>
    <n v="1.65"/>
    <n v="0.66000000000000236"/>
    <n v="50"/>
    <n v="50.660000000000004"/>
    <n v="0.66000000000000236"/>
    <n v="50"/>
    <n v="26.83"/>
    <n v="1.83"/>
    <n v="25"/>
    <n v="25.660000000000004"/>
    <n v="0"/>
    <n v="25.660000000000004"/>
    <n v="25.660000000000004"/>
    <n v="0"/>
    <n v="16.3"/>
    <n v="0"/>
    <n v="16.3"/>
    <n v="9.360000000000003"/>
    <n v="100"/>
    <n v="100"/>
    <n v="200"/>
    <n v="209.36"/>
    <x v="0"/>
    <x v="0"/>
    <n v="109.28999999999999"/>
    <n v="1.65"/>
    <n v="107.63999999999999"/>
  </r>
  <r>
    <s v="PM0187"/>
    <x v="23"/>
    <x v="4"/>
    <s v="NILONS KHANA KHAZANA MANGO PICKLE 500GM*20"/>
    <n v="20"/>
    <n v="235"/>
    <n v="182.6"/>
    <x v="4"/>
    <n v="0"/>
    <n v="170"/>
    <n v="25"/>
    <n v="0"/>
    <n v="25"/>
    <n v="145"/>
    <n v="0"/>
    <n v="30"/>
    <n v="30"/>
    <n v="175"/>
    <n v="145"/>
    <n v="30"/>
    <n v="17"/>
    <n v="0"/>
    <n v="17"/>
    <n v="158"/>
    <n v="0"/>
    <m/>
    <n v="0"/>
    <n v="158"/>
    <n v="158"/>
    <n v="0"/>
    <n v="16.05"/>
    <n v="0"/>
    <n v="16.05"/>
    <n v="141.94999999999999"/>
    <n v="0"/>
    <n v="141.94999999999999"/>
    <n v="141.94999999999999"/>
    <n v="0"/>
    <n v="69.05"/>
    <n v="0"/>
    <n v="69.05"/>
    <n v="72.899999999999991"/>
    <n v="0"/>
    <n v="0"/>
    <n v="72.899999999999991"/>
    <n v="72.899999999999991"/>
    <n v="0"/>
    <n v="53.2"/>
    <n v="0"/>
    <n v="53.2"/>
    <n v="19.699999999999989"/>
    <n v="0"/>
    <n v="19.699999999999989"/>
    <n v="19.699999999999989"/>
    <n v="0"/>
    <n v="19"/>
    <n v="1"/>
    <n v="18"/>
    <n v="1.6999999999999886"/>
    <n v="0"/>
    <n v="1.6999999999999886"/>
    <n v="1.6999999999999886"/>
    <n v="0"/>
    <n v="1"/>
    <n v="0"/>
    <n v="1"/>
    <n v="0.69999999999998863"/>
    <n v="75"/>
    <n v="100"/>
    <n v="175"/>
    <n v="175.7"/>
    <x v="0"/>
    <x v="0"/>
    <n v="181.3"/>
    <n v="0"/>
    <n v="181.3"/>
  </r>
  <r>
    <s v="PM0189"/>
    <x v="24"/>
    <x v="16"/>
    <s v="NILONS KHANA KHAZANA MANGO PICKLE 900GM*15"/>
    <n v="15"/>
    <n v="350"/>
    <n v="271.95"/>
    <x v="14"/>
    <n v="0"/>
    <n v="170"/>
    <n v="46"/>
    <n v="0"/>
    <n v="46"/>
    <n v="124"/>
    <n v="0"/>
    <n v="30"/>
    <n v="30"/>
    <n v="154"/>
    <n v="124"/>
    <n v="30"/>
    <n v="11"/>
    <n v="0"/>
    <n v="11"/>
    <n v="143"/>
    <n v="0"/>
    <m/>
    <n v="0"/>
    <n v="143"/>
    <n v="143"/>
    <n v="0"/>
    <n v="21.07"/>
    <n v="0"/>
    <n v="21.07"/>
    <n v="121.93"/>
    <n v="0"/>
    <n v="121.93"/>
    <n v="121.93"/>
    <n v="0"/>
    <n v="14.07"/>
    <n v="0"/>
    <n v="14.07"/>
    <n v="107.86000000000001"/>
    <n v="0"/>
    <n v="0"/>
    <n v="107.86000000000001"/>
    <n v="107.86000000000001"/>
    <n v="0"/>
    <n v="37.67"/>
    <n v="1.6"/>
    <n v="36.07"/>
    <n v="71.790000000000006"/>
    <n v="0"/>
    <n v="71.790000000000006"/>
    <n v="71.790000000000006"/>
    <n v="0"/>
    <n v="30.87"/>
    <n v="4.07"/>
    <n v="26.8"/>
    <n v="44.99"/>
    <n v="0"/>
    <n v="44.99"/>
    <n v="44.99"/>
    <n v="0"/>
    <n v="20"/>
    <n v="0"/>
    <n v="20"/>
    <n v="24.990000000000002"/>
    <n v="0"/>
    <n v="100"/>
    <n v="100"/>
    <n v="124.99000000000001"/>
    <x v="0"/>
    <x v="0"/>
    <n v="149.81"/>
    <n v="1.6"/>
    <n v="148.21"/>
  </r>
  <r>
    <s v="PM0161"/>
    <x v="25"/>
    <x v="2"/>
    <s v="NILONS KHANA KHAZANA MIX PICKLE 350GM*40"/>
    <n v="40"/>
    <n v="150"/>
    <n v="116.55"/>
    <x v="2"/>
    <n v="0"/>
    <n v="125"/>
    <n v="73"/>
    <n v="0"/>
    <n v="73"/>
    <n v="52"/>
    <n v="32"/>
    <n v="25"/>
    <n v="57"/>
    <n v="109"/>
    <n v="52"/>
    <n v="45"/>
    <n v="29"/>
    <n v="0"/>
    <n v="29"/>
    <n v="68"/>
    <n v="12"/>
    <n v="75"/>
    <n v="87"/>
    <n v="155"/>
    <n v="68"/>
    <n v="12"/>
    <n v="30.16"/>
    <n v="0"/>
    <n v="30.16"/>
    <n v="49.84"/>
    <n v="75"/>
    <n v="124.84"/>
    <n v="49.84"/>
    <n v="25"/>
    <n v="50.54"/>
    <n v="0"/>
    <n v="50.54"/>
    <n v="24.300000000000004"/>
    <n v="50"/>
    <n v="0"/>
    <n v="74.300000000000011"/>
    <n v="24.300000000000004"/>
    <n v="50"/>
    <n v="61.35"/>
    <n v="2.5499999999999998"/>
    <n v="58.800000000000004"/>
    <n v="15.500000000000011"/>
    <n v="0"/>
    <n v="15.500000000000011"/>
    <n v="15.500000000000011"/>
    <n v="0"/>
    <n v="19.23"/>
    <n v="4.13"/>
    <n v="15.100000000000001"/>
    <n v="0.40000000000001013"/>
    <n v="0"/>
    <n v="0.40000000000001013"/>
    <n v="0.40000000000001013"/>
    <n v="0"/>
    <n v="0"/>
    <n v="0.13"/>
    <n v="-0.13"/>
    <n v="0.53000000000001013"/>
    <n v="100"/>
    <n v="100"/>
    <n v="200"/>
    <n v="200.53"/>
    <x v="0"/>
    <x v="0"/>
    <n v="244.04999999999998"/>
    <n v="2.6799999999999997"/>
    <n v="241.36999999999998"/>
  </r>
  <r>
    <s v="PM0188"/>
    <x v="26"/>
    <x v="4"/>
    <s v="NILONS KHANA KHAZANA MIX PICKLE 500GM*20"/>
    <n v="20"/>
    <n v="235"/>
    <n v="182.6"/>
    <x v="4"/>
    <n v="0"/>
    <n v="250"/>
    <n v="75"/>
    <n v="0"/>
    <n v="75"/>
    <n v="175"/>
    <n v="0"/>
    <n v="50"/>
    <n v="50"/>
    <n v="225"/>
    <n v="175"/>
    <n v="50"/>
    <n v="29"/>
    <n v="0"/>
    <n v="29"/>
    <n v="196"/>
    <n v="0"/>
    <m/>
    <n v="0"/>
    <n v="196"/>
    <n v="196"/>
    <n v="0"/>
    <n v="52.05"/>
    <n v="0"/>
    <n v="52.05"/>
    <n v="143.94999999999999"/>
    <n v="0"/>
    <n v="143.94999999999999"/>
    <n v="143.94999999999999"/>
    <n v="0"/>
    <n v="94.05"/>
    <n v="0"/>
    <n v="94.05"/>
    <n v="49.899999999999991"/>
    <n v="0"/>
    <n v="0"/>
    <n v="49.899999999999991"/>
    <n v="49.899999999999991"/>
    <n v="0"/>
    <n v="50.35"/>
    <n v="3.35"/>
    <n v="47"/>
    <n v="2.8999999999999901"/>
    <n v="0"/>
    <n v="2.8999999999999901"/>
    <n v="2.8999999999999901"/>
    <n v="0"/>
    <n v="6"/>
    <n v="3.85"/>
    <n v="2.15"/>
    <n v="0.74999999999999023"/>
    <n v="0"/>
    <n v="0.74999999999999023"/>
    <n v="0.74999999999999023"/>
    <n v="0"/>
    <n v="0"/>
    <n v="0"/>
    <n v="0"/>
    <n v="0.74999999999999023"/>
    <n v="75"/>
    <n v="125"/>
    <n v="200"/>
    <n v="200.75"/>
    <x v="0"/>
    <x v="0"/>
    <n v="300.45000000000005"/>
    <n v="3.35"/>
    <n v="297.10000000000002"/>
  </r>
  <r>
    <s v="PM0190"/>
    <x v="27"/>
    <x v="16"/>
    <s v="NILONS KHANA KHAZANA MIX PICKLE 900GM*15"/>
    <n v="15"/>
    <n v="350"/>
    <n v="271.95"/>
    <x v="14"/>
    <n v="0"/>
    <n v="280"/>
    <n v="96"/>
    <n v="0"/>
    <n v="96"/>
    <n v="184"/>
    <n v="0"/>
    <n v="70"/>
    <n v="70"/>
    <n v="254"/>
    <n v="184"/>
    <n v="70"/>
    <n v="24"/>
    <n v="0"/>
    <n v="24"/>
    <n v="230"/>
    <n v="0"/>
    <m/>
    <n v="0"/>
    <n v="230"/>
    <n v="230"/>
    <n v="0"/>
    <n v="73.069999999999993"/>
    <n v="0"/>
    <n v="73.069999999999993"/>
    <n v="156.93"/>
    <n v="0"/>
    <n v="156.93"/>
    <n v="156.93"/>
    <n v="0"/>
    <n v="57.07"/>
    <n v="0"/>
    <n v="57.07"/>
    <n v="99.860000000000014"/>
    <n v="0"/>
    <n v="0"/>
    <n v="99.860000000000014"/>
    <n v="99.860000000000014"/>
    <n v="0"/>
    <n v="38"/>
    <n v="1.87"/>
    <n v="36.130000000000003"/>
    <n v="63.730000000000011"/>
    <n v="0"/>
    <n v="63.730000000000011"/>
    <n v="63.730000000000011"/>
    <n v="0"/>
    <n v="44.73"/>
    <n v="3.8"/>
    <n v="40.93"/>
    <n v="22.800000000000015"/>
    <n v="0"/>
    <n v="22.800000000000015"/>
    <n v="22.800000000000015"/>
    <n v="0"/>
    <n v="34"/>
    <n v="14"/>
    <n v="20"/>
    <n v="2.8000000000000149"/>
    <n v="0"/>
    <n v="100"/>
    <n v="100"/>
    <n v="102.80000000000001"/>
    <x v="0"/>
    <x v="0"/>
    <n v="322.14"/>
    <n v="15.870000000000001"/>
    <n v="306.27"/>
  </r>
  <r>
    <s v="FG-0538"/>
    <x v="28"/>
    <x v="3"/>
    <s v="NILONS LIME PICKLE 400GM*20"/>
    <n v="20"/>
    <n v="275"/>
    <n v="213.68"/>
    <x v="15"/>
    <n v="2.5"/>
    <n v="0"/>
    <n v="2.0499999999999998"/>
    <n v="0"/>
    <n v="2.0499999999999998"/>
    <n v="0.45000000000000018"/>
    <n v="0"/>
    <m/>
    <n v="0"/>
    <n v="0.45000000000000018"/>
    <n v="0.45000000000000018"/>
    <n v="0"/>
    <n v="0"/>
    <n v="0"/>
    <n v="0"/>
    <n v="0.45000000000000018"/>
    <n v="0"/>
    <m/>
    <n v="0"/>
    <n v="0.45000000000000018"/>
    <n v="0.45000000000000018"/>
    <n v="0"/>
    <n v="0.05"/>
    <n v="0"/>
    <n v="0.05"/>
    <n v="0.40000000000000019"/>
    <n v="0"/>
    <n v="0.40000000000000019"/>
    <n v="0.40000000000000019"/>
    <n v="0"/>
    <n v="0"/>
    <n v="0"/>
    <n v="0"/>
    <n v="0.40000000000000019"/>
    <n v="0"/>
    <n v="0"/>
    <n v="0.40000000000000019"/>
    <n v="0.40000000000000019"/>
    <n v="2.7"/>
    <n v="2.7"/>
    <n v="0"/>
    <n v="2.7"/>
    <n v="0.40000000000000036"/>
    <n v="0"/>
    <n v="0.40000000000000036"/>
    <n v="0.40000000000000036"/>
    <n v="0"/>
    <n v="0"/>
    <n v="0"/>
    <n v="0"/>
    <n v="0.40000000000000036"/>
    <n v="0"/>
    <n v="0.40000000000000036"/>
    <n v="0.40000000000000036"/>
    <n v="0"/>
    <n v="0"/>
    <n v="0"/>
    <n v="0"/>
    <n v="0.40000000000000036"/>
    <n v="50"/>
    <n v="0"/>
    <n v="50"/>
    <n v="50.4"/>
    <x v="0"/>
    <x v="0"/>
    <n v="4.8"/>
    <n v="0"/>
    <n v="4.8"/>
  </r>
  <r>
    <s v="PM0144"/>
    <x v="29"/>
    <x v="7"/>
    <s v="NILONS MANCHURIAN MASALA 20GM*240"/>
    <n v="240"/>
    <n v="20"/>
    <n v="15.54"/>
    <x v="16"/>
    <n v="0"/>
    <n v="25"/>
    <n v="6"/>
    <n v="0"/>
    <n v="6"/>
    <n v="19"/>
    <n v="0"/>
    <m/>
    <n v="0"/>
    <n v="19"/>
    <n v="19"/>
    <n v="0"/>
    <n v="4"/>
    <n v="0"/>
    <n v="4"/>
    <n v="15"/>
    <n v="0"/>
    <m/>
    <n v="0"/>
    <n v="15"/>
    <n v="15"/>
    <n v="0"/>
    <n v="0"/>
    <n v="0"/>
    <n v="0"/>
    <n v="15"/>
    <n v="0"/>
    <n v="15"/>
    <n v="15"/>
    <n v="0"/>
    <n v="11"/>
    <n v="0"/>
    <n v="11"/>
    <n v="4"/>
    <n v="0"/>
    <n v="0"/>
    <n v="4"/>
    <n v="4"/>
    <n v="0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n v="25"/>
    <x v="0"/>
    <x v="0"/>
    <n v="26"/>
    <n v="1"/>
    <n v="25"/>
  </r>
  <r>
    <s v="FG-1251"/>
    <x v="22"/>
    <x v="2"/>
    <s v="NILONS MANGO PICKLE 350GM*40"/>
    <n v="40"/>
    <n v="150"/>
    <n v="116.55"/>
    <x v="2"/>
    <n v="17.03"/>
    <n v="0"/>
    <n v="17"/>
    <n v="0"/>
    <n v="17"/>
    <n v="3.0000000000001137E-2"/>
    <n v="0"/>
    <m/>
    <n v="0"/>
    <n v="3.0000000000001137E-2"/>
    <n v="3.0000000000001137E-2"/>
    <n v="0"/>
    <n v="0"/>
    <n v="0"/>
    <n v="0"/>
    <n v="3.0000000000001137E-2"/>
    <n v="0"/>
    <m/>
    <n v="0"/>
    <n v="3.0000000000001137E-2"/>
    <n v="3.0000000000001137E-2"/>
    <n v="0"/>
    <n v="0.03"/>
    <n v="0"/>
    <n v="0.03"/>
    <n v="1.1379786002407855E-15"/>
    <n v="0"/>
    <n v="1.1379786002407855E-15"/>
    <n v="1.1379786002407855E-15"/>
    <n v="0"/>
    <n v="0"/>
    <n v="0"/>
    <n v="0"/>
    <n v="1.1379786002407855E-15"/>
    <n v="0"/>
    <n v="0"/>
    <n v="1.1379786002407855E-15"/>
    <n v="1.1379786002407855E-15"/>
    <n v="1.93"/>
    <n v="1.93"/>
    <n v="0"/>
    <n v="1.93"/>
    <n v="1.1102230246251565E-15"/>
    <n v="0"/>
    <n v="1.1102230246251565E-15"/>
    <n v="1.1102230246251565E-15"/>
    <n v="0"/>
    <n v="0"/>
    <n v="0"/>
    <n v="0"/>
    <n v="1.1102230246251565E-15"/>
    <n v="0"/>
    <n v="1.1102230246251565E-15"/>
    <n v="1.1102230246251565E-15"/>
    <n v="0"/>
    <n v="0"/>
    <n v="0.38"/>
    <n v="-0.38"/>
    <n v="0.38000000000000111"/>
    <n v="0"/>
    <n v="0"/>
    <n v="0"/>
    <n v="0.38000000000000111"/>
    <x v="0"/>
    <x v="0"/>
    <n v="18.96"/>
    <n v="0.38"/>
    <n v="18.580000000000002"/>
  </r>
  <r>
    <s v="FG-0536"/>
    <x v="30"/>
    <x v="3"/>
    <s v="NILONS MANGO PICKLE 400GM*20"/>
    <n v="20"/>
    <n v="275"/>
    <n v="213.68"/>
    <x v="15"/>
    <n v="2.75"/>
    <n v="0"/>
    <n v="2"/>
    <n v="0"/>
    <n v="2"/>
    <n v="0.75"/>
    <n v="0"/>
    <m/>
    <n v="0"/>
    <n v="0.75"/>
    <n v="0.75"/>
    <n v="0"/>
    <n v="0"/>
    <n v="0"/>
    <n v="0"/>
    <n v="0.75"/>
    <n v="0"/>
    <m/>
    <n v="0"/>
    <n v="0.75"/>
    <n v="0.75"/>
    <n v="0"/>
    <n v="0"/>
    <n v="0"/>
    <n v="0"/>
    <n v="0.75"/>
    <n v="0"/>
    <n v="0.75"/>
    <n v="0.75"/>
    <n v="0"/>
    <n v="0"/>
    <n v="0"/>
    <n v="0"/>
    <n v="0.75"/>
    <n v="0"/>
    <n v="0"/>
    <n v="0.75"/>
    <n v="0.75"/>
    <n v="0.75"/>
    <n v="0.75"/>
    <n v="0"/>
    <n v="0.75"/>
    <n v="0.75"/>
    <n v="0"/>
    <n v="0.75"/>
    <n v="0.75"/>
    <n v="0"/>
    <n v="0"/>
    <n v="0"/>
    <n v="0"/>
    <n v="0.75"/>
    <n v="0"/>
    <n v="0.75"/>
    <n v="0.75"/>
    <n v="0"/>
    <n v="0"/>
    <n v="0.4"/>
    <n v="-0.4"/>
    <n v="1.1499999999999999"/>
    <n v="0"/>
    <n v="0"/>
    <n v="0"/>
    <n v="1.1499999999999999"/>
    <x v="0"/>
    <x v="0"/>
    <n v="2.75"/>
    <n v="0.4"/>
    <n v="2.35"/>
  </r>
  <r>
    <s v="FG-0963"/>
    <x v="23"/>
    <x v="4"/>
    <s v="NILONS MANGO PICKLE 500GM*20"/>
    <n v="20"/>
    <n v="235"/>
    <n v="182.6"/>
    <x v="4"/>
    <n v="17.5"/>
    <n v="0"/>
    <n v="17"/>
    <n v="0"/>
    <n v="17"/>
    <n v="0.5"/>
    <n v="0"/>
    <m/>
    <n v="0"/>
    <n v="0.5"/>
    <n v="0.5"/>
    <n v="0"/>
    <n v="0"/>
    <n v="0"/>
    <n v="0"/>
    <n v="0.5"/>
    <n v="0"/>
    <m/>
    <n v="0"/>
    <n v="0.5"/>
    <n v="0.5"/>
    <n v="0"/>
    <n v="0.05"/>
    <n v="0"/>
    <n v="0.05"/>
    <n v="0.45"/>
    <n v="0"/>
    <n v="0.45"/>
    <n v="0.45"/>
    <n v="0"/>
    <n v="0"/>
    <n v="0"/>
    <n v="0"/>
    <n v="0.45"/>
    <n v="0"/>
    <n v="0"/>
    <n v="0.45"/>
    <n v="0.45"/>
    <n v="2.15"/>
    <n v="2.65"/>
    <n v="2.35"/>
    <n v="0.29999999999999982"/>
    <n v="2.3000000000000003"/>
    <n v="0"/>
    <n v="2.3000000000000003"/>
    <n v="2.3000000000000003"/>
    <n v="0"/>
    <n v="0"/>
    <n v="0"/>
    <n v="0"/>
    <n v="2.3000000000000003"/>
    <n v="0"/>
    <n v="2.3000000000000003"/>
    <n v="2.3000000000000003"/>
    <n v="0"/>
    <n v="2"/>
    <n v="4"/>
    <n v="-2"/>
    <n v="4.3000000000000007"/>
    <n v="0"/>
    <n v="0"/>
    <n v="0"/>
    <n v="4.3000000000000007"/>
    <x v="0"/>
    <x v="0"/>
    <n v="21.7"/>
    <n v="6.35"/>
    <n v="15.35"/>
  </r>
  <r>
    <s v="FG-5114"/>
    <x v="24"/>
    <x v="16"/>
    <s v="NILONS MANGO PICKLE 900*15"/>
    <n v="15"/>
    <n v="350"/>
    <n v="271.95"/>
    <x v="14"/>
    <n v="22.93"/>
    <n v="0"/>
    <n v="22"/>
    <n v="0"/>
    <n v="22"/>
    <n v="0.92999999999999972"/>
    <n v="0"/>
    <m/>
    <n v="0"/>
    <n v="0.92999999999999972"/>
    <n v="0.92999999999999972"/>
    <n v="0"/>
    <n v="0"/>
    <n v="0"/>
    <n v="0"/>
    <n v="0.92999999999999972"/>
    <n v="0"/>
    <m/>
    <n v="0"/>
    <n v="0.92999999999999972"/>
    <n v="0.92999999999999972"/>
    <n v="0"/>
    <n v="7.0000000000000007E-2"/>
    <n v="0"/>
    <n v="7.0000000000000007E-2"/>
    <n v="0.85999999999999965"/>
    <n v="0"/>
    <n v="0.85999999999999965"/>
    <n v="0.85999999999999965"/>
    <n v="0"/>
    <n v="0"/>
    <n v="0"/>
    <n v="0"/>
    <n v="0.85999999999999965"/>
    <n v="0"/>
    <n v="0"/>
    <n v="0.85999999999999965"/>
    <n v="0.85999999999999965"/>
    <n v="0"/>
    <n v="0"/>
    <n v="0"/>
    <n v="0"/>
    <n v="0.85999999999999965"/>
    <n v="0"/>
    <n v="0.85999999999999965"/>
    <n v="0.85999999999999965"/>
    <n v="0"/>
    <n v="0"/>
    <n v="0"/>
    <n v="0"/>
    <n v="0.85999999999999965"/>
    <n v="0"/>
    <n v="0.85999999999999965"/>
    <n v="0.85999999999999965"/>
    <n v="0"/>
    <n v="0"/>
    <n v="0"/>
    <n v="0"/>
    <n v="0.85999999999999965"/>
    <n v="0"/>
    <n v="0"/>
    <n v="0"/>
    <n v="0.85999999999999965"/>
    <x v="0"/>
    <x v="0"/>
    <n v="22.07"/>
    <n v="0"/>
    <n v="22.07"/>
  </r>
  <r>
    <s v="PM0180"/>
    <x v="31"/>
    <x v="17"/>
    <s v="NILONS MIX FRUIT JAM-500GM*20"/>
    <n v="20"/>
    <n v="250"/>
    <n v="194.25"/>
    <x v="17"/>
    <n v="87.55"/>
    <n v="10"/>
    <n v="68.05"/>
    <n v="0"/>
    <n v="68.05"/>
    <n v="29.5"/>
    <n v="150"/>
    <m/>
    <n v="150"/>
    <n v="179.5"/>
    <n v="29.5"/>
    <n v="75"/>
    <n v="29"/>
    <n v="0"/>
    <n v="29"/>
    <n v="75.5"/>
    <n v="75"/>
    <m/>
    <n v="75"/>
    <n v="150.5"/>
    <n v="75.5"/>
    <n v="75"/>
    <n v="140.6"/>
    <n v="0"/>
    <n v="140.6"/>
    <n v="9.9000000000000057"/>
    <n v="0"/>
    <n v="9.9000000000000057"/>
    <n v="9.9000000000000057"/>
    <n v="0"/>
    <n v="5.05"/>
    <n v="0"/>
    <n v="5.05"/>
    <n v="4.8500000000000059"/>
    <n v="0"/>
    <n v="250"/>
    <n v="254.85"/>
    <n v="4.8500000000000059"/>
    <n v="0"/>
    <n v="0.1"/>
    <n v="0.1"/>
    <n v="0"/>
    <n v="4.8500000000000059"/>
    <n v="250"/>
    <n v="254.85"/>
    <n v="4.8500000000000059"/>
    <n v="150"/>
    <n v="107"/>
    <n v="0"/>
    <n v="107"/>
    <n v="47.849999999999994"/>
    <n v="100"/>
    <n v="147.85"/>
    <n v="47.849999999999994"/>
    <n v="100"/>
    <n v="120.25"/>
    <n v="0.15"/>
    <n v="120.1"/>
    <n v="27.75"/>
    <n v="65"/>
    <n v="150"/>
    <n v="215"/>
    <n v="242.75"/>
    <x v="0"/>
    <x v="0"/>
    <n v="363.04999999999995"/>
    <n v="0.25"/>
    <n v="362.79999999999995"/>
  </r>
  <r>
    <s v="FG-1252"/>
    <x v="25"/>
    <x v="2"/>
    <s v="NILONS MIX PICKLE 350GM*40"/>
    <n v="40"/>
    <n v="150"/>
    <n v="116.55"/>
    <x v="2"/>
    <n v="0.4"/>
    <n v="0"/>
    <n v="0.4"/>
    <n v="0"/>
    <n v="0.4"/>
    <n v="0"/>
    <n v="0"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8"/>
    <n v="2.88"/>
    <n v="0"/>
    <n v="2.88"/>
    <n v="0"/>
    <n v="0"/>
    <n v="0"/>
    <n v="0"/>
    <n v="0"/>
    <n v="0"/>
    <n v="0"/>
    <n v="0"/>
    <n v="0"/>
    <n v="0"/>
    <n v="0"/>
    <n v="0"/>
    <n v="0"/>
    <n v="0"/>
    <n v="0.03"/>
    <n v="-0.03"/>
    <n v="0.03"/>
    <n v="0"/>
    <n v="0"/>
    <n v="0"/>
    <n v="0.03"/>
    <x v="0"/>
    <x v="0"/>
    <n v="3.28"/>
    <n v="0.03"/>
    <n v="3.25"/>
  </r>
  <r>
    <s v="FG-0964"/>
    <x v="26"/>
    <x v="4"/>
    <s v="NILONS MIX PICKLE 500GM*20"/>
    <n v="20"/>
    <n v="235"/>
    <n v="182.6"/>
    <x v="4"/>
    <n v="13.5"/>
    <n v="0"/>
    <n v="12.95"/>
    <n v="0"/>
    <n v="12.95"/>
    <n v="0.55000000000000071"/>
    <n v="0"/>
    <m/>
    <n v="0"/>
    <n v="0.55000000000000071"/>
    <n v="0.55000000000000071"/>
    <n v="0"/>
    <n v="0"/>
    <n v="0"/>
    <n v="0"/>
    <n v="0.55000000000000071"/>
    <n v="0"/>
    <m/>
    <n v="0"/>
    <n v="0.55000000000000071"/>
    <n v="0.55000000000000071"/>
    <n v="0"/>
    <n v="0.05"/>
    <n v="0"/>
    <n v="0.05"/>
    <n v="0.50000000000000067"/>
    <n v="0"/>
    <n v="0.50000000000000067"/>
    <n v="0.50000000000000067"/>
    <n v="0"/>
    <n v="0"/>
    <n v="0"/>
    <n v="0"/>
    <n v="0.50000000000000067"/>
    <n v="0"/>
    <n v="0"/>
    <n v="0.50000000000000067"/>
    <n v="0.50000000000000067"/>
    <n v="0"/>
    <n v="0"/>
    <n v="0"/>
    <n v="0"/>
    <n v="0.50000000000000067"/>
    <n v="0"/>
    <n v="0.50000000000000067"/>
    <n v="0.50000000000000067"/>
    <n v="0"/>
    <n v="0"/>
    <n v="0"/>
    <n v="0"/>
    <n v="0.50000000000000067"/>
    <n v="0"/>
    <n v="0.50000000000000067"/>
    <n v="0.50000000000000067"/>
    <n v="0"/>
    <n v="0"/>
    <n v="0"/>
    <n v="0"/>
    <n v="0.50000000000000067"/>
    <n v="0"/>
    <n v="0"/>
    <n v="0"/>
    <n v="0.50000000000000067"/>
    <x v="0"/>
    <x v="0"/>
    <n v="13"/>
    <n v="0"/>
    <n v="13"/>
  </r>
  <r>
    <s v="FG-1189"/>
    <x v="32"/>
    <x v="18"/>
    <s v="NILONS PAPAYA  FRUIT  GREEN 800 GM*18"/>
    <n v="18"/>
    <n v="240"/>
    <n v="186.48"/>
    <x v="18"/>
    <n v="30"/>
    <n v="25"/>
    <n v="55"/>
    <n v="0"/>
    <n v="55"/>
    <n v="0"/>
    <n v="200"/>
    <m/>
    <n v="200"/>
    <n v="200"/>
    <n v="0"/>
    <n v="100"/>
    <n v="100"/>
    <n v="0"/>
    <n v="100"/>
    <n v="0"/>
    <n v="100"/>
    <n v="325"/>
    <n v="425"/>
    <n v="425"/>
    <n v="0"/>
    <n v="100"/>
    <n v="0.28000000000000003"/>
    <n v="0"/>
    <n v="0.28000000000000003"/>
    <n v="99.72"/>
    <n v="325"/>
    <n v="424.72"/>
    <n v="99.72"/>
    <n v="200"/>
    <n v="26.06"/>
    <n v="0"/>
    <n v="26.06"/>
    <n v="273.66000000000003"/>
    <n v="125"/>
    <n v="0"/>
    <n v="398.66"/>
    <n v="273.66000000000003"/>
    <n v="125"/>
    <n v="10"/>
    <n v="0"/>
    <n v="10"/>
    <n v="388.66"/>
    <n v="0"/>
    <n v="388.66"/>
    <n v="388.66"/>
    <n v="0"/>
    <n v="1"/>
    <n v="0"/>
    <n v="1"/>
    <n v="387.66"/>
    <n v="0"/>
    <n v="387.66"/>
    <n v="387.66"/>
    <n v="0"/>
    <n v="31"/>
    <n v="0"/>
    <n v="31"/>
    <n v="356.66"/>
    <n v="0"/>
    <n v="0"/>
    <n v="0"/>
    <n v="356.66"/>
    <x v="0"/>
    <x v="0"/>
    <n v="222.34"/>
    <n v="0"/>
    <n v="222.34"/>
  </r>
  <r>
    <s v="PM0158"/>
    <x v="33"/>
    <x v="18"/>
    <s v="NILONS PAPAYA FRUIT PRESERVED-MIXED 800GM*18"/>
    <n v="18"/>
    <n v="240"/>
    <n v="186.48"/>
    <x v="18"/>
    <n v="0"/>
    <n v="40"/>
    <n v="40"/>
    <n v="0"/>
    <n v="40"/>
    <n v="0"/>
    <n v="100"/>
    <n v="10"/>
    <n v="110"/>
    <n v="110"/>
    <n v="0"/>
    <n v="60"/>
    <n v="60"/>
    <n v="0"/>
    <n v="60"/>
    <n v="0"/>
    <n v="50"/>
    <n v="275"/>
    <n v="325"/>
    <n v="325"/>
    <n v="0"/>
    <n v="50"/>
    <n v="1.28"/>
    <n v="0"/>
    <n v="1.28"/>
    <n v="48.72"/>
    <n v="275"/>
    <n v="323.72000000000003"/>
    <n v="48.72"/>
    <n v="150"/>
    <n v="15.06"/>
    <n v="0"/>
    <n v="15.06"/>
    <n v="183.66"/>
    <n v="125"/>
    <n v="0"/>
    <n v="308.65999999999997"/>
    <n v="183.66"/>
    <n v="125"/>
    <n v="31"/>
    <n v="0"/>
    <n v="31"/>
    <n v="277.65999999999997"/>
    <n v="0"/>
    <n v="277.65999999999997"/>
    <n v="277.65999999999997"/>
    <n v="0"/>
    <n v="2.2799999999999998"/>
    <n v="1"/>
    <n v="1.2799999999999998"/>
    <n v="276.38"/>
    <n v="0"/>
    <n v="276.38"/>
    <n v="276.38"/>
    <n v="0"/>
    <n v="31.11"/>
    <n v="0.28000000000000003"/>
    <n v="30.83"/>
    <n v="245.55"/>
    <n v="0"/>
    <n v="0"/>
    <n v="0"/>
    <n v="245.55"/>
    <x v="0"/>
    <x v="0"/>
    <n v="178.45"/>
    <n v="0.28000000000000003"/>
    <n v="178.17"/>
  </r>
  <r>
    <s v="PM0156"/>
    <x v="34"/>
    <x v="18"/>
    <s v="NILONS PAPAYA FRUIT PRESERVED-RED 800GM*18"/>
    <n v="18"/>
    <n v="240"/>
    <n v="186.48"/>
    <x v="18"/>
    <n v="0"/>
    <n v="600"/>
    <n v="600"/>
    <n v="0"/>
    <n v="600"/>
    <n v="0"/>
    <n v="500"/>
    <n v="100"/>
    <n v="600"/>
    <n v="600"/>
    <n v="0"/>
    <n v="350"/>
    <n v="350"/>
    <n v="0"/>
    <n v="350"/>
    <n v="0"/>
    <n v="250"/>
    <n v="850"/>
    <n v="1100"/>
    <n v="1100"/>
    <n v="0"/>
    <n v="250"/>
    <n v="0.28000000000000003"/>
    <n v="0"/>
    <n v="0.28000000000000003"/>
    <n v="249.72"/>
    <n v="850"/>
    <n v="1099.72"/>
    <n v="249.72"/>
    <n v="625"/>
    <n v="112.06"/>
    <n v="0"/>
    <n v="112.06"/>
    <n v="762.66000000000008"/>
    <n v="225"/>
    <n v="0"/>
    <n v="987.66000000000008"/>
    <n v="762.66000000000008"/>
    <n v="225"/>
    <n v="56"/>
    <n v="50"/>
    <n v="6"/>
    <n v="981.66000000000008"/>
    <n v="0"/>
    <n v="981.66000000000008"/>
    <n v="981.66000000000008"/>
    <n v="0"/>
    <n v="37.28"/>
    <n v="1"/>
    <n v="36.28"/>
    <n v="945.38000000000011"/>
    <n v="0"/>
    <n v="945.38000000000011"/>
    <n v="945.38000000000011"/>
    <n v="0"/>
    <n v="311.11"/>
    <n v="0.28000000000000003"/>
    <n v="310.83000000000004"/>
    <n v="634.55000000000007"/>
    <n v="0"/>
    <n v="0"/>
    <n v="0"/>
    <n v="634.55000000000007"/>
    <x v="0"/>
    <x v="0"/>
    <n v="1429.4499999999998"/>
    <n v="50.28"/>
    <n v="1379.1699999999998"/>
  </r>
  <r>
    <s v="PM0157"/>
    <x v="35"/>
    <x v="18"/>
    <s v="NILONS PAPAYA FRUIT PRESERVED-YELLOW 800GM*18"/>
    <n v="18"/>
    <n v="240"/>
    <n v="186.48"/>
    <x v="18"/>
    <n v="0"/>
    <n v="25"/>
    <n v="25"/>
    <n v="0"/>
    <n v="25"/>
    <n v="0"/>
    <n v="50"/>
    <m/>
    <n v="50"/>
    <n v="50"/>
    <n v="0"/>
    <n v="25"/>
    <n v="25"/>
    <n v="0"/>
    <n v="25"/>
    <n v="0"/>
    <n v="25"/>
    <n v="60"/>
    <n v="85"/>
    <n v="85"/>
    <n v="0"/>
    <n v="25"/>
    <n v="0.28000000000000003"/>
    <n v="0"/>
    <n v="0.28000000000000003"/>
    <n v="24.72"/>
    <n v="60"/>
    <n v="84.72"/>
    <n v="24.72"/>
    <n v="50"/>
    <n v="6.06"/>
    <n v="0"/>
    <n v="6.06"/>
    <n v="68.66"/>
    <n v="10"/>
    <n v="0"/>
    <n v="78.66"/>
    <n v="68.66"/>
    <n v="10"/>
    <n v="3"/>
    <n v="0"/>
    <n v="3"/>
    <n v="75.66"/>
    <n v="0"/>
    <n v="75.66"/>
    <n v="75.66"/>
    <n v="0"/>
    <n v="1"/>
    <n v="0"/>
    <n v="1"/>
    <n v="74.66"/>
    <n v="0"/>
    <n v="74.66"/>
    <n v="74.66"/>
    <n v="0"/>
    <n v="16.22"/>
    <n v="0"/>
    <n v="16.22"/>
    <n v="58.44"/>
    <n v="0"/>
    <n v="0"/>
    <n v="0"/>
    <n v="58.44"/>
    <x v="0"/>
    <x v="0"/>
    <n v="75.56"/>
    <n v="0"/>
    <n v="75.56"/>
  </r>
  <r>
    <s v="PM0179"/>
    <x v="36"/>
    <x v="0"/>
    <s v="NILONS PASTA ELBOW-350GM*42"/>
    <n v="42"/>
    <n v="100"/>
    <n v="77.7"/>
    <x v="0"/>
    <n v="58"/>
    <n v="0"/>
    <n v="62.57"/>
    <n v="5"/>
    <n v="57.57"/>
    <n v="0.42999999999999972"/>
    <n v="0"/>
    <m/>
    <n v="0"/>
    <n v="0.42999999999999972"/>
    <n v="0.42999999999999972"/>
    <n v="0"/>
    <n v="0"/>
    <n v="1"/>
    <n v="-1"/>
    <n v="1.4299999999999997"/>
    <n v="0"/>
    <m/>
    <n v="0"/>
    <n v="1.4299999999999997"/>
    <n v="1.4299999999999997"/>
    <n v="0"/>
    <n v="8.1199999999999992"/>
    <n v="8.1199999999999992"/>
    <n v="0"/>
    <n v="1.4299999999999997"/>
    <n v="0"/>
    <n v="1.4299999999999997"/>
    <n v="1.4299999999999997"/>
    <n v="0"/>
    <n v="0"/>
    <n v="0"/>
    <n v="0"/>
    <n v="1.4299999999999997"/>
    <n v="0"/>
    <n v="0"/>
    <n v="1.4299999999999997"/>
    <n v="1.4299999999999997"/>
    <n v="0"/>
    <n v="0"/>
    <n v="1.45"/>
    <n v="-1.45"/>
    <n v="2.88"/>
    <n v="0"/>
    <n v="2.88"/>
    <n v="2.88"/>
    <n v="0"/>
    <n v="9"/>
    <n v="9"/>
    <n v="0"/>
    <n v="2.88"/>
    <n v="0"/>
    <n v="2.88"/>
    <n v="2.88"/>
    <n v="0"/>
    <n v="0"/>
    <n v="1.83"/>
    <n v="-1.83"/>
    <n v="4.71"/>
    <n v="0"/>
    <n v="0"/>
    <n v="0"/>
    <n v="4.71"/>
    <x v="0"/>
    <x v="0"/>
    <n v="70.69"/>
    <n v="17.399999999999999"/>
    <n v="53.29"/>
  </r>
  <r>
    <s v="PM0178"/>
    <x v="37"/>
    <x v="0"/>
    <s v="NILONS PASTA FUSILLI-350GM*42"/>
    <n v="42"/>
    <n v="100"/>
    <n v="77.7"/>
    <x v="0"/>
    <n v="67"/>
    <n v="0"/>
    <n v="71.569999999999993"/>
    <n v="5"/>
    <n v="66.569999999999993"/>
    <n v="0.43000000000000682"/>
    <n v="0"/>
    <m/>
    <n v="0"/>
    <n v="0.43000000000000682"/>
    <n v="0.43000000000000682"/>
    <n v="0"/>
    <n v="0"/>
    <m/>
    <n v="0"/>
    <n v="0.43000000000000682"/>
    <n v="0"/>
    <m/>
    <n v="0"/>
    <n v="0.43000000000000682"/>
    <n v="0.43000000000000682"/>
    <n v="0"/>
    <n v="8.1199999999999992"/>
    <n v="8.1199999999999992"/>
    <n v="0"/>
    <n v="0.43000000000000682"/>
    <n v="0"/>
    <n v="0.43000000000000682"/>
    <n v="0.43000000000000682"/>
    <n v="0"/>
    <n v="0"/>
    <n v="0"/>
    <n v="0"/>
    <n v="0.43000000000000682"/>
    <n v="0"/>
    <n v="0"/>
    <n v="0.43000000000000682"/>
    <n v="0.43000000000000682"/>
    <n v="0"/>
    <n v="0"/>
    <n v="2.76"/>
    <n v="-2.76"/>
    <n v="3.1900000000000066"/>
    <n v="0"/>
    <n v="3.1900000000000066"/>
    <n v="3.1900000000000066"/>
    <n v="0"/>
    <n v="4"/>
    <n v="4"/>
    <n v="0"/>
    <n v="3.1900000000000066"/>
    <n v="0"/>
    <n v="3.1900000000000066"/>
    <n v="3.1900000000000066"/>
    <n v="0"/>
    <n v="0"/>
    <n v="1.83"/>
    <n v="-1.83"/>
    <n v="5.0200000000000067"/>
    <n v="0"/>
    <n v="0"/>
    <n v="0"/>
    <n v="5.0200000000000067"/>
    <x v="0"/>
    <x v="0"/>
    <n v="79.69"/>
    <n v="17.71"/>
    <n v="61.98"/>
  </r>
  <r>
    <s v="PM0164"/>
    <x v="38"/>
    <x v="7"/>
    <s v="NILONS PASTA MASALA 8GM*600"/>
    <n v="600"/>
    <n v="10"/>
    <n v="7.77"/>
    <x v="2"/>
    <n v="12"/>
    <n v="10"/>
    <n v="15"/>
    <n v="0"/>
    <n v="15"/>
    <n v="7"/>
    <n v="0"/>
    <m/>
    <n v="0"/>
    <n v="7"/>
    <n v="7"/>
    <n v="0"/>
    <n v="7"/>
    <n v="0"/>
    <n v="7"/>
    <n v="0"/>
    <n v="0"/>
    <n v="25"/>
    <n v="25"/>
    <n v="25"/>
    <n v="0"/>
    <n v="0"/>
    <n v="0"/>
    <n v="0"/>
    <n v="0"/>
    <n v="0"/>
    <n v="25"/>
    <n v="25"/>
    <n v="0"/>
    <n v="25"/>
    <n v="26"/>
    <n v="1"/>
    <n v="25"/>
    <n v="0"/>
    <n v="0"/>
    <n v="0"/>
    <n v="0"/>
    <n v="0"/>
    <n v="0"/>
    <n v="1.01"/>
    <n v="1.96"/>
    <n v="-0.95"/>
    <n v="0.95"/>
    <n v="0"/>
    <n v="0.95"/>
    <n v="0.95"/>
    <n v="0"/>
    <n v="0"/>
    <n v="0.8"/>
    <n v="-0.8"/>
    <n v="1.75"/>
    <n v="0"/>
    <n v="1.75"/>
    <n v="1.75"/>
    <n v="0"/>
    <n v="0"/>
    <n v="0"/>
    <n v="0"/>
    <n v="1.75"/>
    <n v="0"/>
    <n v="25"/>
    <n v="25"/>
    <n v="26.75"/>
    <x v="0"/>
    <x v="0"/>
    <n v="49.01"/>
    <n v="2.96"/>
    <n v="46.05"/>
  </r>
  <r>
    <s v="FG-5181"/>
    <x v="39"/>
    <x v="6"/>
    <s v="NILONS PIZZA PASTA SAUCE 250GM*24"/>
    <n v="24"/>
    <n v="275"/>
    <n v="213.68"/>
    <x v="19"/>
    <n v="8"/>
    <n v="40"/>
    <n v="27"/>
    <n v="0"/>
    <n v="27"/>
    <n v="21"/>
    <n v="0"/>
    <n v="10"/>
    <n v="10"/>
    <n v="31"/>
    <n v="21"/>
    <n v="10"/>
    <n v="10"/>
    <n v="0"/>
    <n v="10"/>
    <n v="21"/>
    <n v="0"/>
    <n v="25"/>
    <n v="25"/>
    <n v="46"/>
    <n v="21"/>
    <n v="0"/>
    <n v="14.5"/>
    <n v="0"/>
    <n v="14.5"/>
    <n v="6.5"/>
    <n v="25"/>
    <n v="31.5"/>
    <n v="6.5"/>
    <n v="25"/>
    <n v="30.42"/>
    <n v="0.96"/>
    <n v="29.46"/>
    <n v="2.0399999999999983"/>
    <n v="0"/>
    <n v="25"/>
    <n v="27.04"/>
    <n v="2.0399999999999983"/>
    <n v="0"/>
    <n v="0.04"/>
    <n v="3"/>
    <n v="-2.96"/>
    <n v="4.9999999999999982"/>
    <n v="25"/>
    <n v="30"/>
    <n v="4.9999999999999982"/>
    <n v="0"/>
    <n v="0"/>
    <n v="0"/>
    <n v="0"/>
    <n v="4.9999999999999982"/>
    <n v="25"/>
    <n v="30"/>
    <n v="4.9999999999999982"/>
    <n v="25"/>
    <n v="29.92"/>
    <n v="0.71"/>
    <n v="29.21"/>
    <n v="0.78999999999999915"/>
    <n v="0"/>
    <n v="75"/>
    <n v="75"/>
    <n v="75.789999999999992"/>
    <x v="0"/>
    <x v="0"/>
    <n v="111.88000000000001"/>
    <n v="4.67"/>
    <n v="107.21000000000001"/>
  </r>
  <r>
    <s v="FG-5496"/>
    <x v="40"/>
    <x v="6"/>
    <s v="NILONS RED CHILLI SAUCE 660GM*24"/>
    <n v="24"/>
    <n v="250"/>
    <n v="194.25"/>
    <x v="2"/>
    <n v="0.25"/>
    <n v="85"/>
    <n v="18"/>
    <n v="0"/>
    <n v="18"/>
    <n v="67.25"/>
    <n v="100"/>
    <n v="15"/>
    <n v="115"/>
    <n v="182.25"/>
    <n v="67.25"/>
    <n v="15"/>
    <n v="16"/>
    <n v="0"/>
    <n v="16"/>
    <n v="66.25"/>
    <n v="100"/>
    <m/>
    <n v="100"/>
    <n v="166.25"/>
    <n v="66.25"/>
    <n v="100"/>
    <n v="0.28999999999999998"/>
    <n v="0"/>
    <n v="0.28999999999999998"/>
    <n v="165.96"/>
    <n v="0"/>
    <n v="165.96"/>
    <n v="165.96"/>
    <n v="0"/>
    <n v="31.04"/>
    <n v="1.75"/>
    <n v="29.29"/>
    <n v="136.67000000000002"/>
    <n v="0"/>
    <n v="0"/>
    <n v="136.67000000000002"/>
    <n v="136.67000000000002"/>
    <n v="0.20999999999999996"/>
    <n v="30.42"/>
    <n v="1"/>
    <n v="29.42"/>
    <n v="107.46000000000002"/>
    <n v="0"/>
    <n v="107.46000000000002"/>
    <n v="107.46000000000002"/>
    <n v="0"/>
    <n v="17"/>
    <n v="0"/>
    <n v="17"/>
    <n v="90.460000000000022"/>
    <n v="0"/>
    <n v="90.460000000000022"/>
    <n v="90.460000000000022"/>
    <n v="0"/>
    <n v="21"/>
    <n v="14"/>
    <n v="7"/>
    <n v="83.460000000000022"/>
    <n v="0"/>
    <n v="0"/>
    <n v="0"/>
    <n v="83.460000000000022"/>
    <x v="0"/>
    <x v="0"/>
    <n v="116.75"/>
    <n v="16.75"/>
    <n v="100"/>
  </r>
  <r>
    <s v="PM0155"/>
    <x v="41"/>
    <x v="9"/>
    <s v="NILONS ROASTED SEWAI 100GM*70"/>
    <n v="70"/>
    <n v="44"/>
    <n v="34.19"/>
    <x v="20"/>
    <n v="0"/>
    <n v="40"/>
    <n v="40"/>
    <n v="0"/>
    <n v="40"/>
    <n v="0"/>
    <n v="650"/>
    <n v="10"/>
    <n v="660"/>
    <n v="660"/>
    <n v="0"/>
    <n v="660"/>
    <n v="292"/>
    <n v="0"/>
    <n v="292"/>
    <n v="368"/>
    <n v="0"/>
    <n v="250"/>
    <n v="250"/>
    <n v="618"/>
    <n v="368"/>
    <n v="0"/>
    <n v="95.01"/>
    <n v="0"/>
    <n v="95.01"/>
    <n v="272.99"/>
    <n v="250"/>
    <n v="522.99"/>
    <n v="272.99"/>
    <n v="125"/>
    <n v="139.01"/>
    <n v="0"/>
    <n v="139.01"/>
    <n v="258.98"/>
    <n v="125"/>
    <n v="0"/>
    <n v="383.98"/>
    <n v="258.98"/>
    <n v="125"/>
    <n v="123"/>
    <n v="0.66"/>
    <n v="122.34"/>
    <n v="261.64000000000004"/>
    <n v="0"/>
    <n v="261.64000000000004"/>
    <n v="261.64000000000004"/>
    <n v="0"/>
    <n v="97"/>
    <n v="10.98"/>
    <n v="86.02"/>
    <n v="175.62000000000003"/>
    <n v="0"/>
    <n v="175.62000000000003"/>
    <n v="175.62000000000003"/>
    <n v="0"/>
    <n v="132"/>
    <n v="14"/>
    <n v="118"/>
    <n v="57.620000000000033"/>
    <n v="0"/>
    <n v="200"/>
    <n v="200"/>
    <n v="257.62"/>
    <x v="0"/>
    <x v="0"/>
    <n v="821.02"/>
    <n v="14.66"/>
    <n v="806.36"/>
  </r>
  <r>
    <s v="PM0166"/>
    <x v="42"/>
    <x v="11"/>
    <s v="NILONS SCHEZWAN CHUTNEY 250GM*24"/>
    <n v="24"/>
    <n v="190"/>
    <n v="147.63"/>
    <x v="21"/>
    <n v="12"/>
    <n v="85"/>
    <n v="36"/>
    <n v="0"/>
    <n v="36"/>
    <n v="61"/>
    <n v="0"/>
    <n v="15"/>
    <n v="15"/>
    <n v="76"/>
    <n v="61"/>
    <n v="15"/>
    <n v="17"/>
    <n v="0"/>
    <n v="17"/>
    <n v="59"/>
    <n v="0"/>
    <m/>
    <n v="0"/>
    <n v="59"/>
    <n v="59"/>
    <n v="0"/>
    <n v="9"/>
    <n v="0"/>
    <n v="9"/>
    <n v="50"/>
    <n v="0"/>
    <n v="50"/>
    <n v="50"/>
    <n v="0"/>
    <n v="43.71"/>
    <n v="0.75"/>
    <n v="42.96"/>
    <n v="7.0399999999999991"/>
    <n v="0"/>
    <n v="25"/>
    <n v="32.04"/>
    <n v="7.0399999999999991"/>
    <n v="1.71"/>
    <n v="7.71"/>
    <n v="0"/>
    <n v="7.71"/>
    <n v="1.04"/>
    <n v="25"/>
    <n v="26.04"/>
    <n v="1.04"/>
    <n v="0"/>
    <n v="0.42"/>
    <n v="0"/>
    <n v="0.42"/>
    <n v="0.62000000000000011"/>
    <n v="25"/>
    <n v="25.62"/>
    <n v="0.62000000000000011"/>
    <n v="25"/>
    <n v="25.92"/>
    <n v="0.92"/>
    <n v="25"/>
    <n v="0.62000000000000099"/>
    <n v="60"/>
    <n v="150"/>
    <n v="210"/>
    <n v="210.62"/>
    <x v="0"/>
    <x v="0"/>
    <n v="139.34"/>
    <n v="1.67"/>
    <n v="137.67000000000002"/>
  </r>
  <r>
    <s v="FG-4348"/>
    <x v="43"/>
    <x v="7"/>
    <s v="NILONS SCHEZWAN FRIED RICE MASALA 20GM*240"/>
    <n v="240"/>
    <n v="25"/>
    <n v="19.43"/>
    <x v="22"/>
    <n v="10.83"/>
    <n v="25"/>
    <n v="10"/>
    <n v="0"/>
    <n v="10"/>
    <n v="25.83"/>
    <n v="0"/>
    <m/>
    <n v="0"/>
    <n v="25.83"/>
    <n v="25.83"/>
    <n v="0"/>
    <n v="7"/>
    <n v="0"/>
    <n v="7"/>
    <n v="18.829999999999998"/>
    <n v="0"/>
    <m/>
    <n v="0"/>
    <n v="18.829999999999998"/>
    <n v="18.829999999999998"/>
    <n v="0"/>
    <n v="1"/>
    <n v="0"/>
    <n v="1"/>
    <n v="17.829999999999998"/>
    <n v="0"/>
    <n v="17.829999999999998"/>
    <n v="17.829999999999998"/>
    <n v="0"/>
    <n v="12"/>
    <n v="0"/>
    <n v="12"/>
    <n v="5.8299999999999983"/>
    <n v="0"/>
    <n v="0"/>
    <n v="5.8299999999999983"/>
    <n v="5.8299999999999983"/>
    <n v="0"/>
    <n v="5"/>
    <n v="0"/>
    <n v="5"/>
    <n v="0.82999999999999829"/>
    <n v="0"/>
    <n v="0.82999999999999829"/>
    <n v="0.82999999999999829"/>
    <n v="0"/>
    <n v="0"/>
    <n v="0"/>
    <n v="0"/>
    <n v="0.82999999999999829"/>
    <n v="0"/>
    <n v="0.82999999999999829"/>
    <n v="0.82999999999999829"/>
    <n v="0"/>
    <n v="0"/>
    <n v="0"/>
    <n v="0"/>
    <n v="0.82999999999999829"/>
    <n v="0"/>
    <n v="25"/>
    <n v="25"/>
    <n v="25.83"/>
    <x v="0"/>
    <x v="0"/>
    <n v="35"/>
    <n v="0"/>
    <n v="35"/>
  </r>
  <r>
    <s v="PM0154"/>
    <x v="44"/>
    <x v="19"/>
    <s v="NILONS SOYA CHUNKS 160GM*50"/>
    <n v="50"/>
    <n v="120"/>
    <n v="93.24"/>
    <x v="2"/>
    <n v="0"/>
    <n v="25"/>
    <n v="25"/>
    <n v="0"/>
    <n v="25"/>
    <n v="0"/>
    <n v="0"/>
    <m/>
    <n v="0"/>
    <n v="0"/>
    <n v="0"/>
    <n v="0"/>
    <n v="0"/>
    <n v="0"/>
    <n v="0"/>
    <n v="0"/>
    <n v="0"/>
    <n v="125"/>
    <n v="125"/>
    <n v="125"/>
    <n v="0"/>
    <n v="0"/>
    <n v="0"/>
    <n v="0"/>
    <n v="0"/>
    <n v="0"/>
    <n v="125"/>
    <n v="125"/>
    <n v="0"/>
    <n v="125"/>
    <n v="113"/>
    <n v="0"/>
    <n v="113"/>
    <n v="12"/>
    <n v="0"/>
    <n v="300"/>
    <n v="312"/>
    <n v="12"/>
    <n v="0"/>
    <n v="42.04"/>
    <n v="31"/>
    <n v="11.04"/>
    <n v="0.96000000000000085"/>
    <n v="300"/>
    <n v="300.95999999999998"/>
    <n v="0.96000000000000085"/>
    <n v="150"/>
    <n v="26"/>
    <n v="0"/>
    <n v="26"/>
    <n v="124.96000000000001"/>
    <n v="150"/>
    <n v="274.96000000000004"/>
    <n v="124.96000000000001"/>
    <n v="150"/>
    <n v="39"/>
    <n v="0"/>
    <n v="39"/>
    <n v="235.96000000000004"/>
    <n v="0"/>
    <n v="0"/>
    <n v="0"/>
    <n v="235.96000000000004"/>
    <x v="0"/>
    <x v="0"/>
    <n v="219.04"/>
    <n v="31"/>
    <n v="188.04"/>
  </r>
  <r>
    <s v="FG-5495"/>
    <x v="45"/>
    <x v="5"/>
    <s v="NILONS SOYA SAUCE 180GM*40"/>
    <n v="40"/>
    <n v="110"/>
    <n v="85.47"/>
    <x v="5"/>
    <n v="11"/>
    <n v="0"/>
    <n v="11"/>
    <n v="0"/>
    <n v="11"/>
    <n v="0"/>
    <n v="0"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"/>
    <n v="2.33"/>
    <n v="0"/>
    <n v="2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13.33"/>
    <n v="0"/>
    <n v="13.33"/>
  </r>
  <r>
    <s v="FG-3890"/>
    <x v="46"/>
    <x v="6"/>
    <s v="NILONS SOYA SAUCE-700GM*24"/>
    <n v="24"/>
    <n v="250"/>
    <n v="194.25"/>
    <x v="2"/>
    <n v="126.46"/>
    <n v="0"/>
    <n v="2"/>
    <n v="0"/>
    <n v="2"/>
    <n v="124.46"/>
    <n v="0"/>
    <m/>
    <n v="0"/>
    <n v="124.46"/>
    <n v="124.46"/>
    <n v="0"/>
    <n v="0"/>
    <n v="0"/>
    <n v="0"/>
    <n v="124.46"/>
    <n v="0"/>
    <m/>
    <n v="0"/>
    <n v="124.46"/>
    <n v="124.46"/>
    <n v="0"/>
    <n v="0.04"/>
    <n v="0"/>
    <n v="0.04"/>
    <n v="124.41999999999999"/>
    <n v="0"/>
    <n v="124.41999999999999"/>
    <n v="124.41999999999999"/>
    <n v="0"/>
    <n v="0"/>
    <n v="0"/>
    <n v="0"/>
    <n v="124.41999999999999"/>
    <n v="0"/>
    <n v="0"/>
    <n v="124.41999999999999"/>
    <n v="124.41999999999999"/>
    <n v="0"/>
    <n v="0"/>
    <n v="0"/>
    <n v="0"/>
    <n v="124.41999999999999"/>
    <n v="0"/>
    <n v="124.41999999999999"/>
    <n v="124.41999999999999"/>
    <n v="0"/>
    <n v="0"/>
    <n v="0"/>
    <n v="0"/>
    <n v="124.41999999999999"/>
    <n v="0"/>
    <n v="124.41999999999999"/>
    <n v="124.41999999999999"/>
    <n v="0"/>
    <n v="0"/>
    <n v="0"/>
    <n v="0"/>
    <n v="124.41999999999999"/>
    <n v="0"/>
    <n v="0"/>
    <n v="0"/>
    <n v="124.41999999999999"/>
    <x v="0"/>
    <x v="0"/>
    <n v="2.04"/>
    <n v="0"/>
    <n v="2.04"/>
  </r>
  <r>
    <s v="PM0163"/>
    <x v="3"/>
    <x v="3"/>
    <s v="NILONS STANDARD CHILLI PICKLE 400GM*20"/>
    <n v="20"/>
    <n v="275"/>
    <n v="213.68"/>
    <x v="15"/>
    <n v="0"/>
    <n v="50"/>
    <n v="2"/>
    <n v="0"/>
    <n v="2"/>
    <n v="48"/>
    <n v="0"/>
    <m/>
    <n v="0"/>
    <n v="48"/>
    <n v="48"/>
    <n v="0"/>
    <n v="3"/>
    <n v="0"/>
    <n v="3"/>
    <n v="45"/>
    <n v="0"/>
    <m/>
    <n v="0"/>
    <n v="45"/>
    <n v="45"/>
    <n v="0"/>
    <n v="10.3"/>
    <n v="0"/>
    <n v="10.3"/>
    <n v="34.700000000000003"/>
    <n v="0"/>
    <n v="34.700000000000003"/>
    <n v="34.700000000000003"/>
    <n v="0"/>
    <n v="18.55"/>
    <n v="0"/>
    <n v="18.55"/>
    <n v="16.150000000000002"/>
    <n v="0"/>
    <n v="0"/>
    <n v="16.150000000000002"/>
    <n v="16.150000000000002"/>
    <n v="0"/>
    <n v="2"/>
    <n v="0"/>
    <n v="2"/>
    <n v="14.150000000000002"/>
    <n v="0"/>
    <n v="14.150000000000002"/>
    <n v="14.150000000000002"/>
    <n v="0"/>
    <n v="13"/>
    <n v="0.7"/>
    <n v="12.3"/>
    <n v="1.8500000000000021"/>
    <n v="0"/>
    <n v="1.8500000000000021"/>
    <n v="1.8500000000000021"/>
    <n v="0"/>
    <n v="14"/>
    <n v="14"/>
    <n v="0"/>
    <n v="1.8500000000000021"/>
    <n v="0"/>
    <n v="50"/>
    <n v="50"/>
    <n v="51.85"/>
    <x v="0"/>
    <x v="0"/>
    <n v="49.85"/>
    <n v="14"/>
    <n v="35.85"/>
  </r>
  <r>
    <s v="PM0165"/>
    <x v="47"/>
    <x v="3"/>
    <s v="NILONS STANDARD GARLIC PICKLE 400GM*20"/>
    <n v="20"/>
    <n v="325"/>
    <n v="252.53"/>
    <x v="23"/>
    <n v="0"/>
    <n v="45"/>
    <n v="26"/>
    <n v="0"/>
    <n v="26"/>
    <n v="19"/>
    <n v="0"/>
    <n v="5"/>
    <n v="5"/>
    <n v="24"/>
    <n v="19"/>
    <n v="5"/>
    <n v="10.1"/>
    <n v="0"/>
    <n v="10.1"/>
    <n v="13.9"/>
    <n v="0"/>
    <m/>
    <n v="0"/>
    <n v="13.9"/>
    <n v="13.9"/>
    <n v="0"/>
    <n v="6.3"/>
    <n v="0"/>
    <n v="6.3"/>
    <n v="7.6000000000000005"/>
    <n v="0"/>
    <n v="7.6000000000000005"/>
    <n v="7.6000000000000005"/>
    <n v="0"/>
    <n v="7"/>
    <n v="0"/>
    <n v="7"/>
    <n v="0.60000000000000053"/>
    <n v="0"/>
    <n v="50"/>
    <n v="50.6"/>
    <n v="0.60000000000000053"/>
    <n v="4.0999999999999996"/>
    <n v="5.0999999999999996"/>
    <n v="1"/>
    <n v="4.0999999999999996"/>
    <n v="0.60000000000000053"/>
    <n v="50"/>
    <n v="50.6"/>
    <n v="0.60000000000000053"/>
    <n v="50"/>
    <n v="42"/>
    <n v="0"/>
    <n v="42"/>
    <n v="8.6000000000000014"/>
    <n v="0"/>
    <n v="8.6000000000000014"/>
    <n v="8.6000000000000014"/>
    <n v="0"/>
    <n v="8.3000000000000007"/>
    <n v="0"/>
    <n v="8.3000000000000007"/>
    <n v="0.30000000000000071"/>
    <n v="90"/>
    <n v="50"/>
    <n v="140"/>
    <n v="140.30000000000001"/>
    <x v="0"/>
    <x v="0"/>
    <n v="62.8"/>
    <n v="1"/>
    <n v="61.8"/>
  </r>
  <r>
    <s v="PM0167"/>
    <x v="28"/>
    <x v="3"/>
    <s v="NILONS STANDARD LIME PICKLE 400GM*20"/>
    <n v="20"/>
    <n v="275"/>
    <n v="213.68"/>
    <x v="15"/>
    <n v="0"/>
    <n v="40"/>
    <n v="20"/>
    <n v="0"/>
    <n v="20"/>
    <n v="20"/>
    <n v="0"/>
    <n v="10"/>
    <n v="10"/>
    <n v="30"/>
    <n v="20"/>
    <n v="10"/>
    <n v="4"/>
    <n v="0"/>
    <n v="4"/>
    <n v="26"/>
    <n v="0"/>
    <m/>
    <n v="0"/>
    <n v="26"/>
    <n v="26"/>
    <n v="0"/>
    <n v="9.3000000000000007"/>
    <n v="0"/>
    <n v="9.3000000000000007"/>
    <n v="16.7"/>
    <n v="0"/>
    <n v="16.7"/>
    <n v="16.7"/>
    <n v="0"/>
    <n v="10.050000000000001"/>
    <n v="0"/>
    <n v="10.050000000000001"/>
    <n v="6.6499999999999986"/>
    <n v="0"/>
    <n v="25"/>
    <n v="31.65"/>
    <n v="6.6499999999999986"/>
    <n v="0"/>
    <n v="5"/>
    <n v="0"/>
    <n v="5"/>
    <n v="1.6499999999999986"/>
    <n v="25"/>
    <n v="26.65"/>
    <n v="1.6499999999999986"/>
    <n v="25"/>
    <n v="22"/>
    <n v="0"/>
    <n v="22"/>
    <n v="4.6499999999999986"/>
    <n v="0"/>
    <n v="4.6499999999999986"/>
    <n v="4.6499999999999986"/>
    <n v="0"/>
    <n v="2.15"/>
    <n v="0"/>
    <n v="2.15"/>
    <n v="2.4999999999999987"/>
    <n v="0"/>
    <n v="0"/>
    <n v="0"/>
    <n v="2.4999999999999987"/>
    <x v="0"/>
    <x v="0"/>
    <n v="50.499999999999993"/>
    <n v="0"/>
    <n v="50.499999999999993"/>
  </r>
  <r>
    <s v="PM0173"/>
    <x v="30"/>
    <x v="3"/>
    <s v="NILONS STANDARD MANGO PICKLE 400GM*20"/>
    <n v="20"/>
    <n v="275"/>
    <n v="213.68"/>
    <x v="15"/>
    <n v="0"/>
    <n v="240"/>
    <n v="31"/>
    <n v="0"/>
    <n v="31"/>
    <n v="209"/>
    <n v="0"/>
    <n v="60"/>
    <n v="60"/>
    <n v="269"/>
    <n v="209"/>
    <n v="60"/>
    <n v="4"/>
    <n v="0"/>
    <n v="4"/>
    <n v="265"/>
    <n v="0"/>
    <m/>
    <n v="0"/>
    <n v="265"/>
    <n v="265"/>
    <n v="0"/>
    <n v="7.05"/>
    <n v="0"/>
    <n v="7.05"/>
    <n v="257.95"/>
    <n v="0"/>
    <n v="257.95"/>
    <n v="257.95"/>
    <n v="0"/>
    <n v="49.05"/>
    <n v="0"/>
    <n v="49.05"/>
    <n v="208.89999999999998"/>
    <n v="0"/>
    <n v="0"/>
    <n v="208.89999999999998"/>
    <n v="208.89999999999998"/>
    <n v="0"/>
    <n v="27"/>
    <n v="0"/>
    <n v="27"/>
    <n v="181.89999999999998"/>
    <n v="0"/>
    <n v="181.89999999999998"/>
    <n v="181.89999999999998"/>
    <n v="0"/>
    <n v="21"/>
    <n v="1"/>
    <n v="20"/>
    <n v="161.89999999999998"/>
    <n v="0"/>
    <n v="161.89999999999998"/>
    <n v="161.89999999999998"/>
    <n v="0"/>
    <n v="13"/>
    <n v="33"/>
    <n v="-20"/>
    <n v="181.89999999999998"/>
    <n v="0"/>
    <n v="0"/>
    <n v="0"/>
    <n v="181.89999999999998"/>
    <x v="0"/>
    <x v="0"/>
    <n v="131.1"/>
    <n v="33"/>
    <n v="98.1"/>
  </r>
  <r>
    <s v="PM0183"/>
    <x v="48"/>
    <x v="3"/>
    <s v="NILONS STANDARD MIXED PICKLE 400GM*20"/>
    <n v="20"/>
    <n v="275"/>
    <n v="213.68"/>
    <x v="15"/>
    <n v="0"/>
    <n v="240"/>
    <n v="48"/>
    <n v="0"/>
    <n v="48"/>
    <n v="192"/>
    <n v="0"/>
    <n v="60"/>
    <n v="60"/>
    <n v="252"/>
    <n v="192"/>
    <n v="60"/>
    <n v="5"/>
    <n v="0"/>
    <n v="5"/>
    <n v="247"/>
    <n v="0"/>
    <m/>
    <n v="0"/>
    <n v="247"/>
    <n v="247"/>
    <n v="0"/>
    <n v="7.3"/>
    <n v="0"/>
    <n v="7.3"/>
    <n v="239.7"/>
    <n v="0"/>
    <n v="239.7"/>
    <n v="239.7"/>
    <n v="0"/>
    <n v="56.6"/>
    <n v="0"/>
    <n v="56.6"/>
    <n v="183.1"/>
    <n v="0"/>
    <n v="0"/>
    <n v="183.1"/>
    <n v="183.1"/>
    <n v="0.4"/>
    <n v="25.4"/>
    <n v="0"/>
    <n v="25.4"/>
    <n v="158.1"/>
    <n v="0"/>
    <n v="158.1"/>
    <n v="158.1"/>
    <n v="0"/>
    <n v="25.25"/>
    <n v="6.85"/>
    <n v="18.399999999999999"/>
    <n v="139.69999999999999"/>
    <n v="0"/>
    <n v="139.69999999999999"/>
    <n v="139.69999999999999"/>
    <n v="0"/>
    <n v="22.25"/>
    <n v="33"/>
    <n v="-10.75"/>
    <n v="150.44999999999999"/>
    <n v="0"/>
    <n v="0"/>
    <n v="0"/>
    <n v="150.44999999999999"/>
    <x v="0"/>
    <x v="0"/>
    <n v="164.55"/>
    <n v="33"/>
    <n v="131.55000000000001"/>
  </r>
  <r>
    <s v="PM0172"/>
    <x v="49"/>
    <x v="20"/>
    <s v="NILONS TOMATO KETCHUP 8GM*100*10"/>
    <n v="1000"/>
    <n v="2.5"/>
    <n v="1.94"/>
    <x v="24"/>
    <n v="63.6"/>
    <n v="10"/>
    <n v="7"/>
    <n v="0"/>
    <n v="7"/>
    <n v="66.599999999999994"/>
    <n v="0"/>
    <m/>
    <n v="0"/>
    <n v="66.599999999999994"/>
    <n v="66.599999999999994"/>
    <n v="0"/>
    <n v="2"/>
    <n v="0"/>
    <n v="2"/>
    <n v="64.599999999999994"/>
    <n v="0"/>
    <m/>
    <n v="0"/>
    <n v="64.599999999999994"/>
    <n v="64.599999999999994"/>
    <n v="0"/>
    <n v="1"/>
    <n v="0"/>
    <n v="1"/>
    <n v="63.599999999999994"/>
    <n v="0"/>
    <n v="63.599999999999994"/>
    <n v="63.599999999999994"/>
    <n v="0"/>
    <n v="9"/>
    <n v="0"/>
    <n v="9"/>
    <n v="54.599999999999994"/>
    <n v="0"/>
    <n v="0"/>
    <n v="54.599999999999994"/>
    <n v="54.599999999999994"/>
    <n v="0"/>
    <n v="5"/>
    <n v="1.3"/>
    <n v="3.7"/>
    <n v="50.899999999999991"/>
    <n v="0"/>
    <n v="50.899999999999991"/>
    <n v="50.899999999999991"/>
    <n v="0"/>
    <n v="0"/>
    <n v="1"/>
    <n v="-1"/>
    <n v="51.899999999999991"/>
    <n v="0"/>
    <n v="51.899999999999991"/>
    <n v="51.899999999999991"/>
    <n v="0"/>
    <n v="0"/>
    <n v="0"/>
    <n v="0"/>
    <n v="51.899999999999991"/>
    <n v="0"/>
    <n v="0"/>
    <n v="0"/>
    <n v="51.899999999999991"/>
    <x v="0"/>
    <x v="0"/>
    <n v="24"/>
    <n v="1.3"/>
    <n v="22.7"/>
  </r>
  <r>
    <s v="FG-6779"/>
    <x v="49"/>
    <x v="20"/>
    <s v="NILONS TOMATO KETCHUP 8GM*100*16"/>
    <n v="1600"/>
    <n v="2.5"/>
    <n v="1.94"/>
    <x v="25"/>
    <n v="13"/>
    <n v="0"/>
    <n v="11"/>
    <n v="0"/>
    <n v="11"/>
    <n v="2"/>
    <n v="0"/>
    <m/>
    <n v="0"/>
    <n v="2"/>
    <n v="2"/>
    <n v="0"/>
    <n v="0"/>
    <n v="0"/>
    <n v="0"/>
    <n v="2"/>
    <n v="0"/>
    <m/>
    <n v="0"/>
    <n v="2"/>
    <n v="2"/>
    <n v="0"/>
    <n v="0"/>
    <n v="0"/>
    <n v="0"/>
    <n v="2"/>
    <n v="0"/>
    <n v="2"/>
    <n v="2"/>
    <n v="0"/>
    <n v="0"/>
    <n v="0"/>
    <n v="0"/>
    <n v="2"/>
    <n v="0"/>
    <n v="0"/>
    <n v="2"/>
    <n v="2"/>
    <n v="0"/>
    <n v="0"/>
    <n v="0"/>
    <n v="0"/>
    <n v="2"/>
    <n v="0"/>
    <n v="2"/>
    <n v="2"/>
    <n v="0"/>
    <n v="0"/>
    <n v="0"/>
    <n v="0"/>
    <n v="2"/>
    <n v="0"/>
    <n v="2"/>
    <n v="2"/>
    <n v="0"/>
    <n v="0"/>
    <n v="0"/>
    <n v="0"/>
    <n v="2"/>
    <n v="0"/>
    <n v="0"/>
    <n v="0"/>
    <n v="2"/>
    <x v="0"/>
    <x v="0"/>
    <n v="11"/>
    <n v="0"/>
    <n v="11"/>
  </r>
  <r>
    <s v="PM0202"/>
    <x v="50"/>
    <x v="3"/>
    <s v="NILONS RED STUFF CHILLI PICKLE 400GM*20"/>
    <n v="20"/>
    <m/>
    <n v="0"/>
    <x v="26"/>
    <m/>
    <m/>
    <m/>
    <m/>
    <n v="0"/>
    <m/>
    <m/>
    <m/>
    <m/>
    <m/>
    <m/>
    <m/>
    <m/>
    <m/>
    <n v="0"/>
    <m/>
    <m/>
    <m/>
    <m/>
    <m/>
    <m/>
    <m/>
    <m/>
    <m/>
    <n v="0"/>
    <m/>
    <m/>
    <m/>
    <m/>
    <m/>
    <m/>
    <m/>
    <n v="0"/>
    <m/>
    <m/>
    <m/>
    <m/>
    <n v="0"/>
    <n v="1.5"/>
    <n v="1.5"/>
    <n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1.5"/>
    <n v="0"/>
    <n v="1.5"/>
  </r>
  <r>
    <s v="PM0203"/>
    <x v="51"/>
    <x v="19"/>
    <s v="NILONS SOYA CHUNKS 200GM*50"/>
    <n v="50"/>
    <m/>
    <n v="0"/>
    <x v="26"/>
    <m/>
    <m/>
    <m/>
    <m/>
    <n v="0"/>
    <m/>
    <m/>
    <m/>
    <m/>
    <m/>
    <m/>
    <m/>
    <m/>
    <m/>
    <n v="0"/>
    <m/>
    <m/>
    <m/>
    <m/>
    <m/>
    <m/>
    <m/>
    <m/>
    <m/>
    <n v="0"/>
    <m/>
    <m/>
    <m/>
    <m/>
    <m/>
    <m/>
    <m/>
    <n v="0"/>
    <m/>
    <m/>
    <m/>
    <m/>
    <n v="0"/>
    <n v="0.32"/>
    <n v="0.32"/>
    <n v="0"/>
    <n v="0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.32"/>
    <n v="0"/>
    <n v="0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B397A-9BED-4723-945D-96B62F881696}" name="PivotTable5" cacheId="3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rowHeaderCaption="Product">
  <location ref="A3:I56" firstHeaderRow="0" firstDataRow="1" firstDataCol="2"/>
  <pivotFields count="7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2">
        <item x="0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"/>
        <item x="4"/>
        <item x="22"/>
        <item x="23"/>
        <item x="24"/>
        <item x="25"/>
        <item x="26"/>
        <item x="27"/>
        <item x="29"/>
        <item x="31"/>
        <item x="32"/>
        <item x="33"/>
        <item x="34"/>
        <item x="35"/>
        <item x="36"/>
        <item x="37"/>
        <item x="38"/>
        <item x="39"/>
        <item x="50"/>
        <item x="41"/>
        <item x="42"/>
        <item x="43"/>
        <item x="44"/>
        <item x="3"/>
        <item x="47"/>
        <item x="28"/>
        <item x="30"/>
        <item x="48"/>
        <item x="49"/>
        <item x="40"/>
        <item x="45"/>
        <item x="46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3">
        <item m="1" x="21"/>
        <item x="19"/>
        <item x="15"/>
        <item x="10"/>
        <item x="13"/>
        <item x="14"/>
        <item x="17"/>
        <item x="20"/>
        <item x="7"/>
        <item x="18"/>
        <item x="0"/>
        <item x="11"/>
        <item m="1" x="22"/>
        <item x="2"/>
        <item x="3"/>
        <item x="4"/>
        <item x="8"/>
        <item x="16"/>
        <item x="1"/>
        <item x="12"/>
        <item x="6"/>
        <item x="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53">
    <i>
      <x v="1"/>
      <x v="41"/>
    </i>
    <i r="1">
      <x v="51"/>
    </i>
    <i>
      <x v="2"/>
      <x v="18"/>
    </i>
    <i>
      <x v="3"/>
      <x v="9"/>
    </i>
    <i>
      <x v="4"/>
      <x v="15"/>
    </i>
    <i r="1">
      <x v="16"/>
    </i>
    <i>
      <x v="5"/>
      <x v="17"/>
    </i>
    <i>
      <x v="6"/>
      <x v="28"/>
    </i>
    <i>
      <x v="7"/>
      <x v="47"/>
    </i>
    <i>
      <x v="8"/>
      <x v="6"/>
    </i>
    <i r="1">
      <x v="27"/>
    </i>
    <i r="1">
      <x v="35"/>
    </i>
    <i r="1">
      <x v="40"/>
    </i>
    <i>
      <x v="9"/>
      <x v="29"/>
    </i>
    <i r="1">
      <x v="30"/>
    </i>
    <i r="1">
      <x v="31"/>
    </i>
    <i r="1">
      <x v="32"/>
    </i>
    <i>
      <x v="10"/>
      <x/>
    </i>
    <i r="1">
      <x v="33"/>
    </i>
    <i r="1">
      <x v="34"/>
    </i>
    <i>
      <x v="11"/>
      <x v="10"/>
    </i>
    <i r="1">
      <x v="11"/>
    </i>
    <i r="1">
      <x v="12"/>
    </i>
    <i r="1">
      <x v="13"/>
    </i>
    <i r="1">
      <x v="39"/>
    </i>
    <i>
      <x v="13"/>
      <x v="19"/>
    </i>
    <i r="1">
      <x v="21"/>
    </i>
    <i r="1">
      <x v="24"/>
    </i>
    <i>
      <x v="14"/>
      <x v="37"/>
    </i>
    <i r="1">
      <x v="42"/>
    </i>
    <i r="1">
      <x v="43"/>
    </i>
    <i r="1">
      <x v="44"/>
    </i>
    <i r="1">
      <x v="45"/>
    </i>
    <i r="1">
      <x v="46"/>
    </i>
    <i>
      <x v="15"/>
      <x v="20"/>
    </i>
    <i r="1">
      <x v="22"/>
    </i>
    <i r="1">
      <x v="25"/>
    </i>
    <i>
      <x v="16"/>
      <x v="7"/>
    </i>
    <i>
      <x v="17"/>
      <x v="23"/>
    </i>
    <i r="1">
      <x v="26"/>
    </i>
    <i>
      <x v="18"/>
      <x v="1"/>
    </i>
    <i>
      <x v="19"/>
      <x v="14"/>
    </i>
    <i>
      <x v="20"/>
      <x v="5"/>
    </i>
    <i r="1">
      <x v="36"/>
    </i>
    <i r="1">
      <x v="48"/>
    </i>
    <i r="1">
      <x v="50"/>
    </i>
    <i>
      <x v="21"/>
      <x v="2"/>
    </i>
    <i r="1">
      <x v="3"/>
    </i>
    <i r="1">
      <x v="4"/>
    </i>
    <i r="1">
      <x v="49"/>
    </i>
    <i>
      <x v="22"/>
      <x v="8"/>
    </i>
    <i r="1">
      <x v="3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FEB-25 Opening" fld="61" baseField="0" baseItem="0"/>
    <dataField name="Sum of Purchase7" fld="62" baseField="0" baseItem="0"/>
    <dataField name="Sum of Primary 7" fld="63" baseField="0" baseItem="0"/>
    <dataField name="Sum of Sales Return7" fld="64" baseField="0" baseItem="0"/>
    <dataField name="Sum of Closing Stock 7" fld="66" baseField="0" baseItem="0"/>
    <dataField name="Sum of Total Transit3" fld="69" baseField="0" baseItem="0"/>
    <dataField name="Sum of Total Stock 7" fld="70" baseField="0" baseItem="0"/>
  </dataFields>
  <formats count="36">
    <format dxfId="634">
      <pivotArea type="all" dataOnly="0" outline="0" fieldPosition="0"/>
    </format>
    <format dxfId="633">
      <pivotArea outline="0" collapsedLevelsAreSubtotals="1" fieldPosition="0"/>
    </format>
    <format dxfId="632">
      <pivotArea field="1" type="button" dataOnly="0" labelOnly="1" outline="0" axis="axisRow" fieldPosition="1"/>
    </format>
    <format dxfId="631">
      <pivotArea dataOnly="0" labelOnly="1" fieldPosition="0">
        <references count="1">
          <reference field="1" count="0"/>
        </references>
      </pivotArea>
    </format>
    <format dxfId="630">
      <pivotArea dataOnly="0" labelOnly="1" grandRow="1" outline="0" fieldPosition="0"/>
    </format>
    <format dxfId="629">
      <pivotArea field="1" type="button" dataOnly="0" labelOnly="1" outline="0" axis="axisRow" fieldPosition="1"/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field="2" type="button" dataOnly="0" labelOnly="1" outline="0" axis="axisRow" fieldPosition="0"/>
    </format>
    <format dxfId="625">
      <pivotArea field="1" type="button" dataOnly="0" labelOnly="1" outline="0" axis="axisRow" fieldPosition="1"/>
    </format>
    <format dxfId="624">
      <pivotArea dataOnly="0" labelOnly="1" outline="0" fieldPosition="0">
        <references count="1">
          <reference field="2" count="0"/>
        </references>
      </pivotArea>
    </format>
    <format dxfId="623">
      <pivotArea dataOnly="0" labelOnly="1" grandRow="1" outline="0" fieldPosition="0"/>
    </format>
    <format dxfId="622">
      <pivotArea dataOnly="0" labelOnly="1" outline="0" fieldPosition="0">
        <references count="2">
          <reference field="1" count="1">
            <x v="41"/>
          </reference>
          <reference field="2" count="1" selected="0">
            <x v="1"/>
          </reference>
        </references>
      </pivotArea>
    </format>
    <format dxfId="621">
      <pivotArea dataOnly="0" labelOnly="1" outline="0" fieldPosition="0">
        <references count="2">
          <reference field="1" count="1">
            <x v="18"/>
          </reference>
          <reference field="2" count="1" selected="0">
            <x v="2"/>
          </reference>
        </references>
      </pivotArea>
    </format>
    <format dxfId="620">
      <pivotArea dataOnly="0" labelOnly="1" outline="0" fieldPosition="0">
        <references count="2">
          <reference field="1" count="1">
            <x v="9"/>
          </reference>
          <reference field="2" count="1" selected="0">
            <x v="3"/>
          </reference>
        </references>
      </pivotArea>
    </format>
    <format dxfId="619">
      <pivotArea dataOnly="0" labelOnly="1" outline="0" fieldPosition="0">
        <references count="2">
          <reference field="1" count="2">
            <x v="15"/>
            <x v="16"/>
          </reference>
          <reference field="2" count="1" selected="0">
            <x v="4"/>
          </reference>
        </references>
      </pivotArea>
    </format>
    <format dxfId="618">
      <pivotArea dataOnly="0" labelOnly="1" outline="0" fieldPosition="0">
        <references count="2">
          <reference field="1" count="1">
            <x v="17"/>
          </reference>
          <reference field="2" count="1" selected="0">
            <x v="5"/>
          </reference>
        </references>
      </pivotArea>
    </format>
    <format dxfId="617">
      <pivotArea dataOnly="0" labelOnly="1" outline="0" fieldPosition="0">
        <references count="2">
          <reference field="1" count="1">
            <x v="28"/>
          </reference>
          <reference field="2" count="1" selected="0">
            <x v="6"/>
          </reference>
        </references>
      </pivotArea>
    </format>
    <format dxfId="616">
      <pivotArea dataOnly="0" labelOnly="1" outline="0" fieldPosition="0">
        <references count="2">
          <reference field="1" count="1">
            <x v="47"/>
          </reference>
          <reference field="2" count="1" selected="0">
            <x v="7"/>
          </reference>
        </references>
      </pivotArea>
    </format>
    <format dxfId="615">
      <pivotArea dataOnly="0" labelOnly="1" outline="0" fieldPosition="0">
        <references count="2">
          <reference field="1" count="4">
            <x v="6"/>
            <x v="27"/>
            <x v="35"/>
            <x v="40"/>
          </reference>
          <reference field="2" count="1" selected="0">
            <x v="8"/>
          </reference>
        </references>
      </pivotArea>
    </format>
    <format dxfId="614">
      <pivotArea dataOnly="0" labelOnly="1" outline="0" fieldPosition="0">
        <references count="2">
          <reference field="1" count="4">
            <x v="29"/>
            <x v="30"/>
            <x v="31"/>
            <x v="32"/>
          </reference>
          <reference field="2" count="1" selected="0">
            <x v="9"/>
          </reference>
        </references>
      </pivotArea>
    </format>
    <format dxfId="613">
      <pivotArea dataOnly="0" labelOnly="1" outline="0" fieldPosition="0">
        <references count="2">
          <reference field="1" count="3">
            <x v="0"/>
            <x v="33"/>
            <x v="34"/>
          </reference>
          <reference field="2" count="1" selected="0">
            <x v="10"/>
          </reference>
        </references>
      </pivotArea>
    </format>
    <format dxfId="612">
      <pivotArea dataOnly="0" labelOnly="1" outline="0" fieldPosition="0">
        <references count="2">
          <reference field="1" count="5">
            <x v="10"/>
            <x v="11"/>
            <x v="12"/>
            <x v="13"/>
            <x v="39"/>
          </reference>
          <reference field="2" count="1" selected="0">
            <x v="11"/>
          </reference>
        </references>
      </pivotArea>
    </format>
    <format dxfId="611">
      <pivotArea dataOnly="0" labelOnly="1" outline="0" fieldPosition="0">
        <references count="2">
          <reference field="1" count="3">
            <x v="19"/>
            <x v="21"/>
            <x v="24"/>
          </reference>
          <reference field="2" count="1" selected="0">
            <x v="13"/>
          </reference>
        </references>
      </pivotArea>
    </format>
    <format dxfId="610">
      <pivotArea dataOnly="0" labelOnly="1" outline="0" fieldPosition="0">
        <references count="2">
          <reference field="1" count="6">
            <x v="37"/>
            <x v="42"/>
            <x v="43"/>
            <x v="44"/>
            <x v="45"/>
            <x v="46"/>
          </reference>
          <reference field="2" count="1" selected="0">
            <x v="14"/>
          </reference>
        </references>
      </pivotArea>
    </format>
    <format dxfId="609">
      <pivotArea dataOnly="0" labelOnly="1" outline="0" fieldPosition="0">
        <references count="2">
          <reference field="1" count="3">
            <x v="20"/>
            <x v="22"/>
            <x v="25"/>
          </reference>
          <reference field="2" count="1" selected="0">
            <x v="15"/>
          </reference>
        </references>
      </pivotArea>
    </format>
    <format dxfId="608">
      <pivotArea dataOnly="0" labelOnly="1" outline="0" fieldPosition="0">
        <references count="2">
          <reference field="1" count="1">
            <x v="7"/>
          </reference>
          <reference field="2" count="1" selected="0">
            <x v="16"/>
          </reference>
        </references>
      </pivotArea>
    </format>
    <format dxfId="607">
      <pivotArea dataOnly="0" labelOnly="1" outline="0" fieldPosition="0">
        <references count="2">
          <reference field="1" count="2">
            <x v="23"/>
            <x v="26"/>
          </reference>
          <reference field="2" count="1" selected="0">
            <x v="17"/>
          </reference>
        </references>
      </pivotArea>
    </format>
    <format dxfId="606">
      <pivotArea dataOnly="0" labelOnly="1" outline="0" fieldPosition="0">
        <references count="2">
          <reference field="1" count="1">
            <x v="1"/>
          </reference>
          <reference field="2" count="1" selected="0">
            <x v="18"/>
          </reference>
        </references>
      </pivotArea>
    </format>
    <format dxfId="605">
      <pivotArea dataOnly="0" labelOnly="1" outline="0" fieldPosition="0">
        <references count="2">
          <reference field="1" count="1">
            <x v="14"/>
          </reference>
          <reference field="2" count="1" selected="0">
            <x v="19"/>
          </reference>
        </references>
      </pivotArea>
    </format>
    <format dxfId="604">
      <pivotArea dataOnly="0" labelOnly="1" outline="0" fieldPosition="0">
        <references count="2">
          <reference field="1" count="2">
            <x v="5"/>
            <x v="36"/>
          </reference>
          <reference field="2" count="1" selected="0">
            <x v="20"/>
          </reference>
        </references>
      </pivotArea>
    </format>
    <format dxfId="603">
      <pivotArea dataOnly="0" labelOnly="1" outline="0" fieldPosition="0">
        <references count="2">
          <reference field="1" count="3">
            <x v="2"/>
            <x v="3"/>
            <x v="4"/>
          </reference>
          <reference field="2" count="1" selected="0">
            <x v="21"/>
          </reference>
        </references>
      </pivotArea>
    </format>
    <format dxfId="602">
      <pivotArea dataOnly="0" labelOnly="1" outline="0" fieldPosition="0">
        <references count="2">
          <reference field="1" count="2">
            <x v="8"/>
            <x v="38"/>
          </reference>
          <reference field="2" count="1" selected="0">
            <x v="22"/>
          </reference>
        </references>
      </pivotArea>
    </format>
    <format dxfId="601">
      <pivotArea outline="0" collapsedLevelsAreSubtotals="1" fieldPosition="0"/>
    </format>
    <format dxfId="6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9">
      <pivotArea dataOnly="0" labelOnly="1" outline="0" fieldPosition="0">
        <references count="1">
          <reference field="4294967294" count="6"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A4A00-2483-4144-BFEA-110F2BCA5D47}" name="PivotTable4" cacheId="3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rowHeaderCaption="Product">
  <location ref="B3:M58" firstHeaderRow="0" firstDataRow="1" firstDataCol="3"/>
  <pivotFields count="7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2">
        <item x="0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"/>
        <item x="4"/>
        <item x="22"/>
        <item x="23"/>
        <item x="24"/>
        <item x="25"/>
        <item x="26"/>
        <item x="27"/>
        <item x="29"/>
        <item x="31"/>
        <item x="32"/>
        <item x="33"/>
        <item x="34"/>
        <item x="35"/>
        <item x="36"/>
        <item x="37"/>
        <item x="38"/>
        <item x="39"/>
        <item x="50"/>
        <item x="41"/>
        <item x="42"/>
        <item x="43"/>
        <item x="44"/>
        <item x="3"/>
        <item x="47"/>
        <item x="28"/>
        <item x="30"/>
        <item x="48"/>
        <item x="49"/>
        <item x="40"/>
        <item x="45"/>
        <item x="46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3">
        <item m="1" x="21"/>
        <item x="19"/>
        <item x="15"/>
        <item x="10"/>
        <item x="13"/>
        <item x="14"/>
        <item x="17"/>
        <item x="20"/>
        <item x="7"/>
        <item x="18"/>
        <item x="0"/>
        <item x="11"/>
        <item m="1" x="22"/>
        <item x="2"/>
        <item x="3"/>
        <item x="4"/>
        <item x="8"/>
        <item x="16"/>
        <item x="1"/>
        <item x="12"/>
        <item x="6"/>
        <item x="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3" outline="0" showAll="0" defaultSubtotal="0">
      <items count="27">
        <item x="26"/>
        <item x="24"/>
        <item x="20"/>
        <item x="6"/>
        <item x="25"/>
        <item x="9"/>
        <item x="0"/>
        <item x="18"/>
        <item x="5"/>
        <item x="1"/>
        <item x="21"/>
        <item x="4"/>
        <item x="16"/>
        <item x="17"/>
        <item x="14"/>
        <item x="3"/>
        <item x="15"/>
        <item x="2"/>
        <item x="22"/>
        <item x="7"/>
        <item x="23"/>
        <item x="19"/>
        <item x="11"/>
        <item x="10"/>
        <item x="8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"/>
    <field x="7"/>
  </rowFields>
  <rowItems count="55">
    <i>
      <x v="1"/>
      <x v="41"/>
      <x v="17"/>
    </i>
    <i r="1">
      <x v="51"/>
      <x/>
    </i>
    <i>
      <x v="2"/>
      <x v="18"/>
      <x v="24"/>
    </i>
    <i>
      <x v="3"/>
      <x v="9"/>
      <x v="24"/>
    </i>
    <i>
      <x v="4"/>
      <x v="15"/>
      <x v="25"/>
    </i>
    <i r="1">
      <x v="16"/>
      <x v="26"/>
    </i>
    <i>
      <x v="5"/>
      <x v="17"/>
      <x v="24"/>
    </i>
    <i>
      <x v="6"/>
      <x v="28"/>
      <x v="13"/>
    </i>
    <i>
      <x v="7"/>
      <x v="47"/>
      <x v="1"/>
    </i>
    <i r="2">
      <x v="4"/>
    </i>
    <i>
      <x v="8"/>
      <x v="6"/>
      <x v="17"/>
    </i>
    <i r="1">
      <x v="27"/>
      <x v="12"/>
    </i>
    <i r="1">
      <x v="35"/>
      <x v="17"/>
    </i>
    <i r="1">
      <x v="40"/>
      <x v="18"/>
    </i>
    <i>
      <x v="9"/>
      <x v="29"/>
      <x v="7"/>
    </i>
    <i r="1">
      <x v="30"/>
      <x v="7"/>
    </i>
    <i r="1">
      <x v="31"/>
      <x v="7"/>
    </i>
    <i r="1">
      <x v="32"/>
      <x v="7"/>
    </i>
    <i>
      <x v="10"/>
      <x/>
      <x v="6"/>
    </i>
    <i r="1">
      <x v="33"/>
      <x v="6"/>
    </i>
    <i r="1">
      <x v="34"/>
      <x v="6"/>
    </i>
    <i>
      <x v="11"/>
      <x v="10"/>
      <x v="5"/>
    </i>
    <i r="1">
      <x v="11"/>
      <x v="5"/>
    </i>
    <i r="1">
      <x v="12"/>
      <x v="23"/>
    </i>
    <i r="1">
      <x v="13"/>
      <x v="5"/>
    </i>
    <i r="1">
      <x v="39"/>
      <x v="10"/>
    </i>
    <i>
      <x v="13"/>
      <x v="19"/>
      <x v="17"/>
    </i>
    <i r="1">
      <x v="21"/>
      <x v="17"/>
    </i>
    <i r="1">
      <x v="24"/>
      <x v="17"/>
    </i>
    <i>
      <x v="14"/>
      <x v="37"/>
      <x/>
    </i>
    <i r="1">
      <x v="42"/>
      <x v="15"/>
    </i>
    <i r="2">
      <x v="16"/>
    </i>
    <i r="1">
      <x v="43"/>
      <x v="20"/>
    </i>
    <i r="1">
      <x v="44"/>
      <x v="16"/>
    </i>
    <i r="1">
      <x v="45"/>
      <x v="16"/>
    </i>
    <i r="1">
      <x v="46"/>
      <x v="16"/>
    </i>
    <i>
      <x v="15"/>
      <x v="20"/>
      <x v="11"/>
    </i>
    <i r="1">
      <x v="22"/>
      <x v="11"/>
    </i>
    <i r="1">
      <x v="25"/>
      <x v="11"/>
    </i>
    <i>
      <x v="16"/>
      <x v="7"/>
      <x v="3"/>
    </i>
    <i>
      <x v="17"/>
      <x v="23"/>
      <x v="14"/>
    </i>
    <i r="1">
      <x v="26"/>
      <x v="14"/>
    </i>
    <i>
      <x v="18"/>
      <x v="1"/>
      <x v="9"/>
    </i>
    <i>
      <x v="19"/>
      <x v="14"/>
      <x v="22"/>
    </i>
    <i>
      <x v="20"/>
      <x v="5"/>
      <x v="17"/>
    </i>
    <i r="1">
      <x v="36"/>
      <x v="21"/>
    </i>
    <i r="1">
      <x v="48"/>
      <x v="17"/>
    </i>
    <i r="1">
      <x v="50"/>
      <x v="17"/>
    </i>
    <i>
      <x v="21"/>
      <x v="2"/>
      <x v="8"/>
    </i>
    <i r="1">
      <x v="3"/>
      <x v="8"/>
    </i>
    <i r="1">
      <x v="4"/>
      <x v="8"/>
    </i>
    <i r="1">
      <x v="49"/>
      <x v="8"/>
    </i>
    <i>
      <x v="22"/>
      <x v="8"/>
      <x v="19"/>
    </i>
    <i r="1">
      <x v="38"/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AUG-Net Sales" fld="12" baseField="0" baseItem="0"/>
    <dataField name="Sum of SEP-Net Sales" fld="22" baseField="0" baseItem="0"/>
    <dataField name="Sum of OCT-Net Sales" fld="32" baseField="0" baseItem="0"/>
    <dataField name="Sum of NOV-Net Sales" fld="40" baseField="0" baseItem="0"/>
    <dataField name="Sum of DEC-Net Sales" fld="49" baseField="0" baseItem="0"/>
    <dataField name="Sum of JAN-Net Sales" fld="57" baseField="0" baseItem="0"/>
    <dataField name="Sum of FEB-Net Sales" fld="65" baseField="0" baseItem="0"/>
    <dataField name="Sum of Closing Stock 7" fld="66" baseField="0" baseItem="0"/>
    <dataField name="Sum of PI-174" fld="67" baseField="0" baseItem="0"/>
  </dataFields>
  <formats count="39">
    <format dxfId="383">
      <pivotArea type="all" dataOnly="0" outline="0" fieldPosition="0"/>
    </format>
    <format dxfId="384">
      <pivotArea outline="0" collapsedLevelsAreSubtotals="1" fieldPosition="0"/>
    </format>
    <format dxfId="385">
      <pivotArea field="1" type="button" dataOnly="0" labelOnly="1" outline="0" axis="axisRow" fieldPosition="1"/>
    </format>
    <format dxfId="386">
      <pivotArea dataOnly="0" labelOnly="1" fieldPosition="0">
        <references count="1">
          <reference field="1" count="0"/>
        </references>
      </pivotArea>
    </format>
    <format dxfId="387">
      <pivotArea dataOnly="0" labelOnly="1" grandRow="1" outline="0" fieldPosition="0"/>
    </format>
    <format dxfId="388">
      <pivotArea field="1" type="button" dataOnly="0" labelOnly="1" outline="0" axis="axisRow" fieldPosition="1"/>
    </format>
    <format dxfId="389">
      <pivotArea type="all" dataOnly="0" outline="0" fieldPosition="0"/>
    </format>
    <format dxfId="390">
      <pivotArea outline="0" collapsedLevelsAreSubtotals="1" fieldPosition="0"/>
    </format>
    <format dxfId="391">
      <pivotArea field="2" type="button" dataOnly="0" labelOnly="1" outline="0" axis="axisRow" fieldPosition="0"/>
    </format>
    <format dxfId="392">
      <pivotArea field="1" type="button" dataOnly="0" labelOnly="1" outline="0" axis="axisRow" fieldPosition="1"/>
    </format>
    <format dxfId="393">
      <pivotArea dataOnly="0" labelOnly="1" outline="0" fieldPosition="0">
        <references count="1">
          <reference field="2" count="0"/>
        </references>
      </pivotArea>
    </format>
    <format dxfId="394">
      <pivotArea dataOnly="0" labelOnly="1" grandRow="1" outline="0" fieldPosition="0"/>
    </format>
    <format dxfId="395">
      <pivotArea dataOnly="0" labelOnly="1" outline="0" fieldPosition="0">
        <references count="2">
          <reference field="1" count="1">
            <x v="41"/>
          </reference>
          <reference field="2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1" count="1">
            <x v="18"/>
          </reference>
          <reference field="2" count="1" selected="0">
            <x v="2"/>
          </reference>
        </references>
      </pivotArea>
    </format>
    <format dxfId="397">
      <pivotArea dataOnly="0" labelOnly="1" outline="0" fieldPosition="0">
        <references count="2">
          <reference field="1" count="1">
            <x v="9"/>
          </reference>
          <reference field="2" count="1" selected="0">
            <x v="3"/>
          </reference>
        </references>
      </pivotArea>
    </format>
    <format dxfId="398">
      <pivotArea dataOnly="0" labelOnly="1" outline="0" fieldPosition="0">
        <references count="2">
          <reference field="1" count="2">
            <x v="15"/>
            <x v="16"/>
          </reference>
          <reference field="2" count="1" selected="0">
            <x v="4"/>
          </reference>
        </references>
      </pivotArea>
    </format>
    <format dxfId="399">
      <pivotArea dataOnly="0" labelOnly="1" outline="0" fieldPosition="0">
        <references count="2">
          <reference field="1" count="1">
            <x v="17"/>
          </reference>
          <reference field="2" count="1" selected="0">
            <x v="5"/>
          </reference>
        </references>
      </pivotArea>
    </format>
    <format dxfId="400">
      <pivotArea dataOnly="0" labelOnly="1" outline="0" fieldPosition="0">
        <references count="2">
          <reference field="1" count="1">
            <x v="28"/>
          </reference>
          <reference field="2" count="1" selected="0">
            <x v="6"/>
          </reference>
        </references>
      </pivotArea>
    </format>
    <format dxfId="401">
      <pivotArea dataOnly="0" labelOnly="1" outline="0" fieldPosition="0">
        <references count="2">
          <reference field="1" count="1">
            <x v="47"/>
          </reference>
          <reference field="2" count="1" selected="0">
            <x v="7"/>
          </reference>
        </references>
      </pivotArea>
    </format>
    <format dxfId="402">
      <pivotArea dataOnly="0" labelOnly="1" outline="0" fieldPosition="0">
        <references count="2">
          <reference field="1" count="4">
            <x v="6"/>
            <x v="27"/>
            <x v="35"/>
            <x v="40"/>
          </reference>
          <reference field="2" count="1" selected="0">
            <x v="8"/>
          </reference>
        </references>
      </pivotArea>
    </format>
    <format dxfId="403">
      <pivotArea dataOnly="0" labelOnly="1" outline="0" fieldPosition="0">
        <references count="2">
          <reference field="1" count="4">
            <x v="29"/>
            <x v="30"/>
            <x v="31"/>
            <x v="32"/>
          </reference>
          <reference field="2" count="1" selected="0">
            <x v="9"/>
          </reference>
        </references>
      </pivotArea>
    </format>
    <format dxfId="404">
      <pivotArea dataOnly="0" labelOnly="1" outline="0" fieldPosition="0">
        <references count="2">
          <reference field="1" count="3">
            <x v="0"/>
            <x v="33"/>
            <x v="34"/>
          </reference>
          <reference field="2" count="1" selected="0">
            <x v="10"/>
          </reference>
        </references>
      </pivotArea>
    </format>
    <format dxfId="405">
      <pivotArea dataOnly="0" labelOnly="1" outline="0" fieldPosition="0">
        <references count="2">
          <reference field="1" count="5">
            <x v="10"/>
            <x v="11"/>
            <x v="12"/>
            <x v="13"/>
            <x v="39"/>
          </reference>
          <reference field="2" count="1" selected="0">
            <x v="11"/>
          </reference>
        </references>
      </pivotArea>
    </format>
    <format dxfId="406">
      <pivotArea dataOnly="0" labelOnly="1" outline="0" fieldPosition="0">
        <references count="2">
          <reference field="1" count="3">
            <x v="19"/>
            <x v="21"/>
            <x v="24"/>
          </reference>
          <reference field="2" count="1" selected="0">
            <x v="13"/>
          </reference>
        </references>
      </pivotArea>
    </format>
    <format dxfId="407">
      <pivotArea dataOnly="0" labelOnly="1" outline="0" fieldPosition="0">
        <references count="2">
          <reference field="1" count="6">
            <x v="37"/>
            <x v="42"/>
            <x v="43"/>
            <x v="44"/>
            <x v="45"/>
            <x v="46"/>
          </reference>
          <reference field="2" count="1" selected="0">
            <x v="14"/>
          </reference>
        </references>
      </pivotArea>
    </format>
    <format dxfId="408">
      <pivotArea dataOnly="0" labelOnly="1" outline="0" fieldPosition="0">
        <references count="2">
          <reference field="1" count="3">
            <x v="20"/>
            <x v="22"/>
            <x v="25"/>
          </reference>
          <reference field="2" count="1" selected="0">
            <x v="15"/>
          </reference>
        </references>
      </pivotArea>
    </format>
    <format dxfId="409">
      <pivotArea dataOnly="0" labelOnly="1" outline="0" fieldPosition="0">
        <references count="2">
          <reference field="1" count="1">
            <x v="7"/>
          </reference>
          <reference field="2" count="1" selected="0">
            <x v="16"/>
          </reference>
        </references>
      </pivotArea>
    </format>
    <format dxfId="410">
      <pivotArea dataOnly="0" labelOnly="1" outline="0" fieldPosition="0">
        <references count="2">
          <reference field="1" count="2">
            <x v="23"/>
            <x v="26"/>
          </reference>
          <reference field="2" count="1" selected="0">
            <x v="17"/>
          </reference>
        </references>
      </pivotArea>
    </format>
    <format dxfId="411">
      <pivotArea dataOnly="0" labelOnly="1" outline="0" fieldPosition="0">
        <references count="2">
          <reference field="1" count="1">
            <x v="1"/>
          </reference>
          <reference field="2" count="1" selected="0">
            <x v="18"/>
          </reference>
        </references>
      </pivotArea>
    </format>
    <format dxfId="412">
      <pivotArea dataOnly="0" labelOnly="1" outline="0" fieldPosition="0">
        <references count="2">
          <reference field="1" count="1">
            <x v="14"/>
          </reference>
          <reference field="2" count="1" selected="0">
            <x v="19"/>
          </reference>
        </references>
      </pivotArea>
    </format>
    <format dxfId="413">
      <pivotArea dataOnly="0" labelOnly="1" outline="0" fieldPosition="0">
        <references count="2">
          <reference field="1" count="2">
            <x v="5"/>
            <x v="36"/>
          </reference>
          <reference field="2" count="1" selected="0">
            <x v="20"/>
          </reference>
        </references>
      </pivotArea>
    </format>
    <format dxfId="414">
      <pivotArea dataOnly="0" labelOnly="1" outline="0" fieldPosition="0">
        <references count="2">
          <reference field="1" count="3">
            <x v="2"/>
            <x v="3"/>
            <x v="4"/>
          </reference>
          <reference field="2" count="1" selected="0">
            <x v="21"/>
          </reference>
        </references>
      </pivotArea>
    </format>
    <format dxfId="415">
      <pivotArea dataOnly="0" labelOnly="1" outline="0" fieldPosition="0">
        <references count="2">
          <reference field="1" count="2">
            <x v="8"/>
            <x v="38"/>
          </reference>
          <reference field="2" count="1" selected="0">
            <x v="22"/>
          </reference>
        </references>
      </pivotArea>
    </format>
    <format dxfId="416">
      <pivotArea outline="0" collapsedLevelsAreSubtotals="1" fieldPosition="0"/>
    </format>
    <format dxfId="417">
      <pivotArea field="2" type="button" dataOnly="0" labelOnly="1" outline="0" axis="axisRow" fieldPosition="0"/>
    </format>
    <format dxfId="418">
      <pivotArea field="1" type="button" dataOnly="0" labelOnly="1" outline="0" axis="axisRow" fieldPosition="1"/>
    </format>
    <format dxfId="419">
      <pivotArea field="7" type="button" dataOnly="0" labelOnly="1" outline="0" axis="axisRow" fieldPosition="2"/>
    </format>
    <format dxfId="42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C62E-6193-438C-B01A-34DD8FDF0B5B}">
  <dimension ref="A3:J56"/>
  <sheetViews>
    <sheetView topLeftCell="C1" workbookViewId="0">
      <pane ySplit="3" topLeftCell="A25" activePane="bottomLeft" state="frozen"/>
      <selection pane="bottomLeft" activeCell="F32" sqref="F32"/>
    </sheetView>
  </sheetViews>
  <sheetFormatPr defaultRowHeight="15" x14ac:dyDescent="0.25"/>
  <cols>
    <col min="1" max="1" width="24.42578125" customWidth="1"/>
    <col min="2" max="2" width="46.5703125" bestFit="1" customWidth="1"/>
    <col min="3" max="3" width="15.85546875" style="39" bestFit="1" customWidth="1"/>
    <col min="4" max="4" width="12.28515625" style="39" bestFit="1" customWidth="1"/>
    <col min="5" max="5" width="11.5703125" style="39" bestFit="1" customWidth="1"/>
    <col min="6" max="6" width="10.28515625" style="39" bestFit="1" customWidth="1"/>
    <col min="7" max="7" width="14.85546875" style="39" bestFit="1" customWidth="1"/>
    <col min="8" max="8" width="10.28515625" style="39" bestFit="1" customWidth="1"/>
    <col min="9" max="9" width="9.42578125" style="2" bestFit="1" customWidth="1"/>
    <col min="10" max="10" width="14.28515625" style="2" bestFit="1" customWidth="1"/>
  </cols>
  <sheetData>
    <row r="3" spans="1:10" ht="45" x14ac:dyDescent="0.25">
      <c r="A3" s="18" t="s">
        <v>3</v>
      </c>
      <c r="B3" s="19" t="s">
        <v>174</v>
      </c>
      <c r="C3" s="40" t="s">
        <v>240</v>
      </c>
      <c r="D3" s="40" t="s">
        <v>241</v>
      </c>
      <c r="E3" s="40" t="s">
        <v>242</v>
      </c>
      <c r="F3" s="40" t="s">
        <v>243</v>
      </c>
      <c r="G3" s="40" t="s">
        <v>244</v>
      </c>
      <c r="H3" s="40" t="s">
        <v>245</v>
      </c>
      <c r="I3" s="40" t="s">
        <v>246</v>
      </c>
      <c r="J3"/>
    </row>
    <row r="4" spans="1:10" x14ac:dyDescent="0.25">
      <c r="A4" s="9" t="s">
        <v>146</v>
      </c>
      <c r="B4" s="9" t="s">
        <v>189</v>
      </c>
      <c r="C4" s="38">
        <v>124.96000000000001</v>
      </c>
      <c r="D4" s="38">
        <v>150</v>
      </c>
      <c r="E4" s="38">
        <v>39</v>
      </c>
      <c r="F4" s="38">
        <v>0</v>
      </c>
      <c r="G4" s="38">
        <v>235.96000000000004</v>
      </c>
      <c r="H4" s="38">
        <v>0</v>
      </c>
      <c r="I4" s="38">
        <v>235.96000000000004</v>
      </c>
      <c r="J4"/>
    </row>
    <row r="5" spans="1:10" x14ac:dyDescent="0.25">
      <c r="A5" s="9" t="s">
        <v>146</v>
      </c>
      <c r="B5" s="9" t="s">
        <v>196</v>
      </c>
      <c r="C5" s="38">
        <v>0</v>
      </c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/>
    </row>
    <row r="6" spans="1:10" x14ac:dyDescent="0.25">
      <c r="A6" s="9" t="s">
        <v>144</v>
      </c>
      <c r="B6" s="9" t="s">
        <v>219</v>
      </c>
      <c r="C6" s="38">
        <v>13.690000000000001</v>
      </c>
      <c r="D6" s="38">
        <v>0</v>
      </c>
      <c r="E6" s="38">
        <v>0</v>
      </c>
      <c r="F6" s="38">
        <v>0</v>
      </c>
      <c r="G6" s="38">
        <v>13.690000000000001</v>
      </c>
      <c r="H6" s="38">
        <v>0</v>
      </c>
      <c r="I6" s="38">
        <v>13.690000000000001</v>
      </c>
      <c r="J6"/>
    </row>
    <row r="7" spans="1:10" x14ac:dyDescent="0.25">
      <c r="A7" s="9" t="s">
        <v>145</v>
      </c>
      <c r="B7" s="9" t="s">
        <v>210</v>
      </c>
      <c r="C7" s="38">
        <v>204.77</v>
      </c>
      <c r="D7" s="38">
        <v>0</v>
      </c>
      <c r="E7" s="38">
        <v>3.17</v>
      </c>
      <c r="F7" s="38">
        <v>0</v>
      </c>
      <c r="G7" s="38">
        <v>201.60000000000002</v>
      </c>
      <c r="H7" s="38">
        <v>0</v>
      </c>
      <c r="I7" s="38">
        <v>201.60000000000002</v>
      </c>
      <c r="J7"/>
    </row>
    <row r="8" spans="1:10" x14ac:dyDescent="0.25">
      <c r="A8" s="9" t="s">
        <v>141</v>
      </c>
      <c r="B8" s="9" t="s">
        <v>216</v>
      </c>
      <c r="C8" s="38">
        <v>97.46</v>
      </c>
      <c r="D8" s="38">
        <v>0</v>
      </c>
      <c r="E8" s="38">
        <v>20</v>
      </c>
      <c r="F8" s="38">
        <v>1</v>
      </c>
      <c r="G8" s="38">
        <v>78.459999999999994</v>
      </c>
      <c r="H8" s="38">
        <v>0</v>
      </c>
      <c r="I8" s="38">
        <v>78.459999999999994</v>
      </c>
      <c r="J8"/>
    </row>
    <row r="9" spans="1:10" x14ac:dyDescent="0.25">
      <c r="A9" s="9" t="s">
        <v>141</v>
      </c>
      <c r="B9" s="9" t="s">
        <v>217</v>
      </c>
      <c r="C9" s="38">
        <v>15.639999999999997</v>
      </c>
      <c r="D9" s="38">
        <v>100</v>
      </c>
      <c r="E9" s="38">
        <v>93</v>
      </c>
      <c r="F9" s="38">
        <v>0</v>
      </c>
      <c r="G9" s="38">
        <v>22.64</v>
      </c>
      <c r="H9" s="38">
        <v>0</v>
      </c>
      <c r="I9" s="38">
        <v>22.64</v>
      </c>
      <c r="J9"/>
    </row>
    <row r="10" spans="1:10" x14ac:dyDescent="0.25">
      <c r="A10" s="9" t="s">
        <v>151</v>
      </c>
      <c r="B10" s="9" t="s">
        <v>218</v>
      </c>
      <c r="C10" s="38">
        <v>34.93</v>
      </c>
      <c r="D10" s="38">
        <v>0</v>
      </c>
      <c r="E10" s="38">
        <v>7.17</v>
      </c>
      <c r="F10" s="38">
        <v>0</v>
      </c>
      <c r="G10" s="38">
        <v>27.759999999999998</v>
      </c>
      <c r="H10" s="38">
        <v>0</v>
      </c>
      <c r="I10" s="38">
        <v>27.759999999999998</v>
      </c>
      <c r="J10"/>
    </row>
    <row r="11" spans="1:10" x14ac:dyDescent="0.25">
      <c r="A11" s="9" t="s">
        <v>150</v>
      </c>
      <c r="B11" s="9" t="s">
        <v>222</v>
      </c>
      <c r="C11" s="38">
        <v>47.849999999999994</v>
      </c>
      <c r="D11" s="38">
        <v>100</v>
      </c>
      <c r="E11" s="38">
        <v>120.25</v>
      </c>
      <c r="F11" s="38">
        <v>0.15</v>
      </c>
      <c r="G11" s="38">
        <v>27.75</v>
      </c>
      <c r="H11" s="38">
        <v>215</v>
      </c>
      <c r="I11" s="38">
        <v>242.75</v>
      </c>
      <c r="J11"/>
    </row>
    <row r="12" spans="1:10" x14ac:dyDescent="0.25">
      <c r="A12" s="9" t="s">
        <v>143</v>
      </c>
      <c r="B12" s="9" t="s">
        <v>195</v>
      </c>
      <c r="C12" s="38">
        <v>53.899999999999991</v>
      </c>
      <c r="D12" s="38">
        <v>0</v>
      </c>
      <c r="E12" s="38">
        <v>0</v>
      </c>
      <c r="F12" s="38">
        <v>0</v>
      </c>
      <c r="G12" s="38">
        <v>53.899999999999991</v>
      </c>
      <c r="H12" s="38">
        <v>0</v>
      </c>
      <c r="I12" s="38">
        <v>53.899999999999991</v>
      </c>
      <c r="J12"/>
    </row>
    <row r="13" spans="1:10" x14ac:dyDescent="0.25">
      <c r="A13" s="9" t="s">
        <v>142</v>
      </c>
      <c r="B13" s="9" t="s">
        <v>207</v>
      </c>
      <c r="C13" s="38">
        <v>1</v>
      </c>
      <c r="D13" s="38">
        <v>40</v>
      </c>
      <c r="E13" s="38">
        <v>3</v>
      </c>
      <c r="F13" s="38">
        <v>0.8</v>
      </c>
      <c r="G13" s="38">
        <v>38.799999999999997</v>
      </c>
      <c r="H13" s="38">
        <v>25</v>
      </c>
      <c r="I13" s="38">
        <v>63.8</v>
      </c>
      <c r="J13"/>
    </row>
    <row r="14" spans="1:10" x14ac:dyDescent="0.25">
      <c r="A14" s="9" t="s">
        <v>142</v>
      </c>
      <c r="B14" s="9" t="s">
        <v>221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25</v>
      </c>
      <c r="I14" s="38">
        <v>25</v>
      </c>
      <c r="J14"/>
    </row>
    <row r="15" spans="1:10" x14ac:dyDescent="0.25">
      <c r="A15" s="9" t="s">
        <v>142</v>
      </c>
      <c r="B15" s="9" t="s">
        <v>227</v>
      </c>
      <c r="C15" s="38">
        <v>1.75</v>
      </c>
      <c r="D15" s="38">
        <v>0</v>
      </c>
      <c r="E15" s="38">
        <v>0</v>
      </c>
      <c r="F15" s="38">
        <v>0</v>
      </c>
      <c r="G15" s="38">
        <v>1.75</v>
      </c>
      <c r="H15" s="38">
        <v>25</v>
      </c>
      <c r="I15" s="38">
        <v>26.75</v>
      </c>
      <c r="J15"/>
    </row>
    <row r="16" spans="1:10" x14ac:dyDescent="0.25">
      <c r="A16" s="9" t="s">
        <v>142</v>
      </c>
      <c r="B16" s="9" t="s">
        <v>231</v>
      </c>
      <c r="C16" s="38">
        <v>0.82999999999999829</v>
      </c>
      <c r="D16" s="38">
        <v>0</v>
      </c>
      <c r="E16" s="38">
        <v>0</v>
      </c>
      <c r="F16" s="38">
        <v>0</v>
      </c>
      <c r="G16" s="38">
        <v>0.82999999999999829</v>
      </c>
      <c r="H16" s="38">
        <v>25</v>
      </c>
      <c r="I16" s="38">
        <v>25.83</v>
      </c>
      <c r="J16"/>
    </row>
    <row r="17" spans="1:10" x14ac:dyDescent="0.25">
      <c r="A17" s="9" t="s">
        <v>140</v>
      </c>
      <c r="B17" s="9" t="s">
        <v>223</v>
      </c>
      <c r="C17" s="38">
        <v>387.66</v>
      </c>
      <c r="D17" s="38">
        <v>0</v>
      </c>
      <c r="E17" s="38">
        <v>31</v>
      </c>
      <c r="F17" s="38">
        <v>0</v>
      </c>
      <c r="G17" s="38">
        <v>356.66</v>
      </c>
      <c r="H17" s="38">
        <v>0</v>
      </c>
      <c r="I17" s="38">
        <v>356.66</v>
      </c>
      <c r="J17"/>
    </row>
    <row r="18" spans="1:10" x14ac:dyDescent="0.25">
      <c r="A18" s="9" t="s">
        <v>140</v>
      </c>
      <c r="B18" s="9" t="s">
        <v>224</v>
      </c>
      <c r="C18" s="38">
        <v>276.38</v>
      </c>
      <c r="D18" s="38">
        <v>0</v>
      </c>
      <c r="E18" s="38">
        <v>31.11</v>
      </c>
      <c r="F18" s="38">
        <v>0.28000000000000003</v>
      </c>
      <c r="G18" s="38">
        <v>245.55</v>
      </c>
      <c r="H18" s="38">
        <v>0</v>
      </c>
      <c r="I18" s="38">
        <v>245.55</v>
      </c>
      <c r="J18"/>
    </row>
    <row r="19" spans="1:10" x14ac:dyDescent="0.25">
      <c r="A19" s="9" t="s">
        <v>140</v>
      </c>
      <c r="B19" s="9" t="s">
        <v>225</v>
      </c>
      <c r="C19" s="38">
        <v>945.38000000000011</v>
      </c>
      <c r="D19" s="38">
        <v>0</v>
      </c>
      <c r="E19" s="38">
        <v>311.11</v>
      </c>
      <c r="F19" s="38">
        <v>0.28000000000000003</v>
      </c>
      <c r="G19" s="38">
        <v>634.55000000000007</v>
      </c>
      <c r="H19" s="38">
        <v>0</v>
      </c>
      <c r="I19" s="38">
        <v>634.55000000000007</v>
      </c>
      <c r="J19"/>
    </row>
    <row r="20" spans="1:10" x14ac:dyDescent="0.25">
      <c r="A20" s="9" t="s">
        <v>140</v>
      </c>
      <c r="B20" s="9" t="s">
        <v>226</v>
      </c>
      <c r="C20" s="38">
        <v>74.66</v>
      </c>
      <c r="D20" s="38">
        <v>0</v>
      </c>
      <c r="E20" s="38">
        <v>16.22</v>
      </c>
      <c r="F20" s="38">
        <v>0</v>
      </c>
      <c r="G20" s="38">
        <v>58.44</v>
      </c>
      <c r="H20" s="38">
        <v>0</v>
      </c>
      <c r="I20" s="38">
        <v>58.44</v>
      </c>
      <c r="J20"/>
    </row>
    <row r="21" spans="1:10" x14ac:dyDescent="0.25">
      <c r="A21" s="9" t="s">
        <v>149</v>
      </c>
      <c r="B21" s="9" t="s">
        <v>175</v>
      </c>
      <c r="C21" s="38">
        <v>2.4300000000000068</v>
      </c>
      <c r="D21" s="38">
        <v>0</v>
      </c>
      <c r="E21" s="38">
        <v>0</v>
      </c>
      <c r="F21" s="38">
        <v>1.83</v>
      </c>
      <c r="G21" s="38">
        <v>4.2600000000000069</v>
      </c>
      <c r="H21" s="38">
        <v>0</v>
      </c>
      <c r="I21" s="38">
        <v>4.2600000000000069</v>
      </c>
      <c r="J21"/>
    </row>
    <row r="22" spans="1:10" x14ac:dyDescent="0.25">
      <c r="A22" s="9" t="s">
        <v>149</v>
      </c>
      <c r="B22" s="9" t="s">
        <v>186</v>
      </c>
      <c r="C22" s="38">
        <v>2.88</v>
      </c>
      <c r="D22" s="38">
        <v>0</v>
      </c>
      <c r="E22" s="38">
        <v>0</v>
      </c>
      <c r="F22" s="38">
        <v>1.83</v>
      </c>
      <c r="G22" s="38">
        <v>4.71</v>
      </c>
      <c r="H22" s="38">
        <v>0</v>
      </c>
      <c r="I22" s="38">
        <v>4.71</v>
      </c>
      <c r="J22"/>
    </row>
    <row r="23" spans="1:10" x14ac:dyDescent="0.25">
      <c r="A23" s="9" t="s">
        <v>149</v>
      </c>
      <c r="B23" s="9" t="s">
        <v>187</v>
      </c>
      <c r="C23" s="38">
        <v>3.1900000000000066</v>
      </c>
      <c r="D23" s="38">
        <v>0</v>
      </c>
      <c r="E23" s="38">
        <v>0</v>
      </c>
      <c r="F23" s="38">
        <v>1.83</v>
      </c>
      <c r="G23" s="38">
        <v>5.0200000000000067</v>
      </c>
      <c r="H23" s="38">
        <v>0</v>
      </c>
      <c r="I23" s="38">
        <v>5.0200000000000067</v>
      </c>
      <c r="J23"/>
    </row>
    <row r="24" spans="1:10" x14ac:dyDescent="0.25">
      <c r="A24" s="9" t="s">
        <v>148</v>
      </c>
      <c r="B24" s="9" t="s">
        <v>211</v>
      </c>
      <c r="C24" s="38">
        <v>75.06</v>
      </c>
      <c r="D24" s="38">
        <v>50</v>
      </c>
      <c r="E24" s="38">
        <v>62.08</v>
      </c>
      <c r="F24" s="38">
        <v>0</v>
      </c>
      <c r="G24" s="38">
        <v>62.980000000000004</v>
      </c>
      <c r="H24" s="38">
        <v>100</v>
      </c>
      <c r="I24" s="38">
        <v>162.98000000000002</v>
      </c>
      <c r="J24"/>
    </row>
    <row r="25" spans="1:10" x14ac:dyDescent="0.25">
      <c r="A25" s="9" t="s">
        <v>148</v>
      </c>
      <c r="B25" s="9" t="s">
        <v>212</v>
      </c>
      <c r="C25" s="38">
        <v>131.44</v>
      </c>
      <c r="D25" s="38">
        <v>125</v>
      </c>
      <c r="E25" s="38">
        <v>66</v>
      </c>
      <c r="F25" s="38">
        <v>0</v>
      </c>
      <c r="G25" s="38">
        <v>190.44</v>
      </c>
      <c r="H25" s="38">
        <v>50</v>
      </c>
      <c r="I25" s="38">
        <v>240.44</v>
      </c>
      <c r="J25"/>
    </row>
    <row r="26" spans="1:10" x14ac:dyDescent="0.25">
      <c r="A26" s="9" t="s">
        <v>148</v>
      </c>
      <c r="B26" s="9" t="s">
        <v>213</v>
      </c>
      <c r="C26" s="38">
        <v>29.71</v>
      </c>
      <c r="D26" s="38">
        <v>0</v>
      </c>
      <c r="E26" s="38">
        <v>5</v>
      </c>
      <c r="F26" s="38">
        <v>0.86</v>
      </c>
      <c r="G26" s="38">
        <v>25.57</v>
      </c>
      <c r="H26" s="38">
        <v>0</v>
      </c>
      <c r="I26" s="38">
        <v>25.57</v>
      </c>
      <c r="J26"/>
    </row>
    <row r="27" spans="1:10" x14ac:dyDescent="0.25">
      <c r="A27" s="9" t="s">
        <v>148</v>
      </c>
      <c r="B27" s="9" t="s">
        <v>214</v>
      </c>
      <c r="C27" s="38">
        <v>53.09</v>
      </c>
      <c r="D27" s="38">
        <v>75</v>
      </c>
      <c r="E27" s="38">
        <v>60</v>
      </c>
      <c r="F27" s="38">
        <v>0</v>
      </c>
      <c r="G27" s="38">
        <v>68.09</v>
      </c>
      <c r="H27" s="38">
        <v>100</v>
      </c>
      <c r="I27" s="38">
        <v>168.09</v>
      </c>
      <c r="J27"/>
    </row>
    <row r="28" spans="1:10" x14ac:dyDescent="0.25">
      <c r="A28" s="9" t="s">
        <v>148</v>
      </c>
      <c r="B28" s="9" t="s">
        <v>230</v>
      </c>
      <c r="C28" s="38">
        <v>0.62000000000000011</v>
      </c>
      <c r="D28" s="38">
        <v>25</v>
      </c>
      <c r="E28" s="38">
        <v>25.92</v>
      </c>
      <c r="F28" s="38">
        <v>0.92</v>
      </c>
      <c r="G28" s="38">
        <v>0.62000000000000099</v>
      </c>
      <c r="H28" s="38">
        <v>210</v>
      </c>
      <c r="I28" s="38">
        <v>210.62</v>
      </c>
      <c r="J28"/>
    </row>
    <row r="29" spans="1:10" x14ac:dyDescent="0.25">
      <c r="A29" s="9" t="s">
        <v>197</v>
      </c>
      <c r="B29" s="9" t="s">
        <v>179</v>
      </c>
      <c r="C29" s="38">
        <v>6.3400000000000034</v>
      </c>
      <c r="D29" s="38">
        <v>25</v>
      </c>
      <c r="E29" s="38">
        <v>25.1</v>
      </c>
      <c r="F29" s="38">
        <v>0.03</v>
      </c>
      <c r="G29" s="38">
        <v>6.270000000000004</v>
      </c>
      <c r="H29" s="38">
        <v>110</v>
      </c>
      <c r="I29" s="38">
        <v>116.27000000000001</v>
      </c>
      <c r="J29"/>
    </row>
    <row r="30" spans="1:10" x14ac:dyDescent="0.25">
      <c r="A30" s="9" t="s">
        <v>197</v>
      </c>
      <c r="B30" s="9" t="s">
        <v>181</v>
      </c>
      <c r="C30" s="38">
        <v>25.660000000000004</v>
      </c>
      <c r="D30" s="38">
        <v>0</v>
      </c>
      <c r="E30" s="38">
        <v>16.3</v>
      </c>
      <c r="F30" s="38">
        <v>0.38</v>
      </c>
      <c r="G30" s="38">
        <v>9.7400000000000038</v>
      </c>
      <c r="H30" s="38">
        <v>200</v>
      </c>
      <c r="I30" s="38">
        <v>209.74</v>
      </c>
      <c r="J30"/>
    </row>
    <row r="31" spans="1:10" x14ac:dyDescent="0.25">
      <c r="A31" s="9" t="s">
        <v>197</v>
      </c>
      <c r="B31" s="9" t="s">
        <v>184</v>
      </c>
      <c r="C31" s="38">
        <v>0.40000000000001013</v>
      </c>
      <c r="D31" s="38">
        <v>0</v>
      </c>
      <c r="E31" s="38">
        <v>0</v>
      </c>
      <c r="F31" s="38">
        <v>0.16</v>
      </c>
      <c r="G31" s="38">
        <v>0.56000000000001016</v>
      </c>
      <c r="H31" s="38">
        <v>200</v>
      </c>
      <c r="I31" s="38">
        <v>200.56</v>
      </c>
      <c r="J31"/>
    </row>
    <row r="32" spans="1:10" x14ac:dyDescent="0.25">
      <c r="A32" s="9" t="s">
        <v>198</v>
      </c>
      <c r="B32" s="9" t="s">
        <v>234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/>
    </row>
    <row r="33" spans="1:10" x14ac:dyDescent="0.25">
      <c r="A33" s="9" t="s">
        <v>198</v>
      </c>
      <c r="B33" s="9" t="s">
        <v>192</v>
      </c>
      <c r="C33" s="38">
        <v>1.8500000000000021</v>
      </c>
      <c r="D33" s="38">
        <v>0</v>
      </c>
      <c r="E33" s="38">
        <v>14</v>
      </c>
      <c r="F33" s="38">
        <v>14</v>
      </c>
      <c r="G33" s="38">
        <v>1.8500000000000021</v>
      </c>
      <c r="H33" s="38">
        <v>75</v>
      </c>
      <c r="I33" s="38">
        <v>76.849999999999994</v>
      </c>
      <c r="J33"/>
    </row>
    <row r="34" spans="1:10" x14ac:dyDescent="0.25">
      <c r="A34" s="9" t="s">
        <v>198</v>
      </c>
      <c r="B34" s="9" t="s">
        <v>232</v>
      </c>
      <c r="C34" s="38">
        <v>8.6000000000000014</v>
      </c>
      <c r="D34" s="38">
        <v>0</v>
      </c>
      <c r="E34" s="38">
        <v>8.3000000000000007</v>
      </c>
      <c r="F34" s="38">
        <v>0</v>
      </c>
      <c r="G34" s="38">
        <v>0.30000000000000071</v>
      </c>
      <c r="H34" s="38">
        <v>140</v>
      </c>
      <c r="I34" s="38">
        <v>140.30000000000001</v>
      </c>
      <c r="J34"/>
    </row>
    <row r="35" spans="1:10" x14ac:dyDescent="0.25">
      <c r="A35" s="9" t="s">
        <v>198</v>
      </c>
      <c r="B35" s="9" t="s">
        <v>193</v>
      </c>
      <c r="C35" s="38">
        <v>5.0499999999999989</v>
      </c>
      <c r="D35" s="38">
        <v>0</v>
      </c>
      <c r="E35" s="38">
        <v>2.15</v>
      </c>
      <c r="F35" s="38">
        <v>0</v>
      </c>
      <c r="G35" s="38">
        <v>2.899999999999999</v>
      </c>
      <c r="H35" s="38">
        <v>50</v>
      </c>
      <c r="I35" s="38">
        <v>52.9</v>
      </c>
      <c r="J35"/>
    </row>
    <row r="36" spans="1:10" x14ac:dyDescent="0.25">
      <c r="A36" s="9" t="s">
        <v>198</v>
      </c>
      <c r="B36" s="9" t="s">
        <v>194</v>
      </c>
      <c r="C36" s="38">
        <v>162.64999999999998</v>
      </c>
      <c r="D36" s="38">
        <v>0</v>
      </c>
      <c r="E36" s="38">
        <v>13</v>
      </c>
      <c r="F36" s="38">
        <v>33.4</v>
      </c>
      <c r="G36" s="38">
        <v>183.04999999999998</v>
      </c>
      <c r="H36" s="38">
        <v>0</v>
      </c>
      <c r="I36" s="38">
        <v>183.04999999999998</v>
      </c>
      <c r="J36"/>
    </row>
    <row r="37" spans="1:10" x14ac:dyDescent="0.25">
      <c r="A37" s="9" t="s">
        <v>198</v>
      </c>
      <c r="B37" s="9" t="s">
        <v>233</v>
      </c>
      <c r="C37" s="38">
        <v>139.69999999999999</v>
      </c>
      <c r="D37" s="38">
        <v>0</v>
      </c>
      <c r="E37" s="38">
        <v>22.25</v>
      </c>
      <c r="F37" s="38">
        <v>33</v>
      </c>
      <c r="G37" s="38">
        <v>150.44999999999999</v>
      </c>
      <c r="H37" s="38">
        <v>0</v>
      </c>
      <c r="I37" s="38">
        <v>150.44999999999999</v>
      </c>
      <c r="J37"/>
    </row>
    <row r="38" spans="1:10" x14ac:dyDescent="0.25">
      <c r="A38" s="9" t="s">
        <v>199</v>
      </c>
      <c r="B38" s="9" t="s">
        <v>180</v>
      </c>
      <c r="C38" s="38">
        <v>1.0999999999999985</v>
      </c>
      <c r="D38" s="38">
        <v>25</v>
      </c>
      <c r="E38" s="38">
        <v>15</v>
      </c>
      <c r="F38" s="38">
        <v>0</v>
      </c>
      <c r="G38" s="38">
        <v>11.1</v>
      </c>
      <c r="H38" s="38">
        <v>75</v>
      </c>
      <c r="I38" s="38">
        <v>86.1</v>
      </c>
      <c r="J38"/>
    </row>
    <row r="39" spans="1:10" x14ac:dyDescent="0.25">
      <c r="A39" s="9" t="s">
        <v>199</v>
      </c>
      <c r="B39" s="9" t="s">
        <v>182</v>
      </c>
      <c r="C39" s="38">
        <v>3.9999999999999889</v>
      </c>
      <c r="D39" s="38">
        <v>0</v>
      </c>
      <c r="E39" s="38">
        <v>3</v>
      </c>
      <c r="F39" s="38">
        <v>4</v>
      </c>
      <c r="G39" s="38">
        <v>4.9999999999999893</v>
      </c>
      <c r="H39" s="38">
        <v>175</v>
      </c>
      <c r="I39" s="38">
        <v>180</v>
      </c>
      <c r="J39"/>
    </row>
    <row r="40" spans="1:10" x14ac:dyDescent="0.25">
      <c r="A40" s="9" t="s">
        <v>199</v>
      </c>
      <c r="B40" s="9" t="s">
        <v>185</v>
      </c>
      <c r="C40" s="38">
        <v>1.2499999999999909</v>
      </c>
      <c r="D40" s="38">
        <v>0</v>
      </c>
      <c r="E40" s="38">
        <v>0</v>
      </c>
      <c r="F40" s="38">
        <v>0</v>
      </c>
      <c r="G40" s="38">
        <v>1.2499999999999909</v>
      </c>
      <c r="H40" s="38">
        <v>200</v>
      </c>
      <c r="I40" s="38">
        <v>201.25</v>
      </c>
      <c r="J40"/>
    </row>
    <row r="41" spans="1:10" x14ac:dyDescent="0.25">
      <c r="A41" s="9" t="s">
        <v>200</v>
      </c>
      <c r="B41" s="9" t="s">
        <v>208</v>
      </c>
      <c r="C41" s="38">
        <v>266.75</v>
      </c>
      <c r="D41" s="38">
        <v>50</v>
      </c>
      <c r="E41" s="38">
        <v>276.75</v>
      </c>
      <c r="F41" s="38">
        <v>3.75</v>
      </c>
      <c r="G41" s="38">
        <v>43.75</v>
      </c>
      <c r="H41" s="38">
        <v>665</v>
      </c>
      <c r="I41" s="38">
        <v>708.75</v>
      </c>
      <c r="J41"/>
    </row>
    <row r="42" spans="1:10" x14ac:dyDescent="0.25">
      <c r="A42" s="9" t="s">
        <v>202</v>
      </c>
      <c r="B42" s="9" t="s">
        <v>183</v>
      </c>
      <c r="C42" s="38">
        <v>45.85</v>
      </c>
      <c r="D42" s="38">
        <v>0</v>
      </c>
      <c r="E42" s="38">
        <v>20</v>
      </c>
      <c r="F42" s="38">
        <v>0</v>
      </c>
      <c r="G42" s="38">
        <v>25.85</v>
      </c>
      <c r="H42" s="38">
        <v>100</v>
      </c>
      <c r="I42" s="38">
        <v>125.85000000000001</v>
      </c>
      <c r="J42"/>
    </row>
    <row r="43" spans="1:10" x14ac:dyDescent="0.25">
      <c r="A43" s="9" t="s">
        <v>202</v>
      </c>
      <c r="B43" s="9" t="s">
        <v>220</v>
      </c>
      <c r="C43" s="38">
        <v>22.800000000000015</v>
      </c>
      <c r="D43" s="38">
        <v>0</v>
      </c>
      <c r="E43" s="38">
        <v>34</v>
      </c>
      <c r="F43" s="38">
        <v>14</v>
      </c>
      <c r="G43" s="38">
        <v>2.8000000000000149</v>
      </c>
      <c r="H43" s="38">
        <v>100</v>
      </c>
      <c r="I43" s="38">
        <v>102.80000000000001</v>
      </c>
      <c r="J43"/>
    </row>
    <row r="44" spans="1:10" x14ac:dyDescent="0.25">
      <c r="A44" s="9" t="s">
        <v>203</v>
      </c>
      <c r="B44" s="9" t="s">
        <v>176</v>
      </c>
      <c r="C44" s="38">
        <v>5.5600000000000041</v>
      </c>
      <c r="D44" s="38">
        <v>0</v>
      </c>
      <c r="E44" s="38">
        <v>0</v>
      </c>
      <c r="F44" s="38">
        <v>0</v>
      </c>
      <c r="G44" s="38">
        <v>5.5600000000000041</v>
      </c>
      <c r="H44" s="38">
        <v>0</v>
      </c>
      <c r="I44" s="38">
        <v>5.5600000000000041</v>
      </c>
      <c r="J44"/>
    </row>
    <row r="45" spans="1:10" x14ac:dyDescent="0.25">
      <c r="A45" s="9" t="s">
        <v>204</v>
      </c>
      <c r="B45" s="9" t="s">
        <v>215</v>
      </c>
      <c r="C45" s="38">
        <v>189.7</v>
      </c>
      <c r="D45" s="38">
        <v>0</v>
      </c>
      <c r="E45" s="38">
        <v>30</v>
      </c>
      <c r="F45" s="38">
        <v>0</v>
      </c>
      <c r="G45" s="38">
        <v>159.69999999999999</v>
      </c>
      <c r="H45" s="38">
        <v>0</v>
      </c>
      <c r="I45" s="38">
        <v>159.69999999999999</v>
      </c>
      <c r="J45"/>
    </row>
    <row r="46" spans="1:10" x14ac:dyDescent="0.25">
      <c r="A46" s="9" t="s">
        <v>134</v>
      </c>
      <c r="B46" s="9" t="s">
        <v>178</v>
      </c>
      <c r="C46" s="38">
        <v>13.420000000000002</v>
      </c>
      <c r="D46" s="38">
        <v>0</v>
      </c>
      <c r="E46" s="38">
        <v>0</v>
      </c>
      <c r="F46" s="38">
        <v>0</v>
      </c>
      <c r="G46" s="38">
        <v>13.420000000000002</v>
      </c>
      <c r="H46" s="38">
        <v>0</v>
      </c>
      <c r="I46" s="38">
        <v>13.420000000000002</v>
      </c>
      <c r="J46"/>
    </row>
    <row r="47" spans="1:10" x14ac:dyDescent="0.25">
      <c r="A47" s="9" t="s">
        <v>134</v>
      </c>
      <c r="B47" s="9" t="s">
        <v>228</v>
      </c>
      <c r="C47" s="38">
        <v>4.9999999999999982</v>
      </c>
      <c r="D47" s="38">
        <v>25</v>
      </c>
      <c r="E47" s="38">
        <v>29.92</v>
      </c>
      <c r="F47" s="38">
        <v>0.71</v>
      </c>
      <c r="G47" s="38">
        <v>0.78999999999999915</v>
      </c>
      <c r="H47" s="38">
        <v>75</v>
      </c>
      <c r="I47" s="38">
        <v>75.789999999999992</v>
      </c>
      <c r="J47"/>
    </row>
    <row r="48" spans="1:10" x14ac:dyDescent="0.25">
      <c r="A48" s="9" t="s">
        <v>134</v>
      </c>
      <c r="B48" s="9" t="s">
        <v>188</v>
      </c>
      <c r="C48" s="38">
        <v>90.460000000000022</v>
      </c>
      <c r="D48" s="38">
        <v>0</v>
      </c>
      <c r="E48" s="38">
        <v>21</v>
      </c>
      <c r="F48" s="38">
        <v>14</v>
      </c>
      <c r="G48" s="38">
        <v>83.460000000000022</v>
      </c>
      <c r="H48" s="38">
        <v>0</v>
      </c>
      <c r="I48" s="38">
        <v>83.460000000000022</v>
      </c>
      <c r="J48"/>
    </row>
    <row r="49" spans="1:10" x14ac:dyDescent="0.25">
      <c r="A49" s="9" t="s">
        <v>134</v>
      </c>
      <c r="B49" s="9" t="s">
        <v>191</v>
      </c>
      <c r="C49" s="38">
        <v>124.41999999999999</v>
      </c>
      <c r="D49" s="38">
        <v>0</v>
      </c>
      <c r="E49" s="38">
        <v>0</v>
      </c>
      <c r="F49" s="38">
        <v>0</v>
      </c>
      <c r="G49" s="38">
        <v>124.41999999999999</v>
      </c>
      <c r="H49" s="38">
        <v>0</v>
      </c>
      <c r="I49" s="38">
        <v>124.41999999999999</v>
      </c>
      <c r="J49"/>
    </row>
    <row r="50" spans="1:10" x14ac:dyDescent="0.25">
      <c r="A50" s="9" t="s">
        <v>201</v>
      </c>
      <c r="B50" s="9" t="s">
        <v>205</v>
      </c>
      <c r="C50" s="38">
        <v>1.4100000000000001</v>
      </c>
      <c r="D50" s="38">
        <v>50</v>
      </c>
      <c r="E50" s="38">
        <v>12.55</v>
      </c>
      <c r="F50" s="38">
        <v>0.68</v>
      </c>
      <c r="G50" s="38">
        <v>39.539999999999992</v>
      </c>
      <c r="H50" s="38">
        <v>50</v>
      </c>
      <c r="I50" s="38">
        <v>89.539999999999992</v>
      </c>
      <c r="J50"/>
    </row>
    <row r="51" spans="1:10" x14ac:dyDescent="0.25">
      <c r="A51" s="9" t="s">
        <v>201</v>
      </c>
      <c r="B51" s="9" t="s">
        <v>206</v>
      </c>
      <c r="C51" s="38">
        <v>106.92000000000002</v>
      </c>
      <c r="D51" s="38">
        <v>0</v>
      </c>
      <c r="E51" s="38">
        <v>27.85</v>
      </c>
      <c r="F51" s="38">
        <v>0.85</v>
      </c>
      <c r="G51" s="38">
        <v>79.920000000000016</v>
      </c>
      <c r="H51" s="38">
        <v>0</v>
      </c>
      <c r="I51" s="38">
        <v>79.920000000000016</v>
      </c>
      <c r="J51"/>
    </row>
    <row r="52" spans="1:10" x14ac:dyDescent="0.25">
      <c r="A52" s="9" t="s">
        <v>201</v>
      </c>
      <c r="B52" s="9" t="s">
        <v>177</v>
      </c>
      <c r="C52" s="38">
        <v>7.8899999999999952</v>
      </c>
      <c r="D52" s="38">
        <v>25</v>
      </c>
      <c r="E52" s="38">
        <v>9.5299999999999994</v>
      </c>
      <c r="F52" s="38">
        <v>0.38</v>
      </c>
      <c r="G52" s="38">
        <v>23.739999999999995</v>
      </c>
      <c r="H52" s="38">
        <v>25</v>
      </c>
      <c r="I52" s="38">
        <v>48.739999999999995</v>
      </c>
      <c r="J52"/>
    </row>
    <row r="53" spans="1:10" x14ac:dyDescent="0.25">
      <c r="A53" s="9" t="s">
        <v>201</v>
      </c>
      <c r="B53" s="9" t="s">
        <v>190</v>
      </c>
      <c r="C53" s="38">
        <v>0</v>
      </c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/>
    </row>
    <row r="54" spans="1:10" x14ac:dyDescent="0.25">
      <c r="A54" s="9" t="s">
        <v>147</v>
      </c>
      <c r="B54" s="9" t="s">
        <v>209</v>
      </c>
      <c r="C54" s="38">
        <v>178.55999999999997</v>
      </c>
      <c r="D54" s="38">
        <v>0</v>
      </c>
      <c r="E54" s="38">
        <v>16</v>
      </c>
      <c r="F54" s="38">
        <v>1.74</v>
      </c>
      <c r="G54" s="38">
        <v>164.29999999999998</v>
      </c>
      <c r="H54" s="38">
        <v>0</v>
      </c>
      <c r="I54" s="38">
        <v>164.29999999999998</v>
      </c>
      <c r="J54"/>
    </row>
    <row r="55" spans="1:10" x14ac:dyDescent="0.25">
      <c r="A55" s="9" t="s">
        <v>147</v>
      </c>
      <c r="B55" s="9" t="s">
        <v>229</v>
      </c>
      <c r="C55" s="38">
        <v>175.62000000000003</v>
      </c>
      <c r="D55" s="38">
        <v>0</v>
      </c>
      <c r="E55" s="38">
        <v>132</v>
      </c>
      <c r="F55" s="38">
        <v>14</v>
      </c>
      <c r="G55" s="38">
        <v>57.620000000000033</v>
      </c>
      <c r="H55" s="38">
        <v>200</v>
      </c>
      <c r="I55" s="38">
        <v>257.62</v>
      </c>
      <c r="J55"/>
    </row>
    <row r="56" spans="1:10" x14ac:dyDescent="0.25">
      <c r="A56" s="9" t="s">
        <v>168</v>
      </c>
      <c r="B56" s="9"/>
      <c r="C56" s="38">
        <v>4170.24</v>
      </c>
      <c r="D56" s="38">
        <v>865</v>
      </c>
      <c r="E56" s="38">
        <v>1622.73</v>
      </c>
      <c r="F56" s="38">
        <v>144.86000000000001</v>
      </c>
      <c r="G56" s="38">
        <v>3557.37</v>
      </c>
      <c r="H56" s="38">
        <v>3215</v>
      </c>
      <c r="I56" s="38">
        <v>6772.3700000000017</v>
      </c>
      <c r="J56"/>
    </row>
  </sheetData>
  <autoFilter ref="A3:J56" xr:uid="{7382C62E-6193-438C-B01A-34DD8FDF0B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A6F8-CCFD-442C-8BA5-FCBF05D41CBB}">
  <dimension ref="B1:O58"/>
  <sheetViews>
    <sheetView tabSelected="1" workbookViewId="0">
      <pane xSplit="4" ySplit="3" topLeftCell="I4" activePane="bottomRight" state="frozen"/>
      <selection pane="topRight" activeCell="E1" sqref="E1"/>
      <selection pane="bottomLeft" activeCell="A4" sqref="A4"/>
      <selection pane="bottomRight" activeCell="C14" sqref="C14"/>
    </sheetView>
  </sheetViews>
  <sheetFormatPr defaultRowHeight="15" x14ac:dyDescent="0.25"/>
  <cols>
    <col min="2" max="2" width="17.5703125" bestFit="1" customWidth="1"/>
    <col min="3" max="3" width="46.5703125" bestFit="1" customWidth="1"/>
    <col min="4" max="4" width="14.140625" bestFit="1" customWidth="1"/>
    <col min="5" max="12" width="14.140625" customWidth="1"/>
    <col min="13" max="13" width="12.5703125" customWidth="1"/>
    <col min="14" max="14" width="14.140625" customWidth="1"/>
  </cols>
  <sheetData>
    <row r="1" spans="2:15" ht="15.75" x14ac:dyDescent="0.25">
      <c r="D1" t="s">
        <v>265</v>
      </c>
      <c r="E1" s="55">
        <f t="shared" ref="E1:N1" si="0">SUBTOTAL(9,E4:E57)</f>
        <v>2806.16</v>
      </c>
      <c r="F1" s="55">
        <f t="shared" si="0"/>
        <v>1369.7</v>
      </c>
      <c r="G1" s="55">
        <f t="shared" si="0"/>
        <v>890.41999999999973</v>
      </c>
      <c r="H1" s="55">
        <f t="shared" si="0"/>
        <v>1742.8699999999997</v>
      </c>
      <c r="I1" s="55">
        <f t="shared" si="0"/>
        <v>1133.77</v>
      </c>
      <c r="J1" s="55">
        <f t="shared" si="0"/>
        <v>951.8599999999999</v>
      </c>
      <c r="K1" s="55">
        <f t="shared" si="0"/>
        <v>1477.87</v>
      </c>
      <c r="L1" s="55">
        <f t="shared" si="0"/>
        <v>3557.37</v>
      </c>
      <c r="M1" s="55">
        <f t="shared" si="0"/>
        <v>1000</v>
      </c>
      <c r="N1" s="55">
        <f t="shared" si="0"/>
        <v>923</v>
      </c>
      <c r="O1" s="55">
        <f t="shared" ref="O1" si="1">SUBTOTAL(9,O4:O57)</f>
        <v>915</v>
      </c>
    </row>
    <row r="2" spans="2:15" ht="15.75" x14ac:dyDescent="0.25">
      <c r="D2" t="s">
        <v>264</v>
      </c>
      <c r="E2" s="50">
        <f>SUMPRODUCT($D$4:$D$57,E4:E57)/10^5</f>
        <v>106.97026704</v>
      </c>
      <c r="F2" s="50">
        <f>SUMPRODUCT($D$4:$D$57,F4:F57)/10^5</f>
        <v>48.018914500000001</v>
      </c>
      <c r="G2" s="50">
        <f>SUMPRODUCT($D$4:$D$57,G4:G57)/10^5</f>
        <v>34.984843473000012</v>
      </c>
      <c r="H2" s="50">
        <f>SUMPRODUCT($D$4:$D$57,H4:H57)/10^5</f>
        <v>66.334006520000031</v>
      </c>
      <c r="I2" s="50">
        <f>SUMPRODUCT($D$4:$D$57,I4:I57)/10^5</f>
        <v>44.75204214</v>
      </c>
      <c r="J2" s="50">
        <f>SUMPRODUCT($D$4:$D$57,J4:J57)/10^5</f>
        <v>38.277942533000001</v>
      </c>
      <c r="K2" s="50">
        <f>SUMPRODUCT($D$4:$D$57,K4:K57)/10^5</f>
        <v>56.699567703999996</v>
      </c>
      <c r="L2" s="50">
        <f>SUMPRODUCT($D$4:$D$57,L4:L57)/10^5</f>
        <v>148.556566777</v>
      </c>
      <c r="M2" s="50">
        <f>SUMPRODUCT($D$4:$D$57,M4:M57)/10^5</f>
        <v>38.276112000000005</v>
      </c>
      <c r="N2" s="50">
        <f>SUMPRODUCT($D$4:$D$57,N4:N57)/10^5</f>
        <v>37.7322585</v>
      </c>
      <c r="O2" s="50">
        <f>SUMPRODUCT($D$4:$D$57,O4:O57)/10^5</f>
        <v>34.499832000000005</v>
      </c>
    </row>
    <row r="3" spans="2:15" ht="30" x14ac:dyDescent="0.25">
      <c r="B3" s="51" t="s">
        <v>3</v>
      </c>
      <c r="C3" s="51" t="s">
        <v>174</v>
      </c>
      <c r="D3" s="51" t="s">
        <v>254</v>
      </c>
      <c r="E3" s="49" t="s">
        <v>255</v>
      </c>
      <c r="F3" s="49" t="s">
        <v>256</v>
      </c>
      <c r="G3" s="49" t="s">
        <v>257</v>
      </c>
      <c r="H3" s="49" t="s">
        <v>258</v>
      </c>
      <c r="I3" s="49" t="s">
        <v>259</v>
      </c>
      <c r="J3" s="49" t="s">
        <v>260</v>
      </c>
      <c r="K3" s="49" t="s">
        <v>261</v>
      </c>
      <c r="L3" s="49" t="s">
        <v>244</v>
      </c>
      <c r="M3" s="49" t="s">
        <v>263</v>
      </c>
      <c r="N3" s="53" t="s">
        <v>262</v>
      </c>
      <c r="O3" s="40" t="s">
        <v>266</v>
      </c>
    </row>
    <row r="4" spans="2:15" x14ac:dyDescent="0.25">
      <c r="B4" s="9" t="s">
        <v>146</v>
      </c>
      <c r="C4" s="9" t="s">
        <v>189</v>
      </c>
      <c r="D4" s="10">
        <v>4662</v>
      </c>
      <c r="E4" s="38">
        <v>25</v>
      </c>
      <c r="F4" s="38">
        <v>0</v>
      </c>
      <c r="G4" s="38">
        <v>0</v>
      </c>
      <c r="H4" s="38">
        <v>113</v>
      </c>
      <c r="I4" s="38">
        <v>11.04</v>
      </c>
      <c r="J4" s="38">
        <v>26</v>
      </c>
      <c r="K4" s="38">
        <v>39</v>
      </c>
      <c r="L4" s="38">
        <v>235.96000000000004</v>
      </c>
      <c r="M4" s="38">
        <v>0</v>
      </c>
      <c r="N4" s="54">
        <v>100</v>
      </c>
      <c r="O4" s="48">
        <f>_xlfn.XLOOKUP(C4,'[1]PVT-FEB-26'!$B:$B,'[1]PVT-FEB-26'!$M:$M,0)</f>
        <v>0</v>
      </c>
    </row>
    <row r="5" spans="2:15" x14ac:dyDescent="0.25">
      <c r="B5" s="9" t="s">
        <v>146</v>
      </c>
      <c r="C5" s="9" t="s">
        <v>196</v>
      </c>
      <c r="D5" s="10">
        <v>0</v>
      </c>
      <c r="E5" s="38">
        <v>0</v>
      </c>
      <c r="F5" s="38">
        <v>0</v>
      </c>
      <c r="G5" s="38">
        <v>0</v>
      </c>
      <c r="H5" s="38">
        <v>0</v>
      </c>
      <c r="I5" s="38">
        <v>0.32</v>
      </c>
      <c r="J5" s="38">
        <v>0</v>
      </c>
      <c r="K5" s="38">
        <v>0</v>
      </c>
      <c r="L5" s="38">
        <v>0</v>
      </c>
      <c r="M5" s="38">
        <v>0</v>
      </c>
      <c r="N5" s="54">
        <v>0</v>
      </c>
      <c r="O5" s="48">
        <f>_xlfn.XLOOKUP(C5,'[1]PVT-FEB-26'!$B:$B,'[1]PVT-FEB-26'!$M:$M,0)</f>
        <v>0</v>
      </c>
    </row>
    <row r="6" spans="2:15" x14ac:dyDescent="0.25">
      <c r="B6" s="9" t="s">
        <v>144</v>
      </c>
      <c r="C6" s="9" t="s">
        <v>219</v>
      </c>
      <c r="D6" s="10">
        <v>6993</v>
      </c>
      <c r="E6" s="38">
        <v>12</v>
      </c>
      <c r="F6" s="38">
        <v>2</v>
      </c>
      <c r="G6" s="38">
        <v>3.12</v>
      </c>
      <c r="H6" s="38">
        <v>1.19</v>
      </c>
      <c r="I6" s="38">
        <v>10</v>
      </c>
      <c r="J6" s="38">
        <v>8</v>
      </c>
      <c r="K6" s="38">
        <v>0</v>
      </c>
      <c r="L6" s="38">
        <v>13.690000000000001</v>
      </c>
      <c r="M6" s="38">
        <v>0</v>
      </c>
      <c r="N6" s="54">
        <v>5</v>
      </c>
      <c r="O6" s="48">
        <f>_xlfn.XLOOKUP(C6,'[1]PVT-FEB-26'!$B:$B,'[1]PVT-FEB-26'!$M:$M,0)</f>
        <v>0</v>
      </c>
    </row>
    <row r="7" spans="2:15" x14ac:dyDescent="0.25">
      <c r="B7" s="9" t="s">
        <v>145</v>
      </c>
      <c r="C7" s="9" t="s">
        <v>210</v>
      </c>
      <c r="D7" s="10">
        <v>6993</v>
      </c>
      <c r="E7" s="38">
        <v>17</v>
      </c>
      <c r="F7" s="38">
        <v>2</v>
      </c>
      <c r="G7" s="38">
        <v>0.21</v>
      </c>
      <c r="H7" s="38">
        <v>2.35</v>
      </c>
      <c r="I7" s="38">
        <v>11.67</v>
      </c>
      <c r="J7" s="38">
        <v>12</v>
      </c>
      <c r="K7" s="38">
        <v>3.17</v>
      </c>
      <c r="L7" s="38">
        <v>201.60000000000002</v>
      </c>
      <c r="M7" s="38">
        <v>0</v>
      </c>
      <c r="N7" s="54">
        <v>5</v>
      </c>
      <c r="O7" s="48">
        <f>_xlfn.XLOOKUP(C7,'[1]PVT-FEB-26'!$B:$B,'[1]PVT-FEB-26'!$M:$M,0)</f>
        <v>0</v>
      </c>
    </row>
    <row r="8" spans="2:15" x14ac:dyDescent="0.25">
      <c r="B8" s="9" t="s">
        <v>141</v>
      </c>
      <c r="C8" s="9" t="s">
        <v>216</v>
      </c>
      <c r="D8" s="10">
        <v>9091.2000000000007</v>
      </c>
      <c r="E8" s="38">
        <v>48</v>
      </c>
      <c r="F8" s="38">
        <v>19</v>
      </c>
      <c r="G8" s="38">
        <v>46.099999999999994</v>
      </c>
      <c r="H8" s="38">
        <v>19.02</v>
      </c>
      <c r="I8" s="38">
        <v>22.34</v>
      </c>
      <c r="J8" s="38">
        <v>23.08</v>
      </c>
      <c r="K8" s="38">
        <v>19</v>
      </c>
      <c r="L8" s="38">
        <v>78.459999999999994</v>
      </c>
      <c r="M8" s="38">
        <v>0</v>
      </c>
      <c r="N8" s="54">
        <v>25</v>
      </c>
      <c r="O8" s="48">
        <f>_xlfn.XLOOKUP(C8,'[1]PVT-FEB-26'!$B:$B,'[1]PVT-FEB-26'!$M:$M,0)</f>
        <v>0</v>
      </c>
    </row>
    <row r="9" spans="2:15" x14ac:dyDescent="0.25">
      <c r="B9" s="9" t="s">
        <v>141</v>
      </c>
      <c r="C9" s="9" t="s">
        <v>217</v>
      </c>
      <c r="D9" s="10">
        <v>9906.9000000000015</v>
      </c>
      <c r="E9" s="38">
        <v>40</v>
      </c>
      <c r="F9" s="38">
        <v>13</v>
      </c>
      <c r="G9" s="38">
        <v>18.03</v>
      </c>
      <c r="H9" s="38">
        <v>42.03</v>
      </c>
      <c r="I9" s="38">
        <v>35.970000000000006</v>
      </c>
      <c r="J9" s="38">
        <v>13</v>
      </c>
      <c r="K9" s="38">
        <v>93</v>
      </c>
      <c r="L9" s="38">
        <v>22.64</v>
      </c>
      <c r="M9" s="38">
        <v>0</v>
      </c>
      <c r="N9" s="54">
        <v>22</v>
      </c>
      <c r="O9" s="48">
        <f>_xlfn.XLOOKUP(C9,'[1]PVT-FEB-26'!$B:$B,'[1]PVT-FEB-26'!$M:$M,0)</f>
        <v>0</v>
      </c>
    </row>
    <row r="10" spans="2:15" x14ac:dyDescent="0.25">
      <c r="B10" s="9" t="s">
        <v>151</v>
      </c>
      <c r="C10" s="9" t="s">
        <v>218</v>
      </c>
      <c r="D10" s="10">
        <v>6993</v>
      </c>
      <c r="E10" s="38">
        <v>19</v>
      </c>
      <c r="F10" s="38">
        <v>12</v>
      </c>
      <c r="G10" s="38">
        <v>2.12</v>
      </c>
      <c r="H10" s="38">
        <v>1.52</v>
      </c>
      <c r="I10" s="38">
        <v>16.43</v>
      </c>
      <c r="J10" s="38">
        <v>14</v>
      </c>
      <c r="K10" s="38">
        <v>7.17</v>
      </c>
      <c r="L10" s="38">
        <v>27.759999999999998</v>
      </c>
      <c r="M10" s="38">
        <v>0</v>
      </c>
      <c r="N10" s="54">
        <v>5</v>
      </c>
      <c r="O10" s="48">
        <f>_xlfn.XLOOKUP(C10,'[1]PVT-FEB-26'!$B:$B,'[1]PVT-FEB-26'!$M:$M,0)</f>
        <v>0</v>
      </c>
    </row>
    <row r="11" spans="2:15" x14ac:dyDescent="0.25">
      <c r="B11" s="9" t="s">
        <v>150</v>
      </c>
      <c r="C11" s="9" t="s">
        <v>222</v>
      </c>
      <c r="D11" s="10">
        <v>3885</v>
      </c>
      <c r="E11" s="38">
        <v>68.05</v>
      </c>
      <c r="F11" s="38">
        <v>29</v>
      </c>
      <c r="G11" s="38">
        <v>140.6</v>
      </c>
      <c r="H11" s="38">
        <v>5.05</v>
      </c>
      <c r="I11" s="38">
        <v>0</v>
      </c>
      <c r="J11" s="38">
        <v>107</v>
      </c>
      <c r="K11" s="38">
        <v>120.1</v>
      </c>
      <c r="L11" s="38">
        <v>27.75</v>
      </c>
      <c r="M11" s="38">
        <v>65</v>
      </c>
      <c r="N11" s="54">
        <v>27</v>
      </c>
      <c r="O11" s="48">
        <f>_xlfn.XLOOKUP(C11,'[1]PVT-FEB-26'!$B:$B,'[1]PVT-FEB-26'!$M:$M,0)</f>
        <v>65</v>
      </c>
    </row>
    <row r="12" spans="2:15" x14ac:dyDescent="0.25">
      <c r="B12" s="9" t="s">
        <v>143</v>
      </c>
      <c r="C12" s="9" t="s">
        <v>195</v>
      </c>
      <c r="D12" s="10">
        <v>1940</v>
      </c>
      <c r="E12" s="38">
        <v>7</v>
      </c>
      <c r="F12" s="38">
        <v>2</v>
      </c>
      <c r="G12" s="38">
        <v>1</v>
      </c>
      <c r="H12" s="38">
        <v>9</v>
      </c>
      <c r="I12" s="38">
        <v>3.7</v>
      </c>
      <c r="J12" s="38">
        <v>-1</v>
      </c>
      <c r="K12" s="38">
        <v>0</v>
      </c>
      <c r="L12" s="38">
        <v>51.899999999999991</v>
      </c>
      <c r="M12" s="38">
        <v>0</v>
      </c>
      <c r="N12" s="54">
        <v>0</v>
      </c>
      <c r="O12" s="48">
        <f>_xlfn.XLOOKUP(C12,'[1]PVT-FEB-26'!$B:$B,'[1]PVT-FEB-26'!$M:$M,0)</f>
        <v>0</v>
      </c>
    </row>
    <row r="13" spans="2:15" x14ac:dyDescent="0.25">
      <c r="B13" s="9" t="s">
        <v>143</v>
      </c>
      <c r="C13" s="9" t="s">
        <v>195</v>
      </c>
      <c r="D13" s="10">
        <v>3104</v>
      </c>
      <c r="E13" s="38">
        <v>11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2</v>
      </c>
      <c r="M13" s="38">
        <v>0</v>
      </c>
      <c r="N13" s="54">
        <v>0</v>
      </c>
      <c r="O13" s="48">
        <f>_xlfn.XLOOKUP(C13,'[1]PVT-FEB-26'!$B:$B,'[1]PVT-FEB-26'!$M:$M,0)</f>
        <v>0</v>
      </c>
    </row>
    <row r="14" spans="2:15" x14ac:dyDescent="0.25">
      <c r="B14" s="9" t="s">
        <v>142</v>
      </c>
      <c r="C14" s="9" t="s">
        <v>207</v>
      </c>
      <c r="D14" s="10">
        <v>4662</v>
      </c>
      <c r="E14" s="38">
        <v>10</v>
      </c>
      <c r="F14" s="38">
        <v>0</v>
      </c>
      <c r="G14" s="38">
        <v>0</v>
      </c>
      <c r="H14" s="38">
        <v>18</v>
      </c>
      <c r="I14" s="38">
        <v>5</v>
      </c>
      <c r="J14" s="38">
        <v>1</v>
      </c>
      <c r="K14" s="38">
        <v>2.2000000000000002</v>
      </c>
      <c r="L14" s="38">
        <v>38.799999999999997</v>
      </c>
      <c r="M14" s="38">
        <v>25</v>
      </c>
      <c r="N14" s="54">
        <v>25</v>
      </c>
      <c r="O14" s="48">
        <f>_xlfn.XLOOKUP(C14,'[1]PVT-FEB-26'!$B:$B,'[1]PVT-FEB-26'!$M:$M,0)</f>
        <v>0</v>
      </c>
    </row>
    <row r="15" spans="2:15" x14ac:dyDescent="0.25">
      <c r="B15" s="9" t="s">
        <v>142</v>
      </c>
      <c r="C15" s="9" t="s">
        <v>221</v>
      </c>
      <c r="D15" s="10">
        <v>3729.6</v>
      </c>
      <c r="E15" s="38">
        <v>6</v>
      </c>
      <c r="F15" s="38">
        <v>4</v>
      </c>
      <c r="G15" s="38">
        <v>0</v>
      </c>
      <c r="H15" s="38">
        <v>11</v>
      </c>
      <c r="I15" s="38">
        <v>4</v>
      </c>
      <c r="J15" s="38">
        <v>0</v>
      </c>
      <c r="K15" s="38">
        <v>0</v>
      </c>
      <c r="L15" s="38">
        <v>0</v>
      </c>
      <c r="M15" s="38">
        <v>0</v>
      </c>
      <c r="N15" s="54">
        <v>0</v>
      </c>
      <c r="O15" s="48">
        <f>_xlfn.XLOOKUP(C15,'[1]PVT-FEB-26'!$B:$B,'[1]PVT-FEB-26'!$M:$M,0)</f>
        <v>0</v>
      </c>
    </row>
    <row r="16" spans="2:15" x14ac:dyDescent="0.25">
      <c r="B16" s="9" t="s">
        <v>142</v>
      </c>
      <c r="C16" s="9" t="s">
        <v>227</v>
      </c>
      <c r="D16" s="10">
        <v>4662</v>
      </c>
      <c r="E16" s="38">
        <v>15</v>
      </c>
      <c r="F16" s="38">
        <v>7</v>
      </c>
      <c r="G16" s="38">
        <v>0</v>
      </c>
      <c r="H16" s="38">
        <v>25</v>
      </c>
      <c r="I16" s="38">
        <v>-0.95</v>
      </c>
      <c r="J16" s="38">
        <v>-0.8</v>
      </c>
      <c r="K16" s="38">
        <v>0</v>
      </c>
      <c r="L16" s="38">
        <v>1.75</v>
      </c>
      <c r="M16" s="38">
        <v>0</v>
      </c>
      <c r="N16" s="54">
        <v>1</v>
      </c>
      <c r="O16" s="48">
        <f>_xlfn.XLOOKUP(C16,'[1]PVT-FEB-26'!$B:$B,'[1]PVT-FEB-26'!$M:$M,0)</f>
        <v>0</v>
      </c>
    </row>
    <row r="17" spans="2:15" x14ac:dyDescent="0.25">
      <c r="B17" s="9" t="s">
        <v>142</v>
      </c>
      <c r="C17" s="9" t="s">
        <v>231</v>
      </c>
      <c r="D17" s="10">
        <v>4663.2</v>
      </c>
      <c r="E17" s="38">
        <v>10</v>
      </c>
      <c r="F17" s="38">
        <v>7</v>
      </c>
      <c r="G17" s="38">
        <v>1</v>
      </c>
      <c r="H17" s="38">
        <v>12</v>
      </c>
      <c r="I17" s="38">
        <v>5</v>
      </c>
      <c r="J17" s="38">
        <v>0</v>
      </c>
      <c r="K17" s="38">
        <v>0</v>
      </c>
      <c r="L17" s="38">
        <v>0.82999999999999829</v>
      </c>
      <c r="M17" s="38">
        <v>0</v>
      </c>
      <c r="N17" s="54">
        <v>0</v>
      </c>
      <c r="O17" s="48">
        <f>_xlfn.XLOOKUP(C17,'[1]PVT-FEB-26'!$B:$B,'[1]PVT-FEB-26'!$M:$M,0)</f>
        <v>0</v>
      </c>
    </row>
    <row r="18" spans="2:15" x14ac:dyDescent="0.25">
      <c r="B18" s="9" t="s">
        <v>140</v>
      </c>
      <c r="C18" s="9" t="s">
        <v>223</v>
      </c>
      <c r="D18" s="10">
        <v>3356.64</v>
      </c>
      <c r="E18" s="38">
        <v>55</v>
      </c>
      <c r="F18" s="38">
        <v>100</v>
      </c>
      <c r="G18" s="38">
        <v>0.28000000000000003</v>
      </c>
      <c r="H18" s="38">
        <v>26.06</v>
      </c>
      <c r="I18" s="38">
        <v>10</v>
      </c>
      <c r="J18" s="38">
        <v>1</v>
      </c>
      <c r="K18" s="38">
        <v>31</v>
      </c>
      <c r="L18" s="38">
        <v>356.66</v>
      </c>
      <c r="M18" s="38">
        <v>0</v>
      </c>
      <c r="N18" s="54">
        <v>25</v>
      </c>
      <c r="O18" s="48">
        <f>_xlfn.XLOOKUP(C18,'[1]PVT-FEB-26'!$B:$B,'[1]PVT-FEB-26'!$M:$M,0)</f>
        <v>0</v>
      </c>
    </row>
    <row r="19" spans="2:15" x14ac:dyDescent="0.25">
      <c r="B19" s="9" t="s">
        <v>140</v>
      </c>
      <c r="C19" s="9" t="s">
        <v>224</v>
      </c>
      <c r="D19" s="10">
        <v>3356.64</v>
      </c>
      <c r="E19" s="38">
        <v>40</v>
      </c>
      <c r="F19" s="38">
        <v>60</v>
      </c>
      <c r="G19" s="38">
        <v>1.28</v>
      </c>
      <c r="H19" s="38">
        <v>15.06</v>
      </c>
      <c r="I19" s="38">
        <v>31</v>
      </c>
      <c r="J19" s="38">
        <v>1.2799999999999998</v>
      </c>
      <c r="K19" s="38">
        <v>30.83</v>
      </c>
      <c r="L19" s="38">
        <v>245.55</v>
      </c>
      <c r="M19" s="38">
        <v>0</v>
      </c>
      <c r="N19" s="54">
        <v>25</v>
      </c>
      <c r="O19" s="48">
        <f>_xlfn.XLOOKUP(C19,'[1]PVT-FEB-26'!$B:$B,'[1]PVT-FEB-26'!$M:$M,0)</f>
        <v>0</v>
      </c>
    </row>
    <row r="20" spans="2:15" x14ac:dyDescent="0.25">
      <c r="B20" s="9" t="s">
        <v>140</v>
      </c>
      <c r="C20" s="9" t="s">
        <v>225</v>
      </c>
      <c r="D20" s="10">
        <v>3356.64</v>
      </c>
      <c r="E20" s="38">
        <v>600</v>
      </c>
      <c r="F20" s="38">
        <v>350</v>
      </c>
      <c r="G20" s="38">
        <v>0.28000000000000003</v>
      </c>
      <c r="H20" s="38">
        <v>112.06</v>
      </c>
      <c r="I20" s="38">
        <v>6</v>
      </c>
      <c r="J20" s="38">
        <v>36.28</v>
      </c>
      <c r="K20" s="38">
        <v>310.83000000000004</v>
      </c>
      <c r="L20" s="38">
        <v>634.55000000000007</v>
      </c>
      <c r="M20" s="38">
        <v>0</v>
      </c>
      <c r="N20" s="54">
        <v>100</v>
      </c>
      <c r="O20" s="48">
        <f>_xlfn.XLOOKUP(C20,'[1]PVT-FEB-26'!$B:$B,'[1]PVT-FEB-26'!$M:$M,0)</f>
        <v>0</v>
      </c>
    </row>
    <row r="21" spans="2:15" x14ac:dyDescent="0.25">
      <c r="B21" s="9" t="s">
        <v>140</v>
      </c>
      <c r="C21" s="9" t="s">
        <v>226</v>
      </c>
      <c r="D21" s="10">
        <v>3356.64</v>
      </c>
      <c r="E21" s="38">
        <v>25</v>
      </c>
      <c r="F21" s="38">
        <v>25</v>
      </c>
      <c r="G21" s="38">
        <v>0.28000000000000003</v>
      </c>
      <c r="H21" s="38">
        <v>6.06</v>
      </c>
      <c r="I21" s="38">
        <v>3</v>
      </c>
      <c r="J21" s="38">
        <v>1</v>
      </c>
      <c r="K21" s="38">
        <v>16.22</v>
      </c>
      <c r="L21" s="38">
        <v>58.44</v>
      </c>
      <c r="M21" s="38">
        <v>0</v>
      </c>
      <c r="N21" s="54">
        <v>25</v>
      </c>
      <c r="O21" s="48">
        <f>_xlfn.XLOOKUP(C21,'[1]PVT-FEB-26'!$B:$B,'[1]PVT-FEB-26'!$M:$M,0)</f>
        <v>0</v>
      </c>
    </row>
    <row r="22" spans="2:15" x14ac:dyDescent="0.25">
      <c r="B22" s="9" t="s">
        <v>149</v>
      </c>
      <c r="C22" s="9" t="s">
        <v>175</v>
      </c>
      <c r="D22" s="10">
        <v>3263.4</v>
      </c>
      <c r="E22" s="38">
        <v>69.569999999999993</v>
      </c>
      <c r="F22" s="38">
        <v>0</v>
      </c>
      <c r="G22" s="38">
        <v>0</v>
      </c>
      <c r="H22" s="38">
        <v>0</v>
      </c>
      <c r="I22" s="38">
        <v>-2</v>
      </c>
      <c r="J22" s="38">
        <v>0</v>
      </c>
      <c r="K22" s="38">
        <v>-1.83</v>
      </c>
      <c r="L22" s="38">
        <v>4.2600000000000069</v>
      </c>
      <c r="M22" s="38">
        <v>0</v>
      </c>
      <c r="N22" s="54">
        <v>0</v>
      </c>
      <c r="O22" s="48">
        <f>_xlfn.XLOOKUP(C22,'[1]PVT-FEB-26'!$B:$B,'[1]PVT-FEB-26'!$M:$M,0)</f>
        <v>0</v>
      </c>
    </row>
    <row r="23" spans="2:15" x14ac:dyDescent="0.25">
      <c r="B23" s="9" t="s">
        <v>149</v>
      </c>
      <c r="C23" s="9" t="s">
        <v>186</v>
      </c>
      <c r="D23" s="10">
        <v>3263.4</v>
      </c>
      <c r="E23" s="38">
        <v>57.57</v>
      </c>
      <c r="F23" s="38">
        <v>-1</v>
      </c>
      <c r="G23" s="38">
        <v>0</v>
      </c>
      <c r="H23" s="38">
        <v>0</v>
      </c>
      <c r="I23" s="38">
        <v>-1.45</v>
      </c>
      <c r="J23" s="38">
        <v>0</v>
      </c>
      <c r="K23" s="38">
        <v>-1.83</v>
      </c>
      <c r="L23" s="38">
        <v>4.71</v>
      </c>
      <c r="M23" s="38">
        <v>0</v>
      </c>
      <c r="N23" s="54">
        <v>0</v>
      </c>
      <c r="O23" s="48">
        <f>_xlfn.XLOOKUP(C23,'[1]PVT-FEB-26'!$B:$B,'[1]PVT-FEB-26'!$M:$M,0)</f>
        <v>0</v>
      </c>
    </row>
    <row r="24" spans="2:15" x14ac:dyDescent="0.25">
      <c r="B24" s="9" t="s">
        <v>149</v>
      </c>
      <c r="C24" s="9" t="s">
        <v>187</v>
      </c>
      <c r="D24" s="10">
        <v>3263.4</v>
      </c>
      <c r="E24" s="38">
        <v>66.569999999999993</v>
      </c>
      <c r="F24" s="38">
        <v>0</v>
      </c>
      <c r="G24" s="38">
        <v>0</v>
      </c>
      <c r="H24" s="38">
        <v>0</v>
      </c>
      <c r="I24" s="38">
        <v>-2.76</v>
      </c>
      <c r="J24" s="38">
        <v>0</v>
      </c>
      <c r="K24" s="38">
        <v>-1.83</v>
      </c>
      <c r="L24" s="38">
        <v>5.0200000000000067</v>
      </c>
      <c r="M24" s="38">
        <v>0</v>
      </c>
      <c r="N24" s="54">
        <v>0</v>
      </c>
      <c r="O24" s="48">
        <f>_xlfn.XLOOKUP(C24,'[1]PVT-FEB-26'!$B:$B,'[1]PVT-FEB-26'!$M:$M,0)</f>
        <v>0</v>
      </c>
    </row>
    <row r="25" spans="2:15" x14ac:dyDescent="0.25">
      <c r="B25" s="9" t="s">
        <v>148</v>
      </c>
      <c r="C25" s="9" t="s">
        <v>211</v>
      </c>
      <c r="D25" s="10">
        <v>3108</v>
      </c>
      <c r="E25" s="38">
        <v>48</v>
      </c>
      <c r="F25" s="38">
        <v>8</v>
      </c>
      <c r="G25" s="38">
        <v>43.41</v>
      </c>
      <c r="H25" s="38">
        <v>0.53</v>
      </c>
      <c r="I25" s="38">
        <v>7.9999999999999849E-2</v>
      </c>
      <c r="J25" s="38">
        <v>25</v>
      </c>
      <c r="K25" s="38">
        <v>62.08</v>
      </c>
      <c r="L25" s="38">
        <v>62.980000000000004</v>
      </c>
      <c r="M25" s="38">
        <v>0</v>
      </c>
      <c r="N25" s="54">
        <v>30</v>
      </c>
      <c r="O25" s="48">
        <f>_xlfn.XLOOKUP(C25,'[1]PVT-FEB-26'!$B:$B,'[1]PVT-FEB-26'!$M:$M,0)</f>
        <v>0</v>
      </c>
    </row>
    <row r="26" spans="2:15" x14ac:dyDescent="0.25">
      <c r="B26" s="9" t="s">
        <v>148</v>
      </c>
      <c r="C26" s="9" t="s">
        <v>212</v>
      </c>
      <c r="D26" s="10">
        <v>3108</v>
      </c>
      <c r="E26" s="38">
        <v>45</v>
      </c>
      <c r="F26" s="38">
        <v>18</v>
      </c>
      <c r="G26" s="38">
        <v>86.03</v>
      </c>
      <c r="H26" s="38">
        <v>78.53</v>
      </c>
      <c r="I26" s="38">
        <v>63</v>
      </c>
      <c r="J26" s="38">
        <v>53</v>
      </c>
      <c r="K26" s="38">
        <v>66</v>
      </c>
      <c r="L26" s="38">
        <v>190.44</v>
      </c>
      <c r="M26" s="38">
        <v>0</v>
      </c>
      <c r="N26" s="54">
        <v>75</v>
      </c>
      <c r="O26" s="48">
        <f>_xlfn.XLOOKUP(C26,'[1]PVT-FEB-26'!$B:$B,'[1]PVT-FEB-26'!$M:$M,0)</f>
        <v>0</v>
      </c>
    </row>
    <row r="27" spans="2:15" x14ac:dyDescent="0.25">
      <c r="B27" s="9" t="s">
        <v>148</v>
      </c>
      <c r="C27" s="9" t="s">
        <v>213</v>
      </c>
      <c r="D27" s="10">
        <v>6216</v>
      </c>
      <c r="E27" s="38">
        <v>22</v>
      </c>
      <c r="F27" s="38">
        <v>2</v>
      </c>
      <c r="G27" s="38">
        <v>3</v>
      </c>
      <c r="H27" s="38">
        <v>8</v>
      </c>
      <c r="I27" s="38">
        <v>15.290000000000001</v>
      </c>
      <c r="J27" s="38">
        <v>20</v>
      </c>
      <c r="K27" s="38">
        <v>4.1399999999999997</v>
      </c>
      <c r="L27" s="38">
        <v>25.57</v>
      </c>
      <c r="M27" s="38">
        <v>0</v>
      </c>
      <c r="N27" s="54">
        <v>5</v>
      </c>
      <c r="O27" s="48">
        <f>_xlfn.XLOOKUP(C27,'[1]PVT-FEB-26'!$B:$B,'[1]PVT-FEB-26'!$M:$M,0)</f>
        <v>0</v>
      </c>
    </row>
    <row r="28" spans="2:15" x14ac:dyDescent="0.25">
      <c r="B28" s="9" t="s">
        <v>148</v>
      </c>
      <c r="C28" s="9" t="s">
        <v>214</v>
      </c>
      <c r="D28" s="10">
        <v>3108</v>
      </c>
      <c r="E28" s="38">
        <v>38</v>
      </c>
      <c r="F28" s="38">
        <v>8</v>
      </c>
      <c r="G28" s="38">
        <v>3.13</v>
      </c>
      <c r="H28" s="38">
        <v>24.78</v>
      </c>
      <c r="I28" s="38">
        <v>24</v>
      </c>
      <c r="J28" s="38">
        <v>24</v>
      </c>
      <c r="K28" s="38">
        <v>60</v>
      </c>
      <c r="L28" s="38">
        <v>68.09</v>
      </c>
      <c r="M28" s="38">
        <v>0</v>
      </c>
      <c r="N28" s="54">
        <v>35</v>
      </c>
      <c r="O28" s="48">
        <f>_xlfn.XLOOKUP(C28,'[1]PVT-FEB-26'!$B:$B,'[1]PVT-FEB-26'!$M:$M,0)</f>
        <v>0</v>
      </c>
    </row>
    <row r="29" spans="2:15" x14ac:dyDescent="0.25">
      <c r="B29" s="9" t="s">
        <v>148</v>
      </c>
      <c r="C29" s="9" t="s">
        <v>230</v>
      </c>
      <c r="D29" s="10">
        <v>3543.12</v>
      </c>
      <c r="E29" s="38">
        <v>36</v>
      </c>
      <c r="F29" s="38">
        <v>17</v>
      </c>
      <c r="G29" s="38">
        <v>9</v>
      </c>
      <c r="H29" s="38">
        <v>42.96</v>
      </c>
      <c r="I29" s="38">
        <v>7.71</v>
      </c>
      <c r="J29" s="38">
        <v>0.42</v>
      </c>
      <c r="K29" s="38">
        <v>25</v>
      </c>
      <c r="L29" s="38">
        <v>0.62000000000000099</v>
      </c>
      <c r="M29" s="38">
        <v>60</v>
      </c>
      <c r="N29" s="54">
        <v>0</v>
      </c>
      <c r="O29" s="48">
        <f>_xlfn.XLOOKUP(C29,'[1]PVT-FEB-26'!$B:$B,'[1]PVT-FEB-26'!$M:$M,0)</f>
        <v>60</v>
      </c>
    </row>
    <row r="30" spans="2:15" x14ac:dyDescent="0.25">
      <c r="B30" s="9" t="s">
        <v>197</v>
      </c>
      <c r="C30" s="9" t="s">
        <v>179</v>
      </c>
      <c r="D30" s="10">
        <v>4662</v>
      </c>
      <c r="E30" s="38">
        <v>40</v>
      </c>
      <c r="F30" s="38">
        <v>8</v>
      </c>
      <c r="G30" s="38">
        <v>8.19</v>
      </c>
      <c r="H30" s="38">
        <v>22.53</v>
      </c>
      <c r="I30" s="38">
        <v>16.07</v>
      </c>
      <c r="J30" s="38">
        <v>1.6500000000000004</v>
      </c>
      <c r="K30" s="38">
        <v>25.07</v>
      </c>
      <c r="L30" s="38">
        <v>6.270000000000004</v>
      </c>
      <c r="M30" s="38">
        <v>60</v>
      </c>
      <c r="N30" s="54">
        <v>6</v>
      </c>
      <c r="O30" s="48">
        <f>_xlfn.XLOOKUP(C30,'[1]PVT-FEB-26'!$B:$B,'[1]PVT-FEB-26'!$M:$M,0)</f>
        <v>60</v>
      </c>
    </row>
    <row r="31" spans="2:15" x14ac:dyDescent="0.25">
      <c r="B31" s="9" t="s">
        <v>197</v>
      </c>
      <c r="C31" s="9" t="s">
        <v>181</v>
      </c>
      <c r="D31" s="10">
        <v>4662</v>
      </c>
      <c r="E31" s="38">
        <v>48</v>
      </c>
      <c r="F31" s="38">
        <v>9</v>
      </c>
      <c r="G31" s="38">
        <v>18.190000000000001</v>
      </c>
      <c r="H31" s="38">
        <v>31.53</v>
      </c>
      <c r="I31" s="38">
        <v>3.58</v>
      </c>
      <c r="J31" s="38">
        <v>25</v>
      </c>
      <c r="K31" s="38">
        <v>15.92</v>
      </c>
      <c r="L31" s="38">
        <v>9.7400000000000038</v>
      </c>
      <c r="M31" s="38">
        <v>100</v>
      </c>
      <c r="N31" s="54">
        <v>9</v>
      </c>
      <c r="O31" s="48">
        <f>_xlfn.XLOOKUP(C31,'[1]PVT-FEB-26'!$B:$B,'[1]PVT-FEB-26'!$M:$M,0)</f>
        <v>100</v>
      </c>
    </row>
    <row r="32" spans="2:15" x14ac:dyDescent="0.25">
      <c r="B32" s="9" t="s">
        <v>197</v>
      </c>
      <c r="C32" s="9" t="s">
        <v>184</v>
      </c>
      <c r="D32" s="10">
        <v>4662</v>
      </c>
      <c r="E32" s="38">
        <v>73.400000000000006</v>
      </c>
      <c r="F32" s="38">
        <v>29</v>
      </c>
      <c r="G32" s="38">
        <v>30.16</v>
      </c>
      <c r="H32" s="38">
        <v>50.54</v>
      </c>
      <c r="I32" s="38">
        <v>61.680000000000007</v>
      </c>
      <c r="J32" s="38">
        <v>15.100000000000001</v>
      </c>
      <c r="K32" s="38">
        <v>-0.16</v>
      </c>
      <c r="L32" s="38">
        <v>0.56000000000001016</v>
      </c>
      <c r="M32" s="38">
        <v>100</v>
      </c>
      <c r="N32" s="54">
        <v>0</v>
      </c>
      <c r="O32" s="48">
        <f>_xlfn.XLOOKUP(C32,'[1]PVT-FEB-26'!$B:$B,'[1]PVT-FEB-26'!$M:$M,0)</f>
        <v>100</v>
      </c>
    </row>
    <row r="33" spans="2:15" x14ac:dyDescent="0.25">
      <c r="B33" s="9" t="s">
        <v>198</v>
      </c>
      <c r="C33" s="9" t="s">
        <v>234</v>
      </c>
      <c r="D33" s="10">
        <v>0</v>
      </c>
      <c r="E33" s="38">
        <v>0</v>
      </c>
      <c r="F33" s="38">
        <v>0</v>
      </c>
      <c r="G33" s="38">
        <v>0</v>
      </c>
      <c r="H33" s="38">
        <v>0</v>
      </c>
      <c r="I33" s="38">
        <v>1.5</v>
      </c>
      <c r="J33" s="38">
        <v>0</v>
      </c>
      <c r="K33" s="38">
        <v>0</v>
      </c>
      <c r="L33" s="38">
        <v>0</v>
      </c>
      <c r="M33" s="38">
        <v>0</v>
      </c>
      <c r="N33" s="54">
        <v>0</v>
      </c>
      <c r="O33" s="48">
        <f>_xlfn.XLOOKUP(C33,'[1]PVT-FEB-26'!$B:$B,'[1]PVT-FEB-26'!$M:$M,0)</f>
        <v>0</v>
      </c>
    </row>
    <row r="34" spans="2:15" x14ac:dyDescent="0.25">
      <c r="B34" s="9" t="s">
        <v>198</v>
      </c>
      <c r="C34" s="9" t="s">
        <v>192</v>
      </c>
      <c r="D34" s="10">
        <v>4195.8</v>
      </c>
      <c r="E34" s="38">
        <v>11</v>
      </c>
      <c r="F34" s="38">
        <v>0</v>
      </c>
      <c r="G34" s="38">
        <v>0</v>
      </c>
      <c r="H34" s="38">
        <v>0</v>
      </c>
      <c r="I34" s="38">
        <v>0.45</v>
      </c>
      <c r="J34" s="38">
        <v>0</v>
      </c>
      <c r="K34" s="38">
        <v>0</v>
      </c>
      <c r="L34" s="38">
        <v>0</v>
      </c>
      <c r="M34" s="38">
        <v>25</v>
      </c>
      <c r="N34" s="54">
        <v>0</v>
      </c>
      <c r="O34" s="48">
        <f>_xlfn.XLOOKUP(C34,'[1]PVT-FEB-26'!$B:$B,'[1]PVT-FEB-26'!$M:$M,0)</f>
        <v>25</v>
      </c>
    </row>
    <row r="35" spans="2:15" x14ac:dyDescent="0.25">
      <c r="B35" s="9" t="s">
        <v>198</v>
      </c>
      <c r="C35" s="9" t="s">
        <v>192</v>
      </c>
      <c r="D35" s="10">
        <v>4273.6000000000004</v>
      </c>
      <c r="E35" s="38">
        <v>2</v>
      </c>
      <c r="F35" s="38">
        <v>3</v>
      </c>
      <c r="G35" s="38">
        <v>10.3</v>
      </c>
      <c r="H35" s="38">
        <v>18.55</v>
      </c>
      <c r="I35" s="38">
        <v>2</v>
      </c>
      <c r="J35" s="38">
        <v>12.3</v>
      </c>
      <c r="K35" s="38">
        <v>0</v>
      </c>
      <c r="L35" s="38">
        <v>1.8500000000000021</v>
      </c>
      <c r="M35" s="38">
        <v>0</v>
      </c>
      <c r="N35" s="54">
        <v>0</v>
      </c>
      <c r="O35" s="48">
        <f>_xlfn.XLOOKUP(C35,'[1]PVT-FEB-26'!$B:$B,'[1]PVT-FEB-26'!$M:$M,0)</f>
        <v>25</v>
      </c>
    </row>
    <row r="36" spans="2:15" x14ac:dyDescent="0.25">
      <c r="B36" s="9" t="s">
        <v>198</v>
      </c>
      <c r="C36" s="9" t="s">
        <v>232</v>
      </c>
      <c r="D36" s="10">
        <v>5050.6000000000004</v>
      </c>
      <c r="E36" s="38">
        <v>26</v>
      </c>
      <c r="F36" s="38">
        <v>10.1</v>
      </c>
      <c r="G36" s="38">
        <v>6.3</v>
      </c>
      <c r="H36" s="38">
        <v>7</v>
      </c>
      <c r="I36" s="38">
        <v>4.0999999999999996</v>
      </c>
      <c r="J36" s="38">
        <v>42</v>
      </c>
      <c r="K36" s="38">
        <v>8.3000000000000007</v>
      </c>
      <c r="L36" s="38">
        <v>0.30000000000000071</v>
      </c>
      <c r="M36" s="38">
        <v>90</v>
      </c>
      <c r="N36" s="54">
        <v>0</v>
      </c>
      <c r="O36" s="48">
        <f>_xlfn.XLOOKUP(C36,'[1]PVT-FEB-26'!$B:$B,'[1]PVT-FEB-26'!$M:$M,0)</f>
        <v>60</v>
      </c>
    </row>
    <row r="37" spans="2:15" x14ac:dyDescent="0.25">
      <c r="B37" s="9" t="s">
        <v>198</v>
      </c>
      <c r="C37" s="9" t="s">
        <v>193</v>
      </c>
      <c r="D37" s="10">
        <v>4273.6000000000004</v>
      </c>
      <c r="E37" s="38">
        <v>22.05</v>
      </c>
      <c r="F37" s="38">
        <v>4</v>
      </c>
      <c r="G37" s="38">
        <v>9.3500000000000014</v>
      </c>
      <c r="H37" s="38">
        <v>10.050000000000001</v>
      </c>
      <c r="I37" s="38">
        <v>7.7</v>
      </c>
      <c r="J37" s="38">
        <v>22</v>
      </c>
      <c r="K37" s="38">
        <v>2.15</v>
      </c>
      <c r="L37" s="38">
        <v>2.899999999999999</v>
      </c>
      <c r="M37" s="38">
        <v>50</v>
      </c>
      <c r="N37" s="54">
        <v>0</v>
      </c>
      <c r="O37" s="48">
        <f>_xlfn.XLOOKUP(C37,'[1]PVT-FEB-26'!$B:$B,'[1]PVT-FEB-26'!$M:$M,0)</f>
        <v>25</v>
      </c>
    </row>
    <row r="38" spans="2:15" x14ac:dyDescent="0.25">
      <c r="B38" s="9" t="s">
        <v>198</v>
      </c>
      <c r="C38" s="9" t="s">
        <v>194</v>
      </c>
      <c r="D38" s="10">
        <v>4273.6000000000004</v>
      </c>
      <c r="E38" s="38">
        <v>33</v>
      </c>
      <c r="F38" s="38">
        <v>4</v>
      </c>
      <c r="G38" s="38">
        <v>7.05</v>
      </c>
      <c r="H38" s="38">
        <v>49.05</v>
      </c>
      <c r="I38" s="38">
        <v>27.75</v>
      </c>
      <c r="J38" s="38">
        <v>20</v>
      </c>
      <c r="K38" s="38">
        <v>-20.399999999999999</v>
      </c>
      <c r="L38" s="38">
        <v>183.04999999999998</v>
      </c>
      <c r="M38" s="38">
        <v>0</v>
      </c>
      <c r="N38" s="54">
        <v>25</v>
      </c>
      <c r="O38" s="48">
        <f>_xlfn.XLOOKUP(C38,'[1]PVT-FEB-26'!$B:$B,'[1]PVT-FEB-26'!$M:$M,0)</f>
        <v>0</v>
      </c>
    </row>
    <row r="39" spans="2:15" x14ac:dyDescent="0.25">
      <c r="B39" s="9" t="s">
        <v>198</v>
      </c>
      <c r="C39" s="9" t="s">
        <v>233</v>
      </c>
      <c r="D39" s="10">
        <v>4273.6000000000004</v>
      </c>
      <c r="E39" s="38">
        <v>48</v>
      </c>
      <c r="F39" s="38">
        <v>5</v>
      </c>
      <c r="G39" s="38">
        <v>7.3</v>
      </c>
      <c r="H39" s="38">
        <v>56.6</v>
      </c>
      <c r="I39" s="38">
        <v>25.4</v>
      </c>
      <c r="J39" s="38">
        <v>18.399999999999999</v>
      </c>
      <c r="K39" s="38">
        <v>-10.75</v>
      </c>
      <c r="L39" s="38">
        <v>150.44999999999999</v>
      </c>
      <c r="M39" s="38">
        <v>0</v>
      </c>
      <c r="N39" s="54">
        <v>25</v>
      </c>
      <c r="O39" s="48">
        <f>_xlfn.XLOOKUP(C39,'[1]PVT-FEB-26'!$B:$B,'[1]PVT-FEB-26'!$M:$M,0)</f>
        <v>0</v>
      </c>
    </row>
    <row r="40" spans="2:15" x14ac:dyDescent="0.25">
      <c r="B40" s="9" t="s">
        <v>199</v>
      </c>
      <c r="C40" s="9" t="s">
        <v>180</v>
      </c>
      <c r="D40" s="10">
        <v>3652</v>
      </c>
      <c r="E40" s="38">
        <v>28</v>
      </c>
      <c r="F40" s="38">
        <v>7</v>
      </c>
      <c r="G40" s="38">
        <v>7.1</v>
      </c>
      <c r="H40" s="38">
        <v>16.05</v>
      </c>
      <c r="I40" s="38">
        <v>2.1</v>
      </c>
      <c r="J40" s="38">
        <v>-0.1</v>
      </c>
      <c r="K40" s="38">
        <v>15</v>
      </c>
      <c r="L40" s="38">
        <v>11.1</v>
      </c>
      <c r="M40" s="38">
        <v>25</v>
      </c>
      <c r="N40" s="54">
        <v>11</v>
      </c>
      <c r="O40" s="48">
        <f>_xlfn.XLOOKUP(C40,'[1]PVT-FEB-26'!$B:$B,'[1]PVT-FEB-26'!$M:$M,0)</f>
        <v>25</v>
      </c>
    </row>
    <row r="41" spans="2:15" x14ac:dyDescent="0.25">
      <c r="B41" s="9" t="s">
        <v>199</v>
      </c>
      <c r="C41" s="9" t="s">
        <v>182</v>
      </c>
      <c r="D41" s="10">
        <v>3652</v>
      </c>
      <c r="E41" s="38">
        <v>42</v>
      </c>
      <c r="F41" s="38">
        <v>17</v>
      </c>
      <c r="G41" s="38">
        <v>16.100000000000001</v>
      </c>
      <c r="H41" s="38">
        <v>69.05</v>
      </c>
      <c r="I41" s="38">
        <v>53.5</v>
      </c>
      <c r="J41" s="38">
        <v>18</v>
      </c>
      <c r="K41" s="38">
        <v>-1</v>
      </c>
      <c r="L41" s="38">
        <v>4.9999999999999893</v>
      </c>
      <c r="M41" s="38">
        <v>75</v>
      </c>
      <c r="N41" s="54">
        <v>5</v>
      </c>
      <c r="O41" s="48">
        <f>_xlfn.XLOOKUP(C41,'[1]PVT-FEB-26'!$B:$B,'[1]PVT-FEB-26'!$M:$M,0)</f>
        <v>60</v>
      </c>
    </row>
    <row r="42" spans="2:15" x14ac:dyDescent="0.25">
      <c r="B42" s="9" t="s">
        <v>199</v>
      </c>
      <c r="C42" s="9" t="s">
        <v>185</v>
      </c>
      <c r="D42" s="10">
        <v>3652</v>
      </c>
      <c r="E42" s="38">
        <v>87.95</v>
      </c>
      <c r="F42" s="38">
        <v>29</v>
      </c>
      <c r="G42" s="38">
        <v>52.099999999999994</v>
      </c>
      <c r="H42" s="38">
        <v>94.05</v>
      </c>
      <c r="I42" s="38">
        <v>47</v>
      </c>
      <c r="J42" s="38">
        <v>2.15</v>
      </c>
      <c r="K42" s="38">
        <v>0</v>
      </c>
      <c r="L42" s="38">
        <v>1.2499999999999909</v>
      </c>
      <c r="M42" s="38">
        <v>75</v>
      </c>
      <c r="N42" s="54">
        <v>0</v>
      </c>
      <c r="O42" s="48">
        <f>_xlfn.XLOOKUP(C42,'[1]PVT-FEB-26'!$B:$B,'[1]PVT-FEB-26'!$M:$M,0)</f>
        <v>60</v>
      </c>
    </row>
    <row r="43" spans="2:15" x14ac:dyDescent="0.25">
      <c r="B43" s="9" t="s">
        <v>200</v>
      </c>
      <c r="C43" s="9" t="s">
        <v>208</v>
      </c>
      <c r="D43" s="10">
        <v>2486.4</v>
      </c>
      <c r="E43" s="38">
        <v>439</v>
      </c>
      <c r="F43" s="38">
        <v>98</v>
      </c>
      <c r="G43" s="38">
        <v>118</v>
      </c>
      <c r="H43" s="38">
        <v>347.25</v>
      </c>
      <c r="I43" s="38">
        <v>231</v>
      </c>
      <c r="J43" s="38">
        <v>145</v>
      </c>
      <c r="K43" s="38">
        <v>273</v>
      </c>
      <c r="L43" s="38">
        <v>43.75</v>
      </c>
      <c r="M43" s="38">
        <v>250</v>
      </c>
      <c r="N43" s="54">
        <v>43</v>
      </c>
      <c r="O43" s="48">
        <f>_xlfn.XLOOKUP(C43,'[1]PVT-FEB-26'!$B:$B,'[1]PVT-FEB-26'!$M:$M,0)</f>
        <v>250</v>
      </c>
    </row>
    <row r="44" spans="2:15" x14ac:dyDescent="0.25">
      <c r="B44" s="9" t="s">
        <v>202</v>
      </c>
      <c r="C44" s="9" t="s">
        <v>183</v>
      </c>
      <c r="D44" s="10">
        <v>4079.25</v>
      </c>
      <c r="E44" s="38">
        <v>68</v>
      </c>
      <c r="F44" s="38">
        <v>11</v>
      </c>
      <c r="G44" s="38">
        <v>21.14</v>
      </c>
      <c r="H44" s="38">
        <v>14.07</v>
      </c>
      <c r="I44" s="38">
        <v>36.07</v>
      </c>
      <c r="J44" s="38">
        <v>26.8</v>
      </c>
      <c r="K44" s="38">
        <v>20</v>
      </c>
      <c r="L44" s="38">
        <v>25.85</v>
      </c>
      <c r="M44" s="38">
        <v>0</v>
      </c>
      <c r="N44" s="54">
        <v>25</v>
      </c>
      <c r="O44" s="48">
        <f>_xlfn.XLOOKUP(C44,'[1]PVT-FEB-26'!$B:$B,'[1]PVT-FEB-26'!$M:$M,0)</f>
        <v>0</v>
      </c>
    </row>
    <row r="45" spans="2:15" x14ac:dyDescent="0.25">
      <c r="B45" s="9" t="s">
        <v>202</v>
      </c>
      <c r="C45" s="9" t="s">
        <v>220</v>
      </c>
      <c r="D45" s="10">
        <v>4079.25</v>
      </c>
      <c r="E45" s="38">
        <v>96</v>
      </c>
      <c r="F45" s="38">
        <v>24</v>
      </c>
      <c r="G45" s="38">
        <v>73.069999999999993</v>
      </c>
      <c r="H45" s="38">
        <v>57.07</v>
      </c>
      <c r="I45" s="38">
        <v>36.130000000000003</v>
      </c>
      <c r="J45" s="38">
        <v>40.93</v>
      </c>
      <c r="K45" s="38">
        <v>20</v>
      </c>
      <c r="L45" s="38">
        <v>2.8000000000000149</v>
      </c>
      <c r="M45" s="38">
        <v>0</v>
      </c>
      <c r="N45" s="54">
        <v>2</v>
      </c>
      <c r="O45" s="48">
        <f>_xlfn.XLOOKUP(C45,'[1]PVT-FEB-26'!$B:$B,'[1]PVT-FEB-26'!$M:$M,0)</f>
        <v>0</v>
      </c>
    </row>
    <row r="46" spans="2:15" x14ac:dyDescent="0.25">
      <c r="B46" s="9" t="s">
        <v>203</v>
      </c>
      <c r="C46" s="9" t="s">
        <v>176</v>
      </c>
      <c r="D46" s="10">
        <v>3497.4</v>
      </c>
      <c r="E46" s="38">
        <v>30</v>
      </c>
      <c r="F46" s="38">
        <v>5</v>
      </c>
      <c r="G46" s="38">
        <v>14.78</v>
      </c>
      <c r="H46" s="38">
        <v>0.01</v>
      </c>
      <c r="I46" s="38">
        <v>-5.33</v>
      </c>
      <c r="J46" s="38">
        <v>0</v>
      </c>
      <c r="K46" s="38">
        <v>0</v>
      </c>
      <c r="L46" s="38">
        <v>5.5600000000000041</v>
      </c>
      <c r="M46" s="38">
        <v>0</v>
      </c>
      <c r="N46" s="54">
        <v>0</v>
      </c>
      <c r="O46" s="48">
        <f>_xlfn.XLOOKUP(C46,'[1]PVT-FEB-26'!$B:$B,'[1]PVT-FEB-26'!$M:$M,0)</f>
        <v>0</v>
      </c>
    </row>
    <row r="47" spans="2:15" x14ac:dyDescent="0.25">
      <c r="B47" s="9" t="s">
        <v>204</v>
      </c>
      <c r="C47" s="9" t="s">
        <v>215</v>
      </c>
      <c r="D47" s="10">
        <v>5206</v>
      </c>
      <c r="E47" s="38">
        <v>72</v>
      </c>
      <c r="F47" s="38">
        <v>47.6</v>
      </c>
      <c r="G47" s="38">
        <v>5.4</v>
      </c>
      <c r="H47" s="38">
        <v>59.05</v>
      </c>
      <c r="I47" s="38">
        <v>44</v>
      </c>
      <c r="J47" s="38">
        <v>32.25</v>
      </c>
      <c r="K47" s="38">
        <v>30</v>
      </c>
      <c r="L47" s="38">
        <v>159.69999999999999</v>
      </c>
      <c r="M47" s="38">
        <v>0</v>
      </c>
      <c r="N47" s="54">
        <v>30</v>
      </c>
      <c r="O47" s="48">
        <f>_xlfn.XLOOKUP(C47,'[1]PVT-FEB-26'!$B:$B,'[1]PVT-FEB-26'!$M:$M,0)</f>
        <v>0</v>
      </c>
    </row>
    <row r="48" spans="2:15" x14ac:dyDescent="0.25">
      <c r="B48" s="9" t="s">
        <v>134</v>
      </c>
      <c r="C48" s="9" t="s">
        <v>178</v>
      </c>
      <c r="D48" s="10">
        <v>4662</v>
      </c>
      <c r="E48" s="38">
        <v>10</v>
      </c>
      <c r="F48" s="38">
        <v>6</v>
      </c>
      <c r="G48" s="38">
        <v>1.29</v>
      </c>
      <c r="H48" s="38">
        <v>2.29</v>
      </c>
      <c r="I48" s="38">
        <v>16</v>
      </c>
      <c r="J48" s="38">
        <v>1</v>
      </c>
      <c r="K48" s="38">
        <v>0</v>
      </c>
      <c r="L48" s="38">
        <v>13.420000000000002</v>
      </c>
      <c r="M48" s="38">
        <v>0</v>
      </c>
      <c r="N48" s="54">
        <v>0</v>
      </c>
      <c r="O48" s="48">
        <f>_xlfn.XLOOKUP(C48,'[1]PVT-FEB-26'!$B:$B,'[1]PVT-FEB-26'!$M:$M,0)</f>
        <v>0</v>
      </c>
    </row>
    <row r="49" spans="2:15" x14ac:dyDescent="0.25">
      <c r="B49" s="9" t="s">
        <v>134</v>
      </c>
      <c r="C49" s="9" t="s">
        <v>228</v>
      </c>
      <c r="D49" s="10">
        <v>5128.32</v>
      </c>
      <c r="E49" s="38">
        <v>27</v>
      </c>
      <c r="F49" s="38">
        <v>10</v>
      </c>
      <c r="G49" s="38">
        <v>14.5</v>
      </c>
      <c r="H49" s="38">
        <v>29.46</v>
      </c>
      <c r="I49" s="38">
        <v>-2.96</v>
      </c>
      <c r="J49" s="38">
        <v>0</v>
      </c>
      <c r="K49" s="38">
        <v>29.21</v>
      </c>
      <c r="L49" s="38">
        <v>0.78999999999999915</v>
      </c>
      <c r="M49" s="38">
        <v>0</v>
      </c>
      <c r="N49" s="54">
        <v>0</v>
      </c>
      <c r="O49" s="48">
        <f>_xlfn.XLOOKUP(C49,'[1]PVT-FEB-26'!$B:$B,'[1]PVT-FEB-26'!$M:$M,0)</f>
        <v>0</v>
      </c>
    </row>
    <row r="50" spans="2:15" x14ac:dyDescent="0.25">
      <c r="B50" s="9" t="s">
        <v>134</v>
      </c>
      <c r="C50" s="9" t="s">
        <v>188</v>
      </c>
      <c r="D50" s="10">
        <v>4662</v>
      </c>
      <c r="E50" s="38">
        <v>18</v>
      </c>
      <c r="F50" s="38">
        <v>16</v>
      </c>
      <c r="G50" s="38">
        <v>0.28999999999999998</v>
      </c>
      <c r="H50" s="38">
        <v>29.29</v>
      </c>
      <c r="I50" s="38">
        <v>29.42</v>
      </c>
      <c r="J50" s="38">
        <v>17</v>
      </c>
      <c r="K50" s="38">
        <v>7</v>
      </c>
      <c r="L50" s="38">
        <v>83.460000000000022</v>
      </c>
      <c r="M50" s="38">
        <v>0</v>
      </c>
      <c r="N50" s="54">
        <v>25</v>
      </c>
      <c r="O50" s="48">
        <f>_xlfn.XLOOKUP(C50,'[1]PVT-FEB-26'!$B:$B,'[1]PVT-FEB-26'!$M:$M,0)</f>
        <v>0</v>
      </c>
    </row>
    <row r="51" spans="2:15" x14ac:dyDescent="0.25">
      <c r="B51" s="9" t="s">
        <v>134</v>
      </c>
      <c r="C51" s="9" t="s">
        <v>191</v>
      </c>
      <c r="D51" s="10">
        <v>4662</v>
      </c>
      <c r="E51" s="38">
        <v>2</v>
      </c>
      <c r="F51" s="38">
        <v>0</v>
      </c>
      <c r="G51" s="38">
        <v>0.04</v>
      </c>
      <c r="H51" s="38">
        <v>0</v>
      </c>
      <c r="I51" s="38">
        <v>0</v>
      </c>
      <c r="J51" s="38">
        <v>0</v>
      </c>
      <c r="K51" s="38">
        <v>0</v>
      </c>
      <c r="L51" s="38">
        <v>124.41999999999999</v>
      </c>
      <c r="M51" s="38">
        <v>0</v>
      </c>
      <c r="N51" s="54">
        <v>0</v>
      </c>
      <c r="O51" s="48">
        <f>_xlfn.XLOOKUP(C51,'[1]PVT-FEB-26'!$B:$B,'[1]PVT-FEB-26'!$M:$M,0)</f>
        <v>0</v>
      </c>
    </row>
    <row r="52" spans="2:15" x14ac:dyDescent="0.25">
      <c r="B52" s="9" t="s">
        <v>201</v>
      </c>
      <c r="C52" s="9" t="s">
        <v>205</v>
      </c>
      <c r="D52" s="10">
        <v>3418.8</v>
      </c>
      <c r="E52" s="38">
        <v>28</v>
      </c>
      <c r="F52" s="38">
        <v>11</v>
      </c>
      <c r="G52" s="38">
        <v>4.28</v>
      </c>
      <c r="H52" s="38">
        <v>6.03</v>
      </c>
      <c r="I52" s="38">
        <v>3.4999999999999996</v>
      </c>
      <c r="J52" s="38">
        <v>-0.7200000000000002</v>
      </c>
      <c r="K52" s="38">
        <v>11.870000000000001</v>
      </c>
      <c r="L52" s="38">
        <v>39.539999999999992</v>
      </c>
      <c r="M52" s="38">
        <v>0</v>
      </c>
      <c r="N52" s="54">
        <v>25</v>
      </c>
      <c r="O52" s="48">
        <f>_xlfn.XLOOKUP(C52,'[1]PVT-FEB-26'!$B:$B,'[1]PVT-FEB-26'!$M:$M,0)</f>
        <v>0</v>
      </c>
    </row>
    <row r="53" spans="2:15" x14ac:dyDescent="0.25">
      <c r="B53" s="9" t="s">
        <v>201</v>
      </c>
      <c r="C53" s="9" t="s">
        <v>206</v>
      </c>
      <c r="D53" s="10">
        <v>3418.8</v>
      </c>
      <c r="E53" s="38">
        <v>32</v>
      </c>
      <c r="F53" s="38">
        <v>21</v>
      </c>
      <c r="G53" s="38">
        <v>5.28</v>
      </c>
      <c r="H53" s="38">
        <v>35.68</v>
      </c>
      <c r="I53" s="38">
        <v>27.5</v>
      </c>
      <c r="J53" s="38">
        <v>22.97</v>
      </c>
      <c r="K53" s="38">
        <v>27</v>
      </c>
      <c r="L53" s="38">
        <v>79.920000000000016</v>
      </c>
      <c r="M53" s="38">
        <v>0</v>
      </c>
      <c r="N53" s="54">
        <v>25</v>
      </c>
      <c r="O53" s="48">
        <f>_xlfn.XLOOKUP(C53,'[1]PVT-FEB-26'!$B:$B,'[1]PVT-FEB-26'!$M:$M,0)</f>
        <v>0</v>
      </c>
    </row>
    <row r="54" spans="2:15" x14ac:dyDescent="0.25">
      <c r="B54" s="9" t="s">
        <v>201</v>
      </c>
      <c r="C54" s="9" t="s">
        <v>177</v>
      </c>
      <c r="D54" s="10">
        <v>3418.8</v>
      </c>
      <c r="E54" s="38">
        <v>17</v>
      </c>
      <c r="F54" s="38">
        <v>10</v>
      </c>
      <c r="G54" s="38">
        <v>4.3100000000000005</v>
      </c>
      <c r="H54" s="38">
        <v>15.950000000000001</v>
      </c>
      <c r="I54" s="38">
        <v>31</v>
      </c>
      <c r="J54" s="38">
        <v>13.85</v>
      </c>
      <c r="K54" s="38">
        <v>9.1499999999999986</v>
      </c>
      <c r="L54" s="38">
        <v>23.739999999999995</v>
      </c>
      <c r="M54" s="38">
        <v>0</v>
      </c>
      <c r="N54" s="54">
        <v>25</v>
      </c>
      <c r="O54" s="48">
        <f>_xlfn.XLOOKUP(C54,'[1]PVT-FEB-26'!$B:$B,'[1]PVT-FEB-26'!$M:$M,0)</f>
        <v>0</v>
      </c>
    </row>
    <row r="55" spans="2:15" x14ac:dyDescent="0.25">
      <c r="B55" s="9" t="s">
        <v>201</v>
      </c>
      <c r="C55" s="9" t="s">
        <v>190</v>
      </c>
      <c r="D55" s="10">
        <v>3418.8</v>
      </c>
      <c r="E55" s="38">
        <v>11</v>
      </c>
      <c r="F55" s="38">
        <v>0</v>
      </c>
      <c r="G55" s="38">
        <v>0</v>
      </c>
      <c r="H55" s="38">
        <v>0</v>
      </c>
      <c r="I55" s="38">
        <v>2.33</v>
      </c>
      <c r="J55" s="38">
        <v>0</v>
      </c>
      <c r="K55" s="38">
        <v>0</v>
      </c>
      <c r="L55" s="38">
        <v>0</v>
      </c>
      <c r="M55" s="38">
        <v>0</v>
      </c>
      <c r="N55" s="54">
        <v>0</v>
      </c>
      <c r="O55" s="48">
        <f>_xlfn.XLOOKUP(C55,'[1]PVT-FEB-26'!$B:$B,'[1]PVT-FEB-26'!$M:$M,0)</f>
        <v>0</v>
      </c>
    </row>
    <row r="56" spans="2:15" x14ac:dyDescent="0.25">
      <c r="B56" s="9" t="s">
        <v>147</v>
      </c>
      <c r="C56" s="9" t="s">
        <v>209</v>
      </c>
      <c r="D56" s="10">
        <v>5050.5</v>
      </c>
      <c r="E56" s="38">
        <v>64</v>
      </c>
      <c r="F56" s="38">
        <v>9</v>
      </c>
      <c r="G56" s="38">
        <v>2.02</v>
      </c>
      <c r="H56" s="38">
        <v>9.51</v>
      </c>
      <c r="I56" s="38">
        <v>31.549999999999997</v>
      </c>
      <c r="J56" s="38">
        <v>26</v>
      </c>
      <c r="K56" s="38">
        <v>14.26</v>
      </c>
      <c r="L56" s="38">
        <v>164.29999999999998</v>
      </c>
      <c r="M56" s="38">
        <v>0</v>
      </c>
      <c r="N56" s="54">
        <v>50</v>
      </c>
      <c r="O56" s="48">
        <f>_xlfn.XLOOKUP(C56,'[1]PVT-FEB-26'!$B:$B,'[1]PVT-FEB-26'!$M:$M,0)</f>
        <v>0</v>
      </c>
    </row>
    <row r="57" spans="2:15" x14ac:dyDescent="0.25">
      <c r="B57" s="9" t="s">
        <v>147</v>
      </c>
      <c r="C57" s="9" t="s">
        <v>229</v>
      </c>
      <c r="D57" s="10">
        <v>2393.2999999999997</v>
      </c>
      <c r="E57" s="38">
        <v>40</v>
      </c>
      <c r="F57" s="38">
        <v>292</v>
      </c>
      <c r="G57" s="38">
        <v>95.01</v>
      </c>
      <c r="H57" s="38">
        <v>139.01</v>
      </c>
      <c r="I57" s="38">
        <v>122.34</v>
      </c>
      <c r="J57" s="38">
        <v>86.02</v>
      </c>
      <c r="K57" s="38">
        <v>118</v>
      </c>
      <c r="L57" s="38">
        <v>57.620000000000033</v>
      </c>
      <c r="M57" s="38">
        <v>0</v>
      </c>
      <c r="N57" s="54">
        <v>57</v>
      </c>
      <c r="O57" s="48">
        <f>_xlfn.XLOOKUP(C57,'[1]PVT-FEB-26'!$B:$B,'[1]PVT-FEB-26'!$M:$M,0)</f>
        <v>0</v>
      </c>
    </row>
    <row r="58" spans="2:15" x14ac:dyDescent="0.25">
      <c r="B58" s="9" t="s">
        <v>168</v>
      </c>
      <c r="C58" s="9"/>
      <c r="D58" s="9"/>
      <c r="E58" s="38">
        <v>2806.16</v>
      </c>
      <c r="F58" s="38">
        <v>1369.7</v>
      </c>
      <c r="G58" s="38">
        <v>890.41999999999973</v>
      </c>
      <c r="H58" s="38">
        <v>1742.8699999999997</v>
      </c>
      <c r="I58" s="38">
        <v>1133.77</v>
      </c>
      <c r="J58" s="38">
        <v>951.8599999999999</v>
      </c>
      <c r="K58" s="38">
        <v>1477.87</v>
      </c>
      <c r="L58" s="38">
        <v>3557.37</v>
      </c>
      <c r="M58" s="38">
        <v>1000</v>
      </c>
      <c r="N58" s="52">
        <f>SUBTOTAL(9,N4:N57)</f>
        <v>923</v>
      </c>
      <c r="O58" s="52">
        <f>SUBTOTAL(9,O4:O57)</f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35C1-5815-41B8-8644-EBBF3E3F4439}">
  <dimension ref="A1:BX67"/>
  <sheetViews>
    <sheetView zoomScaleNormal="100" workbookViewId="0">
      <pane xSplit="4" ySplit="4" topLeftCell="AS5" activePane="bottomRight" state="frozen"/>
      <selection pane="topRight" activeCell="E1" sqref="E1"/>
      <selection pane="bottomLeft" activeCell="A5" sqref="A5"/>
      <selection pane="bottomRight" activeCell="AY4" sqref="AY4"/>
    </sheetView>
  </sheetViews>
  <sheetFormatPr defaultRowHeight="15" outlineLevelCol="1" x14ac:dyDescent="0.25"/>
  <cols>
    <col min="1" max="1" width="10.140625" bestFit="1" customWidth="1"/>
    <col min="2" max="2" width="46.5703125" bestFit="1" customWidth="1"/>
    <col min="3" max="3" width="14.140625" bestFit="1" customWidth="1"/>
    <col min="4" max="4" width="44.140625" customWidth="1"/>
    <col min="5" max="7" width="9.140625" customWidth="1"/>
    <col min="8" max="8" width="11.42578125" customWidth="1"/>
    <col min="9" max="10" width="9.140625" customWidth="1" outlineLevel="1"/>
    <col min="11" max="11" width="9.42578125" customWidth="1" outlineLevel="1"/>
    <col min="12" max="13" width="8.7109375" customWidth="1" outlineLevel="1"/>
    <col min="14" max="14" width="9.140625" customWidth="1" outlineLevel="1"/>
    <col min="15" max="15" width="11" customWidth="1" outlineLevel="1"/>
    <col min="16" max="17" width="11.28515625" customWidth="1" outlineLevel="1"/>
    <col min="18" max="18" width="15.85546875" customWidth="1" outlineLevel="1"/>
    <col min="19" max="19" width="10.7109375" customWidth="1" outlineLevel="1"/>
    <col min="20" max="20" width="11.140625" customWidth="1" outlineLevel="1"/>
    <col min="21" max="21" width="9.7109375" customWidth="1" outlineLevel="1"/>
    <col min="22" max="23" width="8.7109375" customWidth="1" outlineLevel="1"/>
    <col min="24" max="24" width="9.28515625" customWidth="1" outlineLevel="1"/>
    <col min="25" max="25" width="16.28515625" customWidth="1" outlineLevel="1"/>
    <col min="26" max="26" width="11.5703125" customWidth="1" outlineLevel="1"/>
    <col min="27" max="27" width="11.28515625" customWidth="1" outlineLevel="1"/>
    <col min="28" max="28" width="9.5703125" customWidth="1" outlineLevel="1"/>
    <col min="29" max="29" width="10" customWidth="1" outlineLevel="1"/>
    <col min="30" max="30" width="11.140625" customWidth="1" outlineLevel="1"/>
    <col min="31" max="31" width="9.7109375" customWidth="1" outlineLevel="1"/>
    <col min="32" max="33" width="8.7109375" customWidth="1" outlineLevel="1"/>
    <col min="34" max="34" width="9.28515625" customWidth="1" outlineLevel="1"/>
    <col min="35" max="35" width="11.7109375" customWidth="1" outlineLevel="1"/>
    <col min="36" max="36" width="9.5703125" customWidth="1" outlineLevel="1"/>
    <col min="37" max="37" width="10" customWidth="1" outlineLevel="1"/>
    <col min="38" max="38" width="11.140625" customWidth="1" outlineLevel="1"/>
    <col min="39" max="39" width="9.7109375" customWidth="1" outlineLevel="1"/>
    <col min="40" max="41" width="8.7109375" customWidth="1" outlineLevel="1"/>
    <col min="42" max="42" width="9.28515625" customWidth="1" outlineLevel="1"/>
    <col min="43" max="43" width="11.7109375" customWidth="1" outlineLevel="1"/>
    <col min="44" max="44" width="12.28515625" customWidth="1" outlineLevel="1"/>
    <col min="45" max="45" width="8.7109375" customWidth="1" outlineLevel="1"/>
    <col min="46" max="46" width="10.28515625" customWidth="1" outlineLevel="1"/>
    <col min="47" max="47" width="11.140625" customWidth="1" outlineLevel="1"/>
    <col min="48" max="48" width="9.7109375" customWidth="1" outlineLevel="1"/>
    <col min="49" max="50" width="8.85546875" customWidth="1" outlineLevel="1"/>
    <col min="51" max="52" width="9.42578125" customWidth="1" outlineLevel="1"/>
    <col min="53" max="53" width="8.42578125" customWidth="1" outlineLevel="1"/>
    <col min="54" max="54" width="10.28515625" customWidth="1" outlineLevel="1"/>
    <col min="55" max="55" width="11.140625" customWidth="1" outlineLevel="1"/>
    <col min="56" max="56" width="9.7109375" customWidth="1" outlineLevel="1"/>
    <col min="57" max="57" width="8.7109375" customWidth="1" outlineLevel="1"/>
    <col min="58" max="58" width="9.7109375" customWidth="1" outlineLevel="1"/>
    <col min="59" max="59" width="9.28515625" customWidth="1" outlineLevel="1"/>
    <col min="60" max="60" width="9.42578125" customWidth="1" outlineLevel="1"/>
    <col min="61" max="61" width="8.7109375" customWidth="1" outlineLevel="1"/>
    <col min="62" max="62" width="9" bestFit="1" customWidth="1"/>
    <col min="63" max="67" width="10" customWidth="1"/>
    <col min="68" max="70" width="10" style="2" customWidth="1"/>
    <col min="71" max="71" width="8.85546875" bestFit="1" customWidth="1"/>
    <col min="72" max="73" width="6.28515625" customWidth="1"/>
    <col min="74" max="74" width="10.140625" bestFit="1" customWidth="1"/>
    <col min="76" max="76" width="11.5703125" bestFit="1" customWidth="1"/>
  </cols>
  <sheetData>
    <row r="1" spans="1:76" x14ac:dyDescent="0.25">
      <c r="F1" s="1"/>
      <c r="G1" s="2"/>
      <c r="H1" s="2"/>
      <c r="I1" s="43" t="s">
        <v>0</v>
      </c>
      <c r="J1" s="44"/>
      <c r="K1" s="44"/>
      <c r="L1" s="44"/>
      <c r="M1" s="44"/>
      <c r="N1" s="44"/>
      <c r="O1" s="44"/>
      <c r="P1" s="44"/>
      <c r="Q1" s="44"/>
      <c r="R1" s="45"/>
      <c r="S1" s="46" t="s">
        <v>152</v>
      </c>
      <c r="T1" s="46"/>
      <c r="U1" s="46"/>
      <c r="V1" s="46"/>
      <c r="W1" s="46"/>
      <c r="X1" s="46"/>
      <c r="Y1" s="46"/>
      <c r="Z1" s="46"/>
      <c r="AA1" s="46"/>
      <c r="AB1" s="46"/>
      <c r="AC1" s="46" t="s">
        <v>157</v>
      </c>
      <c r="AD1" s="46"/>
      <c r="AE1" s="46"/>
      <c r="AF1" s="46"/>
      <c r="AG1" s="46"/>
      <c r="AH1" s="46"/>
      <c r="AI1" s="46"/>
      <c r="AJ1" s="46"/>
      <c r="AK1" s="47" t="s">
        <v>159</v>
      </c>
      <c r="AL1" s="47"/>
      <c r="AM1" s="47"/>
      <c r="AN1" s="47"/>
      <c r="AO1" s="47"/>
      <c r="AP1" s="47"/>
      <c r="AQ1" s="47"/>
      <c r="AR1" s="47"/>
      <c r="AS1" s="47"/>
      <c r="AT1" s="46" t="s">
        <v>162</v>
      </c>
      <c r="AU1" s="46"/>
      <c r="AV1" s="46"/>
      <c r="AW1" s="46"/>
      <c r="AX1" s="46"/>
      <c r="AY1" s="46"/>
      <c r="AZ1" s="46"/>
      <c r="BA1" s="46"/>
      <c r="BB1" s="42" t="s">
        <v>173</v>
      </c>
      <c r="BC1" s="42"/>
      <c r="BD1" s="42"/>
      <c r="BE1" s="42"/>
      <c r="BF1" s="42"/>
      <c r="BG1" s="42"/>
      <c r="BH1" s="42"/>
      <c r="BI1" s="42"/>
      <c r="BJ1" s="41" t="s">
        <v>236</v>
      </c>
      <c r="BK1" s="41"/>
      <c r="BL1" s="41"/>
      <c r="BM1" s="41"/>
      <c r="BN1" s="41"/>
      <c r="BO1" s="41"/>
      <c r="BP1" s="41"/>
      <c r="BQ1" s="41"/>
      <c r="BR1" s="41"/>
      <c r="BS1" s="41"/>
    </row>
    <row r="2" spans="1:76" ht="24.75" x14ac:dyDescent="0.25">
      <c r="F2" s="1"/>
      <c r="G2" s="3" t="s">
        <v>239</v>
      </c>
      <c r="H2" s="3"/>
      <c r="I2" s="4">
        <f t="shared" ref="I2:O2" si="0">SUMPRODUCT(I5:I337,$G5:$G337,$E5:$E337)/10^5</f>
        <v>31.070892794999992</v>
      </c>
      <c r="J2" s="4">
        <f t="shared" si="0"/>
        <v>214.07796100000002</v>
      </c>
      <c r="K2" s="4">
        <f t="shared" si="0"/>
        <v>107.45977704000001</v>
      </c>
      <c r="L2" s="4">
        <f t="shared" si="0"/>
        <v>0.48951</v>
      </c>
      <c r="M2" s="4">
        <f t="shared" ref="M2" si="1">SUMPRODUCT(M5:M337,$G5:$G337,$E5:$E337)/10^5</f>
        <v>106.97026704</v>
      </c>
      <c r="N2" s="4">
        <f t="shared" si="0"/>
        <v>138.178586755</v>
      </c>
      <c r="O2" s="5">
        <f t="shared" si="0"/>
        <v>87.388495000000006</v>
      </c>
      <c r="P2" s="8">
        <f>SUBTOTAL(9,P4:P336)</f>
        <v>1010</v>
      </c>
      <c r="Q2" s="5">
        <f>SUMPRODUCT(Q5:Q337,$G5:$G337,$E5:$E337)/10^5</f>
        <v>129.14018899999999</v>
      </c>
      <c r="R2" s="4">
        <f>SUMPRODUCT(R5:R337,$G5:$G337,$E5:$E337)/10^5</f>
        <v>267.31877575499999</v>
      </c>
      <c r="S2" s="4">
        <f t="shared" ref="S2:AB2" si="2">SUMPRODUCT(S5:S337,$G5:$G337,$E5:$E337)/10^5</f>
        <v>138.178586755</v>
      </c>
      <c r="T2" s="4">
        <f t="shared" si="2"/>
        <v>96.121448999999998</v>
      </c>
      <c r="U2" s="4">
        <f t="shared" si="2"/>
        <v>48.051548500000003</v>
      </c>
      <c r="V2" s="4">
        <f t="shared" si="2"/>
        <v>3.2634000000000003E-2</v>
      </c>
      <c r="W2" s="4">
        <f t="shared" ref="W2" si="3">SUMPRODUCT(W5:W337,$G5:$G337,$E5:$E337)/10^5</f>
        <v>48.018914500000001</v>
      </c>
      <c r="X2" s="4">
        <f t="shared" si="2"/>
        <v>186.28112125499996</v>
      </c>
      <c r="Y2" s="5">
        <f t="shared" si="2"/>
        <v>33.018740000000001</v>
      </c>
      <c r="Z2" s="5">
        <f t="shared" si="2"/>
        <v>108.339304</v>
      </c>
      <c r="AA2" s="5">
        <f t="shared" si="2"/>
        <v>141.35804400000001</v>
      </c>
      <c r="AB2" s="4">
        <f t="shared" si="2"/>
        <v>327.63916525499997</v>
      </c>
      <c r="AC2" s="4">
        <f t="shared" ref="AC2:AJ2" si="4">SUMPRODUCT(AC5:AC337,$G5:$G337,$E5:$E337)/10^5</f>
        <v>186.28112125499996</v>
      </c>
      <c r="AD2" s="4">
        <f t="shared" si="4"/>
        <v>33.018740000000001</v>
      </c>
      <c r="AE2" s="4">
        <f t="shared" si="4"/>
        <v>35.775891632999993</v>
      </c>
      <c r="AF2" s="4">
        <f t="shared" si="4"/>
        <v>0.79104815999999989</v>
      </c>
      <c r="AG2" s="4">
        <f t="shared" ref="AG2" si="5">SUMPRODUCT(AG5:AG337,$G5:$G337,$E5:$E337)/10^5</f>
        <v>34.984843472999998</v>
      </c>
      <c r="AH2" s="4">
        <f t="shared" si="4"/>
        <v>184.31501778200001</v>
      </c>
      <c r="AI2" s="5">
        <f t="shared" si="4"/>
        <v>100.569304</v>
      </c>
      <c r="AJ2" s="4">
        <f t="shared" si="4"/>
        <v>284.88432178199997</v>
      </c>
      <c r="AK2" s="4">
        <f t="shared" ref="AK2:AS2" si="6">SUMPRODUCT(AK5:AK337,$G5:$G337,$E5:$E337)/10^5</f>
        <v>184.31501778200001</v>
      </c>
      <c r="AL2" s="4">
        <f t="shared" si="6"/>
        <v>63.980469999999997</v>
      </c>
      <c r="AM2" s="4">
        <f t="shared" si="6"/>
        <v>66.969966632000009</v>
      </c>
      <c r="AN2" s="4">
        <f t="shared" si="6"/>
        <v>0.63596011199999991</v>
      </c>
      <c r="AO2" s="4">
        <f t="shared" ref="AO2" si="7">SUMPRODUCT(AO5:AO337,$G5:$G337,$E5:$E337)/10^5</f>
        <v>66.334006520000003</v>
      </c>
      <c r="AP2" s="4">
        <f t="shared" si="6"/>
        <v>181.96148126200001</v>
      </c>
      <c r="AQ2" s="5">
        <f t="shared" si="6"/>
        <v>36.588833999999999</v>
      </c>
      <c r="AR2" s="5">
        <f t="shared" si="6"/>
        <v>68.718159999999997</v>
      </c>
      <c r="AS2" s="4">
        <f t="shared" si="6"/>
        <v>287.26847526199998</v>
      </c>
      <c r="AT2" s="4">
        <f t="shared" ref="AT2:AZ2" si="8">SUMPRODUCT(AT5:AT337,$G5:$G337,$E5:$E337)/10^5</f>
        <v>181.96148126200001</v>
      </c>
      <c r="AU2" s="4">
        <f t="shared" si="8"/>
        <v>37.606477891999994</v>
      </c>
      <c r="AV2" s="4">
        <f t="shared" si="8"/>
        <v>50.947868935000002</v>
      </c>
      <c r="AW2" s="4">
        <f t="shared" si="8"/>
        <v>6.1958267949999994</v>
      </c>
      <c r="AX2" s="4">
        <f t="shared" ref="AX2" si="9">SUMPRODUCT(AX5:AX337,$G5:$G337,$E5:$E337)/10^5</f>
        <v>44.75204214</v>
      </c>
      <c r="AY2" s="4">
        <f t="shared" si="8"/>
        <v>174.81591701399998</v>
      </c>
      <c r="AZ2" s="5">
        <f t="shared" si="8"/>
        <v>68.718159999999997</v>
      </c>
      <c r="BA2" s="4">
        <f>SUMPRODUCT(BA5:BA337,$G5:$G337,$E5:$E337)/10^5</f>
        <v>243.53407701399996</v>
      </c>
      <c r="BB2" s="4">
        <f t="shared" ref="BB2:BH2" si="10">SUMPRODUCT(BB5:BB337,$G5:$G337,$E5:$E337)/10^5</f>
        <v>174.81591701399998</v>
      </c>
      <c r="BC2" s="4">
        <f t="shared" si="10"/>
        <v>30.244800000000001</v>
      </c>
      <c r="BD2" s="4">
        <f t="shared" si="10"/>
        <v>41.397878228000003</v>
      </c>
      <c r="BE2" s="4">
        <f t="shared" si="10"/>
        <v>3.119935695000001</v>
      </c>
      <c r="BF2" s="4">
        <f t="shared" ref="BF2" si="11">SUMPRODUCT(BF5:BF337,$G5:$G337,$E5:$E337)/10^5</f>
        <v>38.277942533000008</v>
      </c>
      <c r="BG2" s="4">
        <f t="shared" si="10"/>
        <v>166.78277448100005</v>
      </c>
      <c r="BH2" s="5">
        <f t="shared" si="10"/>
        <v>38.47336</v>
      </c>
      <c r="BI2" s="4">
        <f>SUMPRODUCT(BI5:BI337,$G5:$G337,$E5:$E337)/10^5</f>
        <v>205.25613448099992</v>
      </c>
      <c r="BJ2" s="4">
        <f>SUMPRODUCT(BJ5:BJ337,$G5:$G337,$E5:$E337)/10^5</f>
        <v>166.78277448100005</v>
      </c>
      <c r="BK2" s="4">
        <f t="shared" ref="BK2:BR2" si="12">SUMPRODUCT(BK5:BK337,$G5:$G337,$E5:$E337)/10^5</f>
        <v>38.47336</v>
      </c>
      <c r="BL2" s="4">
        <f t="shared" si="12"/>
        <v>62.567909004000008</v>
      </c>
      <c r="BM2" s="4">
        <f t="shared" si="12"/>
        <v>5.8683413000000009</v>
      </c>
      <c r="BN2" s="4">
        <f t="shared" si="12"/>
        <v>56.69956770400001</v>
      </c>
      <c r="BO2" s="4">
        <f t="shared" si="12"/>
        <v>148.556566777</v>
      </c>
      <c r="BP2" s="5">
        <f t="shared" si="12"/>
        <v>38.276112000000005</v>
      </c>
      <c r="BQ2" s="5">
        <f t="shared" si="12"/>
        <v>78.209980000000002</v>
      </c>
      <c r="BR2" s="5">
        <f t="shared" si="12"/>
        <v>116.486092</v>
      </c>
      <c r="BS2" s="4">
        <f>SUMPRODUCT(BS5:BS337,$G5:$G337,$E5:$E337)/10^5</f>
        <v>265.04265877699999</v>
      </c>
      <c r="BV2" s="4">
        <f t="shared" ref="BV2:BX2" si="13">SUMPRODUCT(BV5:BV337,$G5:$G337,$E5:$E337)/10^5</f>
        <v>371.77296174399993</v>
      </c>
      <c r="BW2" s="4">
        <f t="shared" si="13"/>
        <v>14.013320367</v>
      </c>
      <c r="BX2" s="4">
        <f t="shared" si="13"/>
        <v>357.75964137699992</v>
      </c>
    </row>
    <row r="3" spans="1:76" ht="15.75" x14ac:dyDescent="0.25">
      <c r="F3" s="1"/>
      <c r="G3" s="6" t="s">
        <v>1</v>
      </c>
      <c r="H3" s="6"/>
      <c r="I3" s="7">
        <f t="shared" ref="I3:O3" si="14">SUBTOTAL(9,I5:I337)</f>
        <v>804.54000000000008</v>
      </c>
      <c r="J3" s="7">
        <f t="shared" si="14"/>
        <v>5150</v>
      </c>
      <c r="K3" s="7">
        <f t="shared" si="14"/>
        <v>2821.1600000000003</v>
      </c>
      <c r="L3" s="7">
        <f t="shared" si="14"/>
        <v>15</v>
      </c>
      <c r="M3" s="7">
        <f t="shared" ref="M3" si="15">SUBTOTAL(9,M5:M337)</f>
        <v>2806.1600000000003</v>
      </c>
      <c r="N3" s="7">
        <f t="shared" si="14"/>
        <v>3148.3799999999997</v>
      </c>
      <c r="O3" s="8">
        <f t="shared" si="14"/>
        <v>2449</v>
      </c>
      <c r="P3" s="8">
        <f>SUBTOTAL(9,P5:P337)</f>
        <v>1010</v>
      </c>
      <c r="Q3" s="8">
        <f>SUBTOTAL(9,Q5:Q337)</f>
        <v>3459</v>
      </c>
      <c r="R3" s="7">
        <f>SUBTOTAL(9,R5:R337)</f>
        <v>6607.380000000001</v>
      </c>
      <c r="S3" s="7">
        <f t="shared" ref="S3:AB3" si="16">SUBTOTAL(9,S5:S337)</f>
        <v>3148.3799999999997</v>
      </c>
      <c r="T3" s="7">
        <f t="shared" si="16"/>
        <v>2602</v>
      </c>
      <c r="U3" s="7">
        <f t="shared" si="16"/>
        <v>1370.6999999999998</v>
      </c>
      <c r="V3" s="7">
        <f t="shared" si="16"/>
        <v>1</v>
      </c>
      <c r="W3" s="7">
        <f t="shared" ref="W3" si="17">SUBTOTAL(9,W5:W337)</f>
        <v>1369.6999999999998</v>
      </c>
      <c r="X3" s="7">
        <f t="shared" si="16"/>
        <v>4380.68</v>
      </c>
      <c r="Y3" s="8">
        <f t="shared" si="16"/>
        <v>857</v>
      </c>
      <c r="Z3" s="8">
        <f t="shared" si="16"/>
        <v>2800</v>
      </c>
      <c r="AA3" s="8">
        <f t="shared" si="16"/>
        <v>3657</v>
      </c>
      <c r="AB3" s="7">
        <f t="shared" si="16"/>
        <v>8037.6800000000012</v>
      </c>
      <c r="AC3" s="7">
        <f t="shared" ref="AC3:AJ3" si="18">SUBTOTAL(9,AC5:AC337)</f>
        <v>4380.68</v>
      </c>
      <c r="AD3" s="7">
        <f t="shared" si="18"/>
        <v>857</v>
      </c>
      <c r="AE3" s="7">
        <f t="shared" si="18"/>
        <v>914.65999999999963</v>
      </c>
      <c r="AF3" s="7">
        <f t="shared" si="18"/>
        <v>24.239999999999995</v>
      </c>
      <c r="AG3" s="7">
        <f t="shared" ref="AG3" si="19">SUBTOTAL(9,AG5:AG337)</f>
        <v>890.41999999999962</v>
      </c>
      <c r="AH3" s="7">
        <f t="shared" si="18"/>
        <v>4347.2599999999984</v>
      </c>
      <c r="AI3" s="8">
        <f t="shared" si="18"/>
        <v>2800</v>
      </c>
      <c r="AJ3" s="7">
        <f t="shared" si="18"/>
        <v>7147.2600000000011</v>
      </c>
      <c r="AK3" s="7">
        <f t="shared" ref="AK3:AS3" si="20">SUBTOTAL(9,AK5:AK337)</f>
        <v>4347.2599999999984</v>
      </c>
      <c r="AL3" s="7">
        <f t="shared" si="20"/>
        <v>1770</v>
      </c>
      <c r="AM3" s="7">
        <f t="shared" si="20"/>
        <v>1757.5099999999993</v>
      </c>
      <c r="AN3" s="7">
        <f t="shared" si="20"/>
        <v>14.64</v>
      </c>
      <c r="AO3" s="7">
        <f t="shared" ref="AO3" si="21">SUBTOTAL(9,AO5:AO337)</f>
        <v>1742.8699999999992</v>
      </c>
      <c r="AP3" s="7">
        <f t="shared" si="20"/>
        <v>4374.3899999999994</v>
      </c>
      <c r="AQ3" s="8">
        <f t="shared" si="20"/>
        <v>1030</v>
      </c>
      <c r="AR3" s="8">
        <f t="shared" si="20"/>
        <v>1690</v>
      </c>
      <c r="AS3" s="7">
        <f t="shared" si="20"/>
        <v>7094.3900000000021</v>
      </c>
      <c r="AT3" s="7">
        <f t="shared" ref="AT3:AZ3" si="22">SUBTOTAL(9,AT5:AT337)</f>
        <v>4374.3899999999994</v>
      </c>
      <c r="AU3" s="7">
        <f t="shared" si="22"/>
        <v>1056.4799999999998</v>
      </c>
      <c r="AV3" s="7">
        <f t="shared" si="22"/>
        <v>1282.8399999999999</v>
      </c>
      <c r="AW3" s="7">
        <f>SUBTOTAL(9,AW5:AW337)</f>
        <v>149.07</v>
      </c>
      <c r="AX3" s="7">
        <f t="shared" ref="AX3" si="23">SUBTOTAL(9,AX5:AX337)</f>
        <v>1133.7699999999998</v>
      </c>
      <c r="AY3" s="7">
        <f t="shared" si="22"/>
        <v>4297.1000000000004</v>
      </c>
      <c r="AZ3" s="8">
        <f t="shared" si="22"/>
        <v>1690</v>
      </c>
      <c r="BA3" s="7">
        <f>SUBTOTAL(9,BA5:BA337)</f>
        <v>5987.0999999999985</v>
      </c>
      <c r="BB3" s="7">
        <f t="shared" ref="BB3:BH3" si="24">SUBTOTAL(9,BB5:BB337)</f>
        <v>4297.1000000000004</v>
      </c>
      <c r="BC3" s="7">
        <f t="shared" si="24"/>
        <v>825</v>
      </c>
      <c r="BD3" s="7">
        <f t="shared" si="24"/>
        <v>1031.29</v>
      </c>
      <c r="BE3" s="7">
        <f t="shared" si="24"/>
        <v>79.430000000000007</v>
      </c>
      <c r="BF3" s="7">
        <f t="shared" ref="BF3" si="25">SUBTOTAL(9,BF5:BF337)</f>
        <v>951.85999999999979</v>
      </c>
      <c r="BG3" s="7">
        <f t="shared" si="24"/>
        <v>4170.24</v>
      </c>
      <c r="BH3" s="8">
        <f t="shared" si="24"/>
        <v>865</v>
      </c>
      <c r="BI3" s="7">
        <f>SUBTOTAL(9,BI5:BI337)</f>
        <v>5035.2400000000007</v>
      </c>
      <c r="BJ3" s="7">
        <f>SUBTOTAL(9,BJ5:BJ337)</f>
        <v>4170.24</v>
      </c>
      <c r="BK3" s="7">
        <f>SUBTOTAL(9,BK5:BK337)</f>
        <v>865</v>
      </c>
      <c r="BL3" s="7">
        <f t="shared" ref="BL3:BR3" si="26">SUBTOTAL(9,BL5:BL337)</f>
        <v>1622.7300000000002</v>
      </c>
      <c r="BM3" s="7">
        <f t="shared" si="26"/>
        <v>144.86000000000001</v>
      </c>
      <c r="BN3" s="7">
        <f>SUBTOTAL(9,BN5:BN337)</f>
        <v>1477.8700000000003</v>
      </c>
      <c r="BO3" s="7">
        <f>SUBTOTAL(9,BO5:BO337)</f>
        <v>3557.3700000000003</v>
      </c>
      <c r="BP3" s="8">
        <f t="shared" si="26"/>
        <v>1000</v>
      </c>
      <c r="BQ3" s="8">
        <f t="shared" si="26"/>
        <v>2215</v>
      </c>
      <c r="BR3" s="8">
        <f t="shared" si="26"/>
        <v>3215</v>
      </c>
      <c r="BS3" s="7">
        <f>SUBTOTAL(9,BS5:BS337)</f>
        <v>6772.3700000000017</v>
      </c>
      <c r="BV3" s="4">
        <f>SUBTOTAL(9,BV5:BV337)</f>
        <v>9769.6</v>
      </c>
      <c r="BW3" s="4">
        <f t="shared" ref="BW3:BX3" si="27">SUBTOTAL(9,BW5:BW337)</f>
        <v>348.81</v>
      </c>
      <c r="BX3" s="4">
        <f t="shared" si="27"/>
        <v>9420.7900000000027</v>
      </c>
    </row>
    <row r="4" spans="1:76" ht="36" customHeight="1" x14ac:dyDescent="0.25">
      <c r="A4" s="25" t="s">
        <v>2</v>
      </c>
      <c r="B4" s="25" t="s">
        <v>174</v>
      </c>
      <c r="C4" s="25" t="s">
        <v>3</v>
      </c>
      <c r="D4" s="26" t="s">
        <v>4</v>
      </c>
      <c r="E4" s="25" t="s">
        <v>5</v>
      </c>
      <c r="F4" s="27" t="s">
        <v>6</v>
      </c>
      <c r="G4" s="28" t="s">
        <v>7</v>
      </c>
      <c r="H4" s="28" t="s">
        <v>254</v>
      </c>
      <c r="I4" s="29" t="s">
        <v>13</v>
      </c>
      <c r="J4" s="29" t="s">
        <v>8</v>
      </c>
      <c r="K4" s="29" t="s">
        <v>9</v>
      </c>
      <c r="L4" s="29" t="s">
        <v>10</v>
      </c>
      <c r="M4" s="29" t="s">
        <v>248</v>
      </c>
      <c r="N4" s="29" t="s">
        <v>11</v>
      </c>
      <c r="O4" s="30" t="s">
        <v>139</v>
      </c>
      <c r="P4" s="31" t="s">
        <v>137</v>
      </c>
      <c r="Q4" s="30" t="s">
        <v>138</v>
      </c>
      <c r="R4" s="32" t="s">
        <v>12</v>
      </c>
      <c r="S4" s="21" t="s">
        <v>154</v>
      </c>
      <c r="T4" s="21" t="s">
        <v>8</v>
      </c>
      <c r="U4" s="21" t="s">
        <v>9</v>
      </c>
      <c r="V4" s="21" t="s">
        <v>10</v>
      </c>
      <c r="W4" s="21" t="s">
        <v>247</v>
      </c>
      <c r="X4" s="21" t="s">
        <v>11</v>
      </c>
      <c r="Y4" s="30" t="s">
        <v>153</v>
      </c>
      <c r="Z4" s="30" t="s">
        <v>155</v>
      </c>
      <c r="AA4" s="30" t="s">
        <v>138</v>
      </c>
      <c r="AB4" s="21" t="s">
        <v>12</v>
      </c>
      <c r="AC4" s="21" t="s">
        <v>156</v>
      </c>
      <c r="AD4" s="21" t="s">
        <v>8</v>
      </c>
      <c r="AE4" s="21" t="s">
        <v>9</v>
      </c>
      <c r="AF4" s="21" t="s">
        <v>10</v>
      </c>
      <c r="AG4" s="21" t="s">
        <v>249</v>
      </c>
      <c r="AH4" s="21" t="s">
        <v>11</v>
      </c>
      <c r="AI4" s="30" t="s">
        <v>158</v>
      </c>
      <c r="AJ4" s="21" t="s">
        <v>12</v>
      </c>
      <c r="AK4" s="22" t="s">
        <v>160</v>
      </c>
      <c r="AL4" s="22" t="s">
        <v>8</v>
      </c>
      <c r="AM4" s="22" t="s">
        <v>9</v>
      </c>
      <c r="AN4" s="22" t="s">
        <v>10</v>
      </c>
      <c r="AO4" s="22" t="s">
        <v>250</v>
      </c>
      <c r="AP4" s="22" t="s">
        <v>11</v>
      </c>
      <c r="AQ4" s="30" t="s">
        <v>158</v>
      </c>
      <c r="AR4" s="30" t="s">
        <v>161</v>
      </c>
      <c r="AS4" s="22" t="s">
        <v>12</v>
      </c>
      <c r="AT4" s="21" t="s">
        <v>163</v>
      </c>
      <c r="AU4" s="21" t="s">
        <v>8</v>
      </c>
      <c r="AV4" s="21" t="s">
        <v>9</v>
      </c>
      <c r="AW4" s="21" t="s">
        <v>10</v>
      </c>
      <c r="AX4" s="21" t="s">
        <v>251</v>
      </c>
      <c r="AY4" s="21" t="s">
        <v>11</v>
      </c>
      <c r="AZ4" s="30" t="s">
        <v>158</v>
      </c>
      <c r="BA4" s="21" t="s">
        <v>12</v>
      </c>
      <c r="BB4" s="23" t="s">
        <v>172</v>
      </c>
      <c r="BC4" s="23" t="s">
        <v>8</v>
      </c>
      <c r="BD4" s="23" t="s">
        <v>9</v>
      </c>
      <c r="BE4" s="23" t="s">
        <v>10</v>
      </c>
      <c r="BF4" s="23" t="s">
        <v>252</v>
      </c>
      <c r="BG4" s="23" t="s">
        <v>11</v>
      </c>
      <c r="BH4" s="30" t="s">
        <v>158</v>
      </c>
      <c r="BI4" s="23" t="s">
        <v>12</v>
      </c>
      <c r="BJ4" s="24" t="s">
        <v>235</v>
      </c>
      <c r="BK4" s="24" t="s">
        <v>8</v>
      </c>
      <c r="BL4" s="24" t="s">
        <v>9</v>
      </c>
      <c r="BM4" s="24" t="s">
        <v>10</v>
      </c>
      <c r="BN4" s="24" t="s">
        <v>253</v>
      </c>
      <c r="BO4" s="24" t="s">
        <v>11</v>
      </c>
      <c r="BP4" s="36" t="s">
        <v>238</v>
      </c>
      <c r="BQ4" s="36" t="s">
        <v>237</v>
      </c>
      <c r="BR4" s="33" t="s">
        <v>138</v>
      </c>
      <c r="BS4" s="24" t="s">
        <v>12</v>
      </c>
      <c r="BT4" s="37">
        <v>1</v>
      </c>
      <c r="BU4" s="37">
        <v>1</v>
      </c>
      <c r="BV4" s="34" t="s">
        <v>169</v>
      </c>
      <c r="BW4" s="35" t="s">
        <v>170</v>
      </c>
      <c r="BX4" s="35" t="s">
        <v>171</v>
      </c>
    </row>
    <row r="5" spans="1:76" x14ac:dyDescent="0.25">
      <c r="A5" s="16" t="s">
        <v>56</v>
      </c>
      <c r="B5" s="16" t="s">
        <v>175</v>
      </c>
      <c r="C5" s="15" t="s">
        <v>149</v>
      </c>
      <c r="D5" s="9" t="s">
        <v>116</v>
      </c>
      <c r="E5" s="12">
        <v>42</v>
      </c>
      <c r="F5" s="11">
        <v>100</v>
      </c>
      <c r="G5" s="13">
        <f>ROUND(F5/1.1/1.08*12/13,2)</f>
        <v>77.7</v>
      </c>
      <c r="H5" s="13">
        <f>G5*E5</f>
        <v>3263.4</v>
      </c>
      <c r="I5" s="10">
        <v>70</v>
      </c>
      <c r="J5" s="13">
        <v>0</v>
      </c>
      <c r="K5" s="13">
        <v>74.569999999999993</v>
      </c>
      <c r="L5" s="13">
        <v>5</v>
      </c>
      <c r="M5" s="13">
        <f>K5-L5</f>
        <v>69.569999999999993</v>
      </c>
      <c r="N5" s="10">
        <f t="shared" ref="N5:N41" si="28">I5+J5-K5+L5</f>
        <v>0.43000000000000682</v>
      </c>
      <c r="O5" s="14">
        <v>0</v>
      </c>
      <c r="P5" s="14"/>
      <c r="Q5" s="14">
        <f t="shared" ref="Q5:Q36" si="29">O5+P5</f>
        <v>0</v>
      </c>
      <c r="R5" s="10">
        <f t="shared" ref="R5:R36" si="30">N5+Q5</f>
        <v>0.43000000000000682</v>
      </c>
      <c r="S5" s="10">
        <f t="shared" ref="S5:S36" si="31">N5</f>
        <v>0.43000000000000682</v>
      </c>
      <c r="T5" s="13">
        <v>0</v>
      </c>
      <c r="U5" s="13">
        <v>0</v>
      </c>
      <c r="V5" s="13">
        <v>0</v>
      </c>
      <c r="W5" s="13">
        <f>U5-V5</f>
        <v>0</v>
      </c>
      <c r="X5" s="10">
        <f t="shared" ref="X5:X41" si="32">S5+T5-U5+V5</f>
        <v>0.43000000000000682</v>
      </c>
      <c r="Y5" s="14">
        <f t="shared" ref="Y5:Y36" si="33">Q5-T5</f>
        <v>0</v>
      </c>
      <c r="Z5" s="14"/>
      <c r="AA5" s="14">
        <f t="shared" ref="AA5:AA36" si="34">Y5+Z5</f>
        <v>0</v>
      </c>
      <c r="AB5" s="10">
        <f t="shared" ref="AB5:AB36" si="35">X5+AA5</f>
        <v>0.43000000000000682</v>
      </c>
      <c r="AC5" s="10">
        <f t="shared" ref="AC5:AC36" si="36">X5</f>
        <v>0.43000000000000682</v>
      </c>
      <c r="AD5" s="10">
        <v>0</v>
      </c>
      <c r="AE5" s="13">
        <v>8</v>
      </c>
      <c r="AF5" s="13">
        <v>8</v>
      </c>
      <c r="AG5" s="13">
        <f>AE5-AF5</f>
        <v>0</v>
      </c>
      <c r="AH5" s="10">
        <f t="shared" ref="AH5:AH36" si="37">AC5+AD5-AE5+AF5</f>
        <v>0.43000000000000682</v>
      </c>
      <c r="AI5" s="10">
        <v>0</v>
      </c>
      <c r="AJ5" s="10">
        <f t="shared" ref="AJ5:AJ36" si="38">AI5+AH5</f>
        <v>0.43000000000000682</v>
      </c>
      <c r="AK5" s="10">
        <f t="shared" ref="AK5:AK36" si="39">AH5</f>
        <v>0.43000000000000682</v>
      </c>
      <c r="AL5" s="10">
        <v>0</v>
      </c>
      <c r="AM5" s="10">
        <v>0</v>
      </c>
      <c r="AN5" s="10">
        <v>0</v>
      </c>
      <c r="AO5" s="10">
        <f>AM5-AN5</f>
        <v>0</v>
      </c>
      <c r="AP5" s="10">
        <f t="shared" ref="AP5:AP36" si="40">AK5+AL5-AM5+AN5</f>
        <v>0.43000000000000682</v>
      </c>
      <c r="AQ5" s="10">
        <f t="shared" ref="AQ5:AQ36" si="41">AI5-AL5</f>
        <v>0</v>
      </c>
      <c r="AR5" s="10">
        <v>0</v>
      </c>
      <c r="AS5" s="10">
        <f t="shared" ref="AS5:AS36" si="42">AP5+AQ5+AR5</f>
        <v>0.43000000000000682</v>
      </c>
      <c r="AT5" s="10">
        <f t="shared" ref="AT5:AT36" si="43">AP5</f>
        <v>0.43000000000000682</v>
      </c>
      <c r="AU5" s="10">
        <v>0</v>
      </c>
      <c r="AV5" s="10">
        <v>0</v>
      </c>
      <c r="AW5" s="10">
        <v>2</v>
      </c>
      <c r="AX5" s="10">
        <f>AV5-AW5</f>
        <v>-2</v>
      </c>
      <c r="AY5" s="10">
        <f t="shared" ref="AY5:AY36" si="44">AT5+AU5-AV5+AW5</f>
        <v>2.4300000000000068</v>
      </c>
      <c r="AZ5" s="10">
        <f t="shared" ref="AZ5:AZ36" si="45">AR5</f>
        <v>0</v>
      </c>
      <c r="BA5" s="10">
        <f t="shared" ref="BA5:BA36" si="46">AY5+AZ5</f>
        <v>2.4300000000000068</v>
      </c>
      <c r="BB5" s="10">
        <f t="shared" ref="BB5:BB36" si="47">AY5</f>
        <v>2.4300000000000068</v>
      </c>
      <c r="BC5" s="10">
        <v>0</v>
      </c>
      <c r="BD5" s="10">
        <v>4</v>
      </c>
      <c r="BE5" s="10">
        <v>4</v>
      </c>
      <c r="BF5" s="10">
        <f t="shared" ref="BF5:BF67" si="48">BD5-BE5</f>
        <v>0</v>
      </c>
      <c r="BG5" s="10">
        <f t="shared" ref="BG5:BG36" si="49">BB5+BC5-BD5+BE5</f>
        <v>2.4300000000000068</v>
      </c>
      <c r="BH5" s="10">
        <f t="shared" ref="BH5:BH36" si="50">AZ5-BC5</f>
        <v>0</v>
      </c>
      <c r="BI5" s="10">
        <f t="shared" ref="BI5:BI36" si="51">BG5+BH5</f>
        <v>2.4300000000000068</v>
      </c>
      <c r="BJ5" s="20">
        <f>BG5</f>
        <v>2.4300000000000068</v>
      </c>
      <c r="BK5" s="13">
        <v>0</v>
      </c>
      <c r="BL5" s="13">
        <v>0</v>
      </c>
      <c r="BM5" s="13">
        <v>1.83</v>
      </c>
      <c r="BN5" s="13">
        <f>BL5-BM5</f>
        <v>-1.83</v>
      </c>
      <c r="BO5" s="10">
        <f>BJ5+BK5-BN5</f>
        <v>4.2600000000000069</v>
      </c>
      <c r="BP5" s="13">
        <v>0</v>
      </c>
      <c r="BQ5" s="13">
        <v>0</v>
      </c>
      <c r="BR5" s="13">
        <f>BP5+BQ5</f>
        <v>0</v>
      </c>
      <c r="BS5" s="10">
        <f>BO5+BR5</f>
        <v>4.2600000000000069</v>
      </c>
      <c r="BV5" s="10">
        <f>+K5+U5+AE5+AM5+AV5+BL5</f>
        <v>82.57</v>
      </c>
      <c r="BW5" s="10">
        <f>+L5+V5+AF5+AN5+AW5+BM5</f>
        <v>16.829999999999998</v>
      </c>
      <c r="BX5" s="10">
        <f t="shared" ref="BX5:BX36" si="52">+BV5-BW5</f>
        <v>65.739999999999995</v>
      </c>
    </row>
    <row r="6" spans="1:76" x14ac:dyDescent="0.25">
      <c r="A6" s="16" t="s">
        <v>53</v>
      </c>
      <c r="B6" s="16" t="s">
        <v>176</v>
      </c>
      <c r="C6" s="15" t="s">
        <v>203</v>
      </c>
      <c r="D6" s="9" t="s">
        <v>113</v>
      </c>
      <c r="E6" s="12">
        <v>180</v>
      </c>
      <c r="F6" s="11">
        <v>25</v>
      </c>
      <c r="G6" s="13">
        <f t="shared" ref="G6:G67" si="53">ROUND(F6/1.1/1.08*12/13,2)</f>
        <v>19.43</v>
      </c>
      <c r="H6" s="13">
        <f t="shared" ref="H6:H67" si="54">G6*E6</f>
        <v>3497.4</v>
      </c>
      <c r="I6" s="10">
        <v>50.02</v>
      </c>
      <c r="J6" s="13">
        <v>0</v>
      </c>
      <c r="K6" s="13">
        <v>30</v>
      </c>
      <c r="L6" s="13">
        <v>0</v>
      </c>
      <c r="M6" s="13">
        <f t="shared" ref="M6:M67" si="55">K6-L6</f>
        <v>30</v>
      </c>
      <c r="N6" s="10">
        <f t="shared" si="28"/>
        <v>20.020000000000003</v>
      </c>
      <c r="O6" s="14">
        <v>0</v>
      </c>
      <c r="P6" s="14"/>
      <c r="Q6" s="14">
        <f t="shared" si="29"/>
        <v>0</v>
      </c>
      <c r="R6" s="10">
        <f t="shared" si="30"/>
        <v>20.020000000000003</v>
      </c>
      <c r="S6" s="10">
        <f t="shared" si="31"/>
        <v>20.020000000000003</v>
      </c>
      <c r="T6" s="13">
        <v>0</v>
      </c>
      <c r="U6" s="13">
        <v>5</v>
      </c>
      <c r="V6" s="13">
        <v>0</v>
      </c>
      <c r="W6" s="13">
        <f t="shared" ref="W6:W67" si="56">U6-V6</f>
        <v>5</v>
      </c>
      <c r="X6" s="10">
        <f t="shared" si="32"/>
        <v>15.020000000000003</v>
      </c>
      <c r="Y6" s="14">
        <f t="shared" si="33"/>
        <v>0</v>
      </c>
      <c r="Z6" s="14"/>
      <c r="AA6" s="14">
        <f t="shared" si="34"/>
        <v>0</v>
      </c>
      <c r="AB6" s="10">
        <f t="shared" si="35"/>
        <v>15.020000000000003</v>
      </c>
      <c r="AC6" s="10">
        <f t="shared" si="36"/>
        <v>15.020000000000003</v>
      </c>
      <c r="AD6" s="10">
        <v>0</v>
      </c>
      <c r="AE6" s="13">
        <v>14.78</v>
      </c>
      <c r="AF6" s="13">
        <v>0</v>
      </c>
      <c r="AG6" s="13">
        <f t="shared" ref="AG6:AG67" si="57">AE6-AF6</f>
        <v>14.78</v>
      </c>
      <c r="AH6" s="10">
        <f t="shared" si="37"/>
        <v>0.24000000000000377</v>
      </c>
      <c r="AI6" s="10">
        <v>0</v>
      </c>
      <c r="AJ6" s="10">
        <f t="shared" si="38"/>
        <v>0.24000000000000377</v>
      </c>
      <c r="AK6" s="10">
        <f t="shared" si="39"/>
        <v>0.24000000000000377</v>
      </c>
      <c r="AL6" s="10">
        <v>0</v>
      </c>
      <c r="AM6" s="10">
        <v>0.01</v>
      </c>
      <c r="AN6" s="10">
        <v>0</v>
      </c>
      <c r="AO6" s="10">
        <f t="shared" ref="AO6:AO67" si="58">AM6-AN6</f>
        <v>0.01</v>
      </c>
      <c r="AP6" s="10">
        <f t="shared" si="40"/>
        <v>0.23000000000000376</v>
      </c>
      <c r="AQ6" s="10">
        <f t="shared" si="41"/>
        <v>0</v>
      </c>
      <c r="AR6" s="10">
        <v>0</v>
      </c>
      <c r="AS6" s="10">
        <f t="shared" si="42"/>
        <v>0.23000000000000376</v>
      </c>
      <c r="AT6" s="10">
        <f t="shared" si="43"/>
        <v>0.23000000000000376</v>
      </c>
      <c r="AU6" s="10">
        <v>0</v>
      </c>
      <c r="AV6" s="10">
        <v>0</v>
      </c>
      <c r="AW6" s="10">
        <v>5.33</v>
      </c>
      <c r="AX6" s="10">
        <f t="shared" ref="AX6:AX67" si="59">AV6-AW6</f>
        <v>-5.33</v>
      </c>
      <c r="AY6" s="10">
        <f t="shared" si="44"/>
        <v>5.5600000000000041</v>
      </c>
      <c r="AZ6" s="10">
        <f t="shared" si="45"/>
        <v>0</v>
      </c>
      <c r="BA6" s="10">
        <f t="shared" si="46"/>
        <v>5.5600000000000041</v>
      </c>
      <c r="BB6" s="10">
        <f t="shared" si="47"/>
        <v>5.5600000000000041</v>
      </c>
      <c r="BC6" s="10">
        <v>0</v>
      </c>
      <c r="BD6" s="10">
        <v>0</v>
      </c>
      <c r="BE6" s="10">
        <v>0</v>
      </c>
      <c r="BF6" s="10">
        <f t="shared" si="48"/>
        <v>0</v>
      </c>
      <c r="BG6" s="10">
        <f t="shared" si="49"/>
        <v>5.5600000000000041</v>
      </c>
      <c r="BH6" s="10">
        <f t="shared" si="50"/>
        <v>0</v>
      </c>
      <c r="BI6" s="10">
        <f t="shared" si="51"/>
        <v>5.5600000000000041</v>
      </c>
      <c r="BJ6" s="20">
        <f t="shared" ref="BJ6:BJ67" si="60">BG6</f>
        <v>5.5600000000000041</v>
      </c>
      <c r="BK6" s="13">
        <v>0</v>
      </c>
      <c r="BL6" s="13">
        <v>0</v>
      </c>
      <c r="BM6" s="13">
        <v>0</v>
      </c>
      <c r="BN6" s="13">
        <f t="shared" ref="BN6:BN67" si="61">BL6-BM6</f>
        <v>0</v>
      </c>
      <c r="BO6" s="10">
        <f t="shared" ref="BO6:BO67" si="62">BJ6+BK6-BN6</f>
        <v>5.5600000000000041</v>
      </c>
      <c r="BP6" s="13">
        <v>0</v>
      </c>
      <c r="BQ6" s="13">
        <v>0</v>
      </c>
      <c r="BR6" s="13">
        <f t="shared" ref="BR6:BR67" si="63">BP6+BQ6</f>
        <v>0</v>
      </c>
      <c r="BS6" s="10">
        <f t="shared" ref="BS6:BS67" si="64">BO6+BR6</f>
        <v>5.5600000000000041</v>
      </c>
      <c r="BV6" s="10">
        <f t="shared" ref="BV6:BV67" si="65">+K6+U6+AE6+AM6+AV6+BL6</f>
        <v>49.79</v>
      </c>
      <c r="BW6" s="10">
        <f t="shared" ref="BW6:BW67" si="66">+L6+V6+AF6+AN6+AW6+BM6</f>
        <v>5.33</v>
      </c>
      <c r="BX6" s="10">
        <f t="shared" si="52"/>
        <v>44.46</v>
      </c>
    </row>
    <row r="7" spans="1:76" x14ac:dyDescent="0.25">
      <c r="A7" s="16" t="s">
        <v>22</v>
      </c>
      <c r="B7" s="16" t="s">
        <v>179</v>
      </c>
      <c r="C7" s="15" t="s">
        <v>197</v>
      </c>
      <c r="D7" s="9" t="s">
        <v>82</v>
      </c>
      <c r="E7" s="12">
        <v>40</v>
      </c>
      <c r="F7" s="11">
        <v>150</v>
      </c>
      <c r="G7" s="13">
        <f t="shared" si="53"/>
        <v>116.55</v>
      </c>
      <c r="H7" s="13">
        <f t="shared" si="54"/>
        <v>4662</v>
      </c>
      <c r="I7" s="10">
        <v>52.78</v>
      </c>
      <c r="J7" s="13">
        <v>0</v>
      </c>
      <c r="K7" s="13">
        <v>34</v>
      </c>
      <c r="L7" s="13">
        <v>0</v>
      </c>
      <c r="M7" s="13">
        <f t="shared" si="55"/>
        <v>34</v>
      </c>
      <c r="N7" s="10">
        <f t="shared" si="28"/>
        <v>18.78</v>
      </c>
      <c r="O7" s="14">
        <v>0</v>
      </c>
      <c r="P7" s="14"/>
      <c r="Q7" s="14">
        <f t="shared" si="29"/>
        <v>0</v>
      </c>
      <c r="R7" s="10">
        <f t="shared" si="30"/>
        <v>18.78</v>
      </c>
      <c r="S7" s="10">
        <f t="shared" si="31"/>
        <v>18.78</v>
      </c>
      <c r="T7" s="13">
        <v>0</v>
      </c>
      <c r="U7" s="13">
        <v>8</v>
      </c>
      <c r="V7" s="13">
        <v>0</v>
      </c>
      <c r="W7" s="13">
        <f t="shared" si="56"/>
        <v>8</v>
      </c>
      <c r="X7" s="10">
        <f t="shared" si="32"/>
        <v>10.780000000000001</v>
      </c>
      <c r="Y7" s="14">
        <f t="shared" si="33"/>
        <v>0</v>
      </c>
      <c r="Z7" s="14"/>
      <c r="AA7" s="14">
        <f t="shared" si="34"/>
        <v>0</v>
      </c>
      <c r="AB7" s="10">
        <f t="shared" si="35"/>
        <v>10.780000000000001</v>
      </c>
      <c r="AC7" s="10">
        <f t="shared" si="36"/>
        <v>10.780000000000001</v>
      </c>
      <c r="AD7" s="10">
        <v>0</v>
      </c>
      <c r="AE7" s="13">
        <v>1.03</v>
      </c>
      <c r="AF7" s="13">
        <v>0</v>
      </c>
      <c r="AG7" s="13">
        <f t="shared" si="57"/>
        <v>1.03</v>
      </c>
      <c r="AH7" s="10">
        <f t="shared" si="37"/>
        <v>9.7500000000000018</v>
      </c>
      <c r="AI7" s="10">
        <v>0</v>
      </c>
      <c r="AJ7" s="10">
        <f t="shared" si="38"/>
        <v>9.7500000000000018</v>
      </c>
      <c r="AK7" s="10">
        <f t="shared" si="39"/>
        <v>9.7500000000000018</v>
      </c>
      <c r="AL7" s="10">
        <v>0</v>
      </c>
      <c r="AM7" s="10">
        <v>9</v>
      </c>
      <c r="AN7" s="10">
        <v>0</v>
      </c>
      <c r="AO7" s="10">
        <f t="shared" si="58"/>
        <v>9</v>
      </c>
      <c r="AP7" s="10">
        <f t="shared" si="40"/>
        <v>0.75000000000000178</v>
      </c>
      <c r="AQ7" s="10">
        <f t="shared" si="41"/>
        <v>0</v>
      </c>
      <c r="AR7" s="10">
        <v>0</v>
      </c>
      <c r="AS7" s="10">
        <f t="shared" si="42"/>
        <v>0.75000000000000178</v>
      </c>
      <c r="AT7" s="10">
        <f t="shared" si="43"/>
        <v>0.75000000000000178</v>
      </c>
      <c r="AU7" s="10">
        <v>0</v>
      </c>
      <c r="AV7" s="10">
        <v>1</v>
      </c>
      <c r="AW7" s="10">
        <v>1.93</v>
      </c>
      <c r="AX7" s="10">
        <f t="shared" si="59"/>
        <v>-0.92999999999999994</v>
      </c>
      <c r="AY7" s="10">
        <f t="shared" si="44"/>
        <v>1.6800000000000017</v>
      </c>
      <c r="AZ7" s="10">
        <f t="shared" si="45"/>
        <v>0</v>
      </c>
      <c r="BA7" s="10">
        <f t="shared" si="46"/>
        <v>1.6800000000000017</v>
      </c>
      <c r="BB7" s="10">
        <f t="shared" si="47"/>
        <v>1.6800000000000017</v>
      </c>
      <c r="BC7" s="10">
        <v>0</v>
      </c>
      <c r="BD7" s="10">
        <v>0</v>
      </c>
      <c r="BE7" s="10">
        <v>0</v>
      </c>
      <c r="BF7" s="10">
        <f t="shared" si="48"/>
        <v>0</v>
      </c>
      <c r="BG7" s="10">
        <f t="shared" si="49"/>
        <v>1.6800000000000017</v>
      </c>
      <c r="BH7" s="10">
        <f t="shared" si="50"/>
        <v>0</v>
      </c>
      <c r="BI7" s="10">
        <f t="shared" si="51"/>
        <v>1.6800000000000017</v>
      </c>
      <c r="BJ7" s="20">
        <f t="shared" si="60"/>
        <v>1.6800000000000017</v>
      </c>
      <c r="BK7" s="13">
        <v>0</v>
      </c>
      <c r="BL7" s="13">
        <v>0</v>
      </c>
      <c r="BM7" s="13">
        <v>0.03</v>
      </c>
      <c r="BN7" s="13">
        <f t="shared" si="61"/>
        <v>-0.03</v>
      </c>
      <c r="BO7" s="10">
        <f t="shared" si="62"/>
        <v>1.7100000000000017</v>
      </c>
      <c r="BP7" s="13">
        <v>0</v>
      </c>
      <c r="BQ7" s="13">
        <v>0</v>
      </c>
      <c r="BR7" s="13">
        <f t="shared" si="63"/>
        <v>0</v>
      </c>
      <c r="BS7" s="10">
        <f t="shared" si="64"/>
        <v>1.7100000000000017</v>
      </c>
      <c r="BV7" s="10">
        <f t="shared" si="65"/>
        <v>53.03</v>
      </c>
      <c r="BW7" s="10">
        <f t="shared" si="66"/>
        <v>1.96</v>
      </c>
      <c r="BX7" s="10">
        <f t="shared" si="52"/>
        <v>51.07</v>
      </c>
    </row>
    <row r="8" spans="1:76" x14ac:dyDescent="0.25">
      <c r="A8" s="16" t="s">
        <v>16</v>
      </c>
      <c r="B8" s="16" t="s">
        <v>192</v>
      </c>
      <c r="C8" s="15" t="s">
        <v>198</v>
      </c>
      <c r="D8" s="9" t="s">
        <v>76</v>
      </c>
      <c r="E8" s="12">
        <v>20</v>
      </c>
      <c r="F8" s="11">
        <v>270</v>
      </c>
      <c r="G8" s="13">
        <f t="shared" si="53"/>
        <v>209.79</v>
      </c>
      <c r="H8" s="13">
        <f t="shared" si="54"/>
        <v>4195.8</v>
      </c>
      <c r="I8" s="10">
        <v>11</v>
      </c>
      <c r="J8" s="13">
        <v>0</v>
      </c>
      <c r="K8" s="13">
        <v>11</v>
      </c>
      <c r="L8" s="13">
        <v>0</v>
      </c>
      <c r="M8" s="13">
        <f t="shared" si="55"/>
        <v>11</v>
      </c>
      <c r="N8" s="10">
        <f t="shared" si="28"/>
        <v>0</v>
      </c>
      <c r="O8" s="14">
        <v>0</v>
      </c>
      <c r="P8" s="14"/>
      <c r="Q8" s="14">
        <f t="shared" si="29"/>
        <v>0</v>
      </c>
      <c r="R8" s="10">
        <f t="shared" si="30"/>
        <v>0</v>
      </c>
      <c r="S8" s="10">
        <f t="shared" si="31"/>
        <v>0</v>
      </c>
      <c r="T8" s="13">
        <v>0</v>
      </c>
      <c r="U8" s="13">
        <v>0</v>
      </c>
      <c r="V8" s="13">
        <v>0</v>
      </c>
      <c r="W8" s="13">
        <f t="shared" si="56"/>
        <v>0</v>
      </c>
      <c r="X8" s="10">
        <f t="shared" si="32"/>
        <v>0</v>
      </c>
      <c r="Y8" s="14">
        <f t="shared" si="33"/>
        <v>0</v>
      </c>
      <c r="Z8" s="14"/>
      <c r="AA8" s="14">
        <f t="shared" si="34"/>
        <v>0</v>
      </c>
      <c r="AB8" s="10">
        <f t="shared" si="35"/>
        <v>0</v>
      </c>
      <c r="AC8" s="10">
        <f t="shared" si="36"/>
        <v>0</v>
      </c>
      <c r="AD8" s="10">
        <v>0</v>
      </c>
      <c r="AE8" s="13">
        <v>0</v>
      </c>
      <c r="AF8" s="13">
        <v>0</v>
      </c>
      <c r="AG8" s="13">
        <f t="shared" si="57"/>
        <v>0</v>
      </c>
      <c r="AH8" s="10">
        <f t="shared" si="37"/>
        <v>0</v>
      </c>
      <c r="AI8" s="10">
        <v>0</v>
      </c>
      <c r="AJ8" s="10">
        <f t="shared" si="38"/>
        <v>0</v>
      </c>
      <c r="AK8" s="10">
        <f t="shared" si="39"/>
        <v>0</v>
      </c>
      <c r="AL8" s="10">
        <v>0</v>
      </c>
      <c r="AM8" s="10">
        <v>0</v>
      </c>
      <c r="AN8" s="10">
        <v>0</v>
      </c>
      <c r="AO8" s="10">
        <f t="shared" si="58"/>
        <v>0</v>
      </c>
      <c r="AP8" s="10">
        <f t="shared" si="40"/>
        <v>0</v>
      </c>
      <c r="AQ8" s="10">
        <f t="shared" si="41"/>
        <v>0</v>
      </c>
      <c r="AR8" s="10">
        <v>0</v>
      </c>
      <c r="AS8" s="10">
        <f t="shared" si="42"/>
        <v>0</v>
      </c>
      <c r="AT8" s="10">
        <f t="shared" si="43"/>
        <v>0</v>
      </c>
      <c r="AU8" s="10">
        <v>0.45</v>
      </c>
      <c r="AV8" s="10">
        <v>0.45</v>
      </c>
      <c r="AW8" s="10">
        <v>0</v>
      </c>
      <c r="AX8" s="10">
        <f t="shared" si="59"/>
        <v>0.45</v>
      </c>
      <c r="AY8" s="10">
        <f t="shared" si="44"/>
        <v>0</v>
      </c>
      <c r="AZ8" s="10">
        <f t="shared" si="45"/>
        <v>0</v>
      </c>
      <c r="BA8" s="10">
        <f t="shared" si="46"/>
        <v>0</v>
      </c>
      <c r="BB8" s="10">
        <f t="shared" si="47"/>
        <v>0</v>
      </c>
      <c r="BC8" s="10">
        <v>0</v>
      </c>
      <c r="BD8" s="10">
        <v>0</v>
      </c>
      <c r="BE8" s="10">
        <v>0</v>
      </c>
      <c r="BF8" s="10">
        <f t="shared" si="48"/>
        <v>0</v>
      </c>
      <c r="BG8" s="10">
        <f t="shared" si="49"/>
        <v>0</v>
      </c>
      <c r="BH8" s="10">
        <f t="shared" si="50"/>
        <v>0</v>
      </c>
      <c r="BI8" s="10">
        <f t="shared" si="51"/>
        <v>0</v>
      </c>
      <c r="BJ8" s="20">
        <f t="shared" si="60"/>
        <v>0</v>
      </c>
      <c r="BK8" s="13">
        <v>0</v>
      </c>
      <c r="BL8" s="13">
        <v>0</v>
      </c>
      <c r="BM8" s="13">
        <v>0</v>
      </c>
      <c r="BN8" s="13">
        <f t="shared" si="61"/>
        <v>0</v>
      </c>
      <c r="BO8" s="10">
        <f t="shared" si="62"/>
        <v>0</v>
      </c>
      <c r="BP8" s="13">
        <v>25</v>
      </c>
      <c r="BQ8" s="13">
        <v>0</v>
      </c>
      <c r="BR8" s="13">
        <f t="shared" si="63"/>
        <v>25</v>
      </c>
      <c r="BS8" s="10">
        <f t="shared" si="64"/>
        <v>25</v>
      </c>
      <c r="BV8" s="10">
        <f t="shared" si="65"/>
        <v>11.45</v>
      </c>
      <c r="BW8" s="10">
        <f t="shared" si="66"/>
        <v>0</v>
      </c>
      <c r="BX8" s="10">
        <f t="shared" si="52"/>
        <v>11.45</v>
      </c>
    </row>
    <row r="9" spans="1:76" x14ac:dyDescent="0.25">
      <c r="A9" s="16" t="s">
        <v>19</v>
      </c>
      <c r="B9" s="16" t="s">
        <v>180</v>
      </c>
      <c r="C9" s="15" t="s">
        <v>199</v>
      </c>
      <c r="D9" s="9" t="s">
        <v>79</v>
      </c>
      <c r="E9" s="12">
        <v>20</v>
      </c>
      <c r="F9" s="11">
        <v>235</v>
      </c>
      <c r="G9" s="13">
        <f t="shared" si="53"/>
        <v>182.6</v>
      </c>
      <c r="H9" s="13">
        <f t="shared" si="54"/>
        <v>3652</v>
      </c>
      <c r="I9" s="10">
        <v>11.25</v>
      </c>
      <c r="J9" s="13">
        <v>0</v>
      </c>
      <c r="K9" s="13">
        <v>11</v>
      </c>
      <c r="L9" s="13">
        <v>0</v>
      </c>
      <c r="M9" s="13">
        <f t="shared" si="55"/>
        <v>11</v>
      </c>
      <c r="N9" s="10">
        <f t="shared" si="28"/>
        <v>0.25</v>
      </c>
      <c r="O9" s="14">
        <v>0</v>
      </c>
      <c r="P9" s="14"/>
      <c r="Q9" s="14">
        <f t="shared" si="29"/>
        <v>0</v>
      </c>
      <c r="R9" s="10">
        <f t="shared" si="30"/>
        <v>0.25</v>
      </c>
      <c r="S9" s="10">
        <f t="shared" si="31"/>
        <v>0.25</v>
      </c>
      <c r="T9" s="13">
        <v>0</v>
      </c>
      <c r="U9" s="13">
        <v>0</v>
      </c>
      <c r="V9" s="13">
        <v>0</v>
      </c>
      <c r="W9" s="13">
        <f t="shared" si="56"/>
        <v>0</v>
      </c>
      <c r="X9" s="10">
        <f t="shared" si="32"/>
        <v>0.25</v>
      </c>
      <c r="Y9" s="14">
        <f t="shared" si="33"/>
        <v>0</v>
      </c>
      <c r="Z9" s="14"/>
      <c r="AA9" s="14">
        <f t="shared" si="34"/>
        <v>0</v>
      </c>
      <c r="AB9" s="10">
        <f t="shared" si="35"/>
        <v>0.25</v>
      </c>
      <c r="AC9" s="10">
        <f t="shared" si="36"/>
        <v>0.25</v>
      </c>
      <c r="AD9" s="10">
        <v>0</v>
      </c>
      <c r="AE9" s="13">
        <v>0.05</v>
      </c>
      <c r="AF9" s="13">
        <v>0</v>
      </c>
      <c r="AG9" s="13">
        <f t="shared" si="57"/>
        <v>0.05</v>
      </c>
      <c r="AH9" s="10">
        <f t="shared" si="37"/>
        <v>0.2</v>
      </c>
      <c r="AI9" s="10">
        <v>0</v>
      </c>
      <c r="AJ9" s="10">
        <f t="shared" si="38"/>
        <v>0.2</v>
      </c>
      <c r="AK9" s="10">
        <f t="shared" si="39"/>
        <v>0.2</v>
      </c>
      <c r="AL9" s="10">
        <v>0</v>
      </c>
      <c r="AM9" s="10">
        <v>0</v>
      </c>
      <c r="AN9" s="10">
        <v>0</v>
      </c>
      <c r="AO9" s="10">
        <f t="shared" si="58"/>
        <v>0</v>
      </c>
      <c r="AP9" s="10">
        <f t="shared" si="40"/>
        <v>0.2</v>
      </c>
      <c r="AQ9" s="10">
        <f t="shared" si="41"/>
        <v>0</v>
      </c>
      <c r="AR9" s="10">
        <v>0</v>
      </c>
      <c r="AS9" s="10">
        <f t="shared" si="42"/>
        <v>0.2</v>
      </c>
      <c r="AT9" s="10">
        <f t="shared" si="43"/>
        <v>0.2</v>
      </c>
      <c r="AU9" s="10">
        <v>0</v>
      </c>
      <c r="AV9" s="10">
        <v>1</v>
      </c>
      <c r="AW9" s="10">
        <v>0.9</v>
      </c>
      <c r="AX9" s="10">
        <f t="shared" si="59"/>
        <v>9.9999999999999978E-2</v>
      </c>
      <c r="AY9" s="10">
        <f t="shared" si="44"/>
        <v>9.9999999999999978E-2</v>
      </c>
      <c r="AZ9" s="10">
        <f t="shared" si="45"/>
        <v>0</v>
      </c>
      <c r="BA9" s="10">
        <f t="shared" si="46"/>
        <v>9.9999999999999978E-2</v>
      </c>
      <c r="BB9" s="10">
        <f t="shared" si="47"/>
        <v>9.9999999999999978E-2</v>
      </c>
      <c r="BC9" s="10">
        <v>0</v>
      </c>
      <c r="BD9" s="10">
        <v>0</v>
      </c>
      <c r="BE9" s="10">
        <v>0</v>
      </c>
      <c r="BF9" s="10">
        <f t="shared" si="48"/>
        <v>0</v>
      </c>
      <c r="BG9" s="10">
        <f t="shared" si="49"/>
        <v>9.9999999999999978E-2</v>
      </c>
      <c r="BH9" s="10">
        <f t="shared" si="50"/>
        <v>0</v>
      </c>
      <c r="BI9" s="10">
        <f t="shared" si="51"/>
        <v>9.9999999999999978E-2</v>
      </c>
      <c r="BJ9" s="20">
        <f t="shared" si="60"/>
        <v>9.9999999999999978E-2</v>
      </c>
      <c r="BK9" s="13">
        <v>0</v>
      </c>
      <c r="BL9" s="13">
        <v>0</v>
      </c>
      <c r="BM9" s="13">
        <v>0</v>
      </c>
      <c r="BN9" s="13">
        <f t="shared" si="61"/>
        <v>0</v>
      </c>
      <c r="BO9" s="10">
        <f t="shared" si="62"/>
        <v>9.9999999999999978E-2</v>
      </c>
      <c r="BP9" s="13">
        <v>0</v>
      </c>
      <c r="BQ9" s="13">
        <v>0</v>
      </c>
      <c r="BR9" s="13">
        <f t="shared" si="63"/>
        <v>0</v>
      </c>
      <c r="BS9" s="10">
        <f t="shared" si="64"/>
        <v>9.9999999999999978E-2</v>
      </c>
      <c r="BV9" s="10">
        <f t="shared" si="65"/>
        <v>12.05</v>
      </c>
      <c r="BW9" s="10">
        <f t="shared" si="66"/>
        <v>0.9</v>
      </c>
      <c r="BX9" s="10">
        <f t="shared" si="52"/>
        <v>11.15</v>
      </c>
    </row>
    <row r="10" spans="1:76" x14ac:dyDescent="0.25">
      <c r="A10" s="16" t="s">
        <v>38</v>
      </c>
      <c r="B10" s="16" t="s">
        <v>205</v>
      </c>
      <c r="C10" s="15" t="s">
        <v>201</v>
      </c>
      <c r="D10" s="9" t="s">
        <v>98</v>
      </c>
      <c r="E10" s="12">
        <v>40</v>
      </c>
      <c r="F10" s="11">
        <v>110</v>
      </c>
      <c r="G10" s="13">
        <f t="shared" si="53"/>
        <v>85.47</v>
      </c>
      <c r="H10" s="13">
        <f t="shared" si="54"/>
        <v>3418.8</v>
      </c>
      <c r="I10" s="10">
        <v>0</v>
      </c>
      <c r="J10" s="13">
        <v>40</v>
      </c>
      <c r="K10" s="13">
        <v>28</v>
      </c>
      <c r="L10" s="13">
        <v>0</v>
      </c>
      <c r="M10" s="13">
        <f t="shared" si="55"/>
        <v>28</v>
      </c>
      <c r="N10" s="10">
        <f t="shared" si="28"/>
        <v>12</v>
      </c>
      <c r="O10" s="14">
        <v>0</v>
      </c>
      <c r="P10" s="14">
        <v>10</v>
      </c>
      <c r="Q10" s="14">
        <f t="shared" si="29"/>
        <v>10</v>
      </c>
      <c r="R10" s="10">
        <f t="shared" si="30"/>
        <v>22</v>
      </c>
      <c r="S10" s="10">
        <f t="shared" si="31"/>
        <v>12</v>
      </c>
      <c r="T10" s="13">
        <v>10</v>
      </c>
      <c r="U10" s="13">
        <v>11</v>
      </c>
      <c r="V10" s="13">
        <v>0</v>
      </c>
      <c r="W10" s="13">
        <f t="shared" si="56"/>
        <v>11</v>
      </c>
      <c r="X10" s="10">
        <f t="shared" si="32"/>
        <v>11</v>
      </c>
      <c r="Y10" s="14">
        <f t="shared" si="33"/>
        <v>0</v>
      </c>
      <c r="Z10" s="14"/>
      <c r="AA10" s="14">
        <f t="shared" si="34"/>
        <v>0</v>
      </c>
      <c r="AB10" s="10">
        <f t="shared" si="35"/>
        <v>11</v>
      </c>
      <c r="AC10" s="10">
        <f t="shared" si="36"/>
        <v>11</v>
      </c>
      <c r="AD10" s="10">
        <v>0</v>
      </c>
      <c r="AE10" s="13">
        <v>4.28</v>
      </c>
      <c r="AF10" s="13">
        <v>0</v>
      </c>
      <c r="AG10" s="13">
        <f t="shared" si="57"/>
        <v>4.28</v>
      </c>
      <c r="AH10" s="10">
        <f t="shared" si="37"/>
        <v>6.72</v>
      </c>
      <c r="AI10" s="10">
        <v>0</v>
      </c>
      <c r="AJ10" s="10">
        <f t="shared" si="38"/>
        <v>6.72</v>
      </c>
      <c r="AK10" s="10">
        <f t="shared" si="39"/>
        <v>6.72</v>
      </c>
      <c r="AL10" s="10">
        <v>0</v>
      </c>
      <c r="AM10" s="10">
        <v>6.03</v>
      </c>
      <c r="AN10" s="10">
        <v>0</v>
      </c>
      <c r="AO10" s="10">
        <f t="shared" si="58"/>
        <v>6.03</v>
      </c>
      <c r="AP10" s="10">
        <f t="shared" si="40"/>
        <v>0.6899999999999995</v>
      </c>
      <c r="AQ10" s="10">
        <f t="shared" si="41"/>
        <v>0</v>
      </c>
      <c r="AR10" s="10">
        <v>50</v>
      </c>
      <c r="AS10" s="10">
        <f t="shared" si="42"/>
        <v>50.69</v>
      </c>
      <c r="AT10" s="10">
        <f t="shared" si="43"/>
        <v>0.6899999999999995</v>
      </c>
      <c r="AU10" s="10">
        <v>3.4999999999999996</v>
      </c>
      <c r="AV10" s="10">
        <v>5.35</v>
      </c>
      <c r="AW10" s="10">
        <v>1.85</v>
      </c>
      <c r="AX10" s="10">
        <f t="shared" si="59"/>
        <v>3.4999999999999996</v>
      </c>
      <c r="AY10" s="10">
        <f t="shared" si="44"/>
        <v>0.69</v>
      </c>
      <c r="AZ10" s="10">
        <f t="shared" si="45"/>
        <v>50</v>
      </c>
      <c r="BA10" s="10">
        <f t="shared" si="46"/>
        <v>50.69</v>
      </c>
      <c r="BB10" s="10">
        <f t="shared" si="47"/>
        <v>0.69</v>
      </c>
      <c r="BC10" s="10">
        <v>0</v>
      </c>
      <c r="BD10" s="10">
        <v>1.1299999999999999</v>
      </c>
      <c r="BE10" s="10">
        <v>1.85</v>
      </c>
      <c r="BF10" s="10">
        <f t="shared" si="48"/>
        <v>-0.7200000000000002</v>
      </c>
      <c r="BG10" s="10">
        <f t="shared" si="49"/>
        <v>1.4100000000000001</v>
      </c>
      <c r="BH10" s="10">
        <f t="shared" si="50"/>
        <v>50</v>
      </c>
      <c r="BI10" s="10">
        <f t="shared" si="51"/>
        <v>51.41</v>
      </c>
      <c r="BJ10" s="20">
        <f t="shared" si="60"/>
        <v>1.4100000000000001</v>
      </c>
      <c r="BK10" s="13">
        <v>50</v>
      </c>
      <c r="BL10" s="13">
        <v>12.55</v>
      </c>
      <c r="BM10" s="13">
        <v>0.68</v>
      </c>
      <c r="BN10" s="13">
        <f t="shared" si="61"/>
        <v>11.870000000000001</v>
      </c>
      <c r="BO10" s="10">
        <f t="shared" si="62"/>
        <v>39.539999999999992</v>
      </c>
      <c r="BP10" s="13">
        <v>0</v>
      </c>
      <c r="BQ10" s="13">
        <v>50</v>
      </c>
      <c r="BR10" s="13">
        <f t="shared" si="63"/>
        <v>50</v>
      </c>
      <c r="BS10" s="10">
        <f t="shared" si="64"/>
        <v>89.539999999999992</v>
      </c>
      <c r="BV10" s="10">
        <f t="shared" si="65"/>
        <v>67.210000000000008</v>
      </c>
      <c r="BW10" s="10">
        <f t="shared" si="66"/>
        <v>2.5300000000000002</v>
      </c>
      <c r="BX10" s="10">
        <f t="shared" si="52"/>
        <v>64.680000000000007</v>
      </c>
    </row>
    <row r="11" spans="1:76" x14ac:dyDescent="0.25">
      <c r="A11" s="16" t="s">
        <v>37</v>
      </c>
      <c r="B11" s="16" t="s">
        <v>206</v>
      </c>
      <c r="C11" s="15" t="s">
        <v>201</v>
      </c>
      <c r="D11" s="9" t="s">
        <v>97</v>
      </c>
      <c r="E11" s="12">
        <v>40</v>
      </c>
      <c r="F11" s="11">
        <v>110</v>
      </c>
      <c r="G11" s="13">
        <f t="shared" si="53"/>
        <v>85.47</v>
      </c>
      <c r="H11" s="13">
        <f t="shared" si="54"/>
        <v>3418.8</v>
      </c>
      <c r="I11" s="10">
        <v>0</v>
      </c>
      <c r="J11" s="13">
        <v>205</v>
      </c>
      <c r="K11" s="13">
        <v>32</v>
      </c>
      <c r="L11" s="13">
        <v>0</v>
      </c>
      <c r="M11" s="13">
        <f t="shared" si="55"/>
        <v>32</v>
      </c>
      <c r="N11" s="10">
        <f t="shared" si="28"/>
        <v>173</v>
      </c>
      <c r="O11" s="14">
        <v>0</v>
      </c>
      <c r="P11" s="14">
        <v>45</v>
      </c>
      <c r="Q11" s="14">
        <f t="shared" si="29"/>
        <v>45</v>
      </c>
      <c r="R11" s="10">
        <f t="shared" si="30"/>
        <v>218</v>
      </c>
      <c r="S11" s="10">
        <f t="shared" si="31"/>
        <v>173</v>
      </c>
      <c r="T11" s="13">
        <v>45</v>
      </c>
      <c r="U11" s="13">
        <v>21</v>
      </c>
      <c r="V11" s="13">
        <v>0</v>
      </c>
      <c r="W11" s="13">
        <f t="shared" si="56"/>
        <v>21</v>
      </c>
      <c r="X11" s="10">
        <f t="shared" si="32"/>
        <v>197</v>
      </c>
      <c r="Y11" s="14">
        <f t="shared" si="33"/>
        <v>0</v>
      </c>
      <c r="Z11" s="14"/>
      <c r="AA11" s="14">
        <f t="shared" si="34"/>
        <v>0</v>
      </c>
      <c r="AB11" s="10">
        <f t="shared" si="35"/>
        <v>197</v>
      </c>
      <c r="AC11" s="10">
        <f t="shared" si="36"/>
        <v>197</v>
      </c>
      <c r="AD11" s="10">
        <v>0</v>
      </c>
      <c r="AE11" s="13">
        <v>5.28</v>
      </c>
      <c r="AF11" s="13">
        <v>0</v>
      </c>
      <c r="AG11" s="13">
        <f t="shared" si="57"/>
        <v>5.28</v>
      </c>
      <c r="AH11" s="10">
        <f t="shared" si="37"/>
        <v>191.72</v>
      </c>
      <c r="AI11" s="10">
        <v>0</v>
      </c>
      <c r="AJ11" s="10">
        <f t="shared" si="38"/>
        <v>191.72</v>
      </c>
      <c r="AK11" s="10">
        <f t="shared" si="39"/>
        <v>191.72</v>
      </c>
      <c r="AL11" s="10">
        <v>0</v>
      </c>
      <c r="AM11" s="10">
        <v>37.53</v>
      </c>
      <c r="AN11" s="10">
        <v>1.85</v>
      </c>
      <c r="AO11" s="10">
        <f t="shared" si="58"/>
        <v>35.68</v>
      </c>
      <c r="AP11" s="10">
        <f t="shared" si="40"/>
        <v>156.04</v>
      </c>
      <c r="AQ11" s="10">
        <f t="shared" si="41"/>
        <v>0</v>
      </c>
      <c r="AR11" s="10">
        <v>0</v>
      </c>
      <c r="AS11" s="10">
        <f t="shared" si="42"/>
        <v>156.04</v>
      </c>
      <c r="AT11" s="10">
        <f t="shared" si="43"/>
        <v>156.04</v>
      </c>
      <c r="AU11" s="10">
        <v>1.35</v>
      </c>
      <c r="AV11" s="10">
        <v>28.58</v>
      </c>
      <c r="AW11" s="10">
        <v>1.08</v>
      </c>
      <c r="AX11" s="10">
        <f t="shared" si="59"/>
        <v>27.5</v>
      </c>
      <c r="AY11" s="10">
        <f t="shared" si="44"/>
        <v>129.89000000000001</v>
      </c>
      <c r="AZ11" s="10">
        <f t="shared" si="45"/>
        <v>0</v>
      </c>
      <c r="BA11" s="10">
        <f t="shared" si="46"/>
        <v>129.89000000000001</v>
      </c>
      <c r="BB11" s="10">
        <f t="shared" si="47"/>
        <v>129.89000000000001</v>
      </c>
      <c r="BC11" s="10">
        <v>0</v>
      </c>
      <c r="BD11" s="10">
        <v>23</v>
      </c>
      <c r="BE11" s="10">
        <v>0.03</v>
      </c>
      <c r="BF11" s="10">
        <f t="shared" si="48"/>
        <v>22.97</v>
      </c>
      <c r="BG11" s="10">
        <f t="shared" si="49"/>
        <v>106.92000000000002</v>
      </c>
      <c r="BH11" s="10">
        <f t="shared" si="50"/>
        <v>0</v>
      </c>
      <c r="BI11" s="10">
        <f t="shared" si="51"/>
        <v>106.92000000000002</v>
      </c>
      <c r="BJ11" s="20">
        <f t="shared" si="60"/>
        <v>106.92000000000002</v>
      </c>
      <c r="BK11" s="13">
        <v>0</v>
      </c>
      <c r="BL11" s="13">
        <v>27.85</v>
      </c>
      <c r="BM11" s="13">
        <v>0.85</v>
      </c>
      <c r="BN11" s="13">
        <f t="shared" si="61"/>
        <v>27</v>
      </c>
      <c r="BO11" s="10">
        <f t="shared" si="62"/>
        <v>79.920000000000016</v>
      </c>
      <c r="BP11" s="13">
        <v>0</v>
      </c>
      <c r="BQ11" s="13">
        <v>0</v>
      </c>
      <c r="BR11" s="13">
        <f t="shared" si="63"/>
        <v>0</v>
      </c>
      <c r="BS11" s="10">
        <f t="shared" si="64"/>
        <v>79.920000000000016</v>
      </c>
      <c r="BV11" s="10">
        <f t="shared" si="65"/>
        <v>152.24</v>
      </c>
      <c r="BW11" s="10">
        <f t="shared" si="66"/>
        <v>3.7800000000000002</v>
      </c>
      <c r="BX11" s="10">
        <f t="shared" si="52"/>
        <v>148.46</v>
      </c>
    </row>
    <row r="12" spans="1:76" x14ac:dyDescent="0.25">
      <c r="A12" s="16" t="s">
        <v>36</v>
      </c>
      <c r="B12" s="16" t="s">
        <v>177</v>
      </c>
      <c r="C12" s="15" t="s">
        <v>201</v>
      </c>
      <c r="D12" s="9" t="s">
        <v>96</v>
      </c>
      <c r="E12" s="12">
        <v>40</v>
      </c>
      <c r="F12" s="11">
        <v>110</v>
      </c>
      <c r="G12" s="13">
        <f t="shared" si="53"/>
        <v>85.47</v>
      </c>
      <c r="H12" s="13">
        <f t="shared" si="54"/>
        <v>3418.8</v>
      </c>
      <c r="I12" s="10">
        <v>0</v>
      </c>
      <c r="J12" s="13">
        <v>85</v>
      </c>
      <c r="K12" s="13">
        <v>17</v>
      </c>
      <c r="L12" s="13">
        <v>0</v>
      </c>
      <c r="M12" s="13">
        <f t="shared" si="55"/>
        <v>17</v>
      </c>
      <c r="N12" s="10">
        <f t="shared" si="28"/>
        <v>68</v>
      </c>
      <c r="O12" s="14">
        <v>0</v>
      </c>
      <c r="P12" s="14">
        <v>15</v>
      </c>
      <c r="Q12" s="14">
        <f t="shared" si="29"/>
        <v>15</v>
      </c>
      <c r="R12" s="10">
        <f t="shared" si="30"/>
        <v>83</v>
      </c>
      <c r="S12" s="10">
        <f t="shared" si="31"/>
        <v>68</v>
      </c>
      <c r="T12" s="13">
        <v>15</v>
      </c>
      <c r="U12" s="13">
        <v>10</v>
      </c>
      <c r="V12" s="13">
        <v>0</v>
      </c>
      <c r="W12" s="13">
        <f t="shared" si="56"/>
        <v>10</v>
      </c>
      <c r="X12" s="10">
        <f t="shared" si="32"/>
        <v>73</v>
      </c>
      <c r="Y12" s="14">
        <f t="shared" si="33"/>
        <v>0</v>
      </c>
      <c r="Z12" s="14"/>
      <c r="AA12" s="14">
        <f t="shared" si="34"/>
        <v>0</v>
      </c>
      <c r="AB12" s="10">
        <f t="shared" si="35"/>
        <v>73</v>
      </c>
      <c r="AC12" s="10">
        <f t="shared" si="36"/>
        <v>73</v>
      </c>
      <c r="AD12" s="10">
        <v>0</v>
      </c>
      <c r="AE12" s="13">
        <v>4.3100000000000005</v>
      </c>
      <c r="AF12" s="13">
        <v>0</v>
      </c>
      <c r="AG12" s="13">
        <f t="shared" si="57"/>
        <v>4.3100000000000005</v>
      </c>
      <c r="AH12" s="10">
        <f t="shared" si="37"/>
        <v>68.69</v>
      </c>
      <c r="AI12" s="10">
        <v>0</v>
      </c>
      <c r="AJ12" s="10">
        <f t="shared" si="38"/>
        <v>68.69</v>
      </c>
      <c r="AK12" s="10">
        <f t="shared" si="39"/>
        <v>68.69</v>
      </c>
      <c r="AL12" s="10">
        <v>0</v>
      </c>
      <c r="AM12" s="10">
        <v>16.53</v>
      </c>
      <c r="AN12" s="10">
        <v>0.57999999999999996</v>
      </c>
      <c r="AO12" s="10">
        <f t="shared" si="58"/>
        <v>15.950000000000001</v>
      </c>
      <c r="AP12" s="10">
        <f t="shared" si="40"/>
        <v>52.739999999999995</v>
      </c>
      <c r="AQ12" s="10">
        <f t="shared" si="41"/>
        <v>0</v>
      </c>
      <c r="AR12" s="10">
        <v>25</v>
      </c>
      <c r="AS12" s="10">
        <f t="shared" si="42"/>
        <v>77.739999999999995</v>
      </c>
      <c r="AT12" s="10">
        <f t="shared" si="43"/>
        <v>52.739999999999995</v>
      </c>
      <c r="AU12" s="10">
        <v>0</v>
      </c>
      <c r="AV12" s="10">
        <v>32.85</v>
      </c>
      <c r="AW12" s="10">
        <v>1.85</v>
      </c>
      <c r="AX12" s="10">
        <f t="shared" si="59"/>
        <v>31</v>
      </c>
      <c r="AY12" s="10">
        <f t="shared" si="44"/>
        <v>21.739999999999995</v>
      </c>
      <c r="AZ12" s="10">
        <f t="shared" si="45"/>
        <v>25</v>
      </c>
      <c r="BA12" s="10">
        <f t="shared" si="46"/>
        <v>46.739999999999995</v>
      </c>
      <c r="BB12" s="10">
        <f t="shared" si="47"/>
        <v>21.739999999999995</v>
      </c>
      <c r="BC12" s="10">
        <v>0</v>
      </c>
      <c r="BD12" s="10">
        <v>14.68</v>
      </c>
      <c r="BE12" s="10">
        <v>0.83</v>
      </c>
      <c r="BF12" s="10">
        <f t="shared" si="48"/>
        <v>13.85</v>
      </c>
      <c r="BG12" s="10">
        <f t="shared" si="49"/>
        <v>7.8899999999999952</v>
      </c>
      <c r="BH12" s="10">
        <f t="shared" si="50"/>
        <v>25</v>
      </c>
      <c r="BI12" s="10">
        <f t="shared" si="51"/>
        <v>32.889999999999993</v>
      </c>
      <c r="BJ12" s="20">
        <f t="shared" si="60"/>
        <v>7.8899999999999952</v>
      </c>
      <c r="BK12" s="13">
        <v>25</v>
      </c>
      <c r="BL12" s="13">
        <v>9.5299999999999994</v>
      </c>
      <c r="BM12" s="13">
        <v>0.38</v>
      </c>
      <c r="BN12" s="13">
        <f t="shared" si="61"/>
        <v>9.1499999999999986</v>
      </c>
      <c r="BO12" s="10">
        <f t="shared" si="62"/>
        <v>23.739999999999995</v>
      </c>
      <c r="BP12" s="13">
        <v>0</v>
      </c>
      <c r="BQ12" s="13">
        <v>25</v>
      </c>
      <c r="BR12" s="13">
        <f t="shared" si="63"/>
        <v>25</v>
      </c>
      <c r="BS12" s="10">
        <f t="shared" si="64"/>
        <v>48.739999999999995</v>
      </c>
      <c r="BV12" s="10">
        <f t="shared" si="65"/>
        <v>90.22</v>
      </c>
      <c r="BW12" s="10">
        <f t="shared" si="66"/>
        <v>2.81</v>
      </c>
      <c r="BX12" s="10">
        <f t="shared" si="52"/>
        <v>87.41</v>
      </c>
    </row>
    <row r="13" spans="1:76" x14ac:dyDescent="0.25">
      <c r="A13" s="16" t="s">
        <v>35</v>
      </c>
      <c r="B13" s="16" t="s">
        <v>178</v>
      </c>
      <c r="C13" s="15" t="s">
        <v>134</v>
      </c>
      <c r="D13" s="9" t="s">
        <v>95</v>
      </c>
      <c r="E13" s="12">
        <v>24</v>
      </c>
      <c r="F13" s="11">
        <v>250</v>
      </c>
      <c r="G13" s="13">
        <f t="shared" si="53"/>
        <v>194.25</v>
      </c>
      <c r="H13" s="13">
        <f t="shared" si="54"/>
        <v>4662</v>
      </c>
      <c r="I13" s="10">
        <v>0</v>
      </c>
      <c r="J13" s="13">
        <v>40</v>
      </c>
      <c r="K13" s="13">
        <v>10</v>
      </c>
      <c r="L13" s="13">
        <v>0</v>
      </c>
      <c r="M13" s="13">
        <f t="shared" si="55"/>
        <v>10</v>
      </c>
      <c r="N13" s="10">
        <f t="shared" si="28"/>
        <v>30</v>
      </c>
      <c r="O13" s="14">
        <v>0</v>
      </c>
      <c r="P13" s="14">
        <v>10</v>
      </c>
      <c r="Q13" s="14">
        <f t="shared" si="29"/>
        <v>10</v>
      </c>
      <c r="R13" s="10">
        <f t="shared" si="30"/>
        <v>40</v>
      </c>
      <c r="S13" s="10">
        <f t="shared" si="31"/>
        <v>30</v>
      </c>
      <c r="T13" s="13">
        <v>10</v>
      </c>
      <c r="U13" s="13">
        <v>6</v>
      </c>
      <c r="V13" s="13">
        <v>0</v>
      </c>
      <c r="W13" s="13">
        <f t="shared" si="56"/>
        <v>6</v>
      </c>
      <c r="X13" s="10">
        <f t="shared" si="32"/>
        <v>34</v>
      </c>
      <c r="Y13" s="14">
        <f t="shared" si="33"/>
        <v>0</v>
      </c>
      <c r="Z13" s="14"/>
      <c r="AA13" s="14">
        <f t="shared" si="34"/>
        <v>0</v>
      </c>
      <c r="AB13" s="10">
        <f t="shared" si="35"/>
        <v>34</v>
      </c>
      <c r="AC13" s="10">
        <f t="shared" si="36"/>
        <v>34</v>
      </c>
      <c r="AD13" s="10">
        <v>0</v>
      </c>
      <c r="AE13" s="13">
        <v>1.29</v>
      </c>
      <c r="AF13" s="13">
        <v>0</v>
      </c>
      <c r="AG13" s="13">
        <f t="shared" si="57"/>
        <v>1.29</v>
      </c>
      <c r="AH13" s="10">
        <f t="shared" si="37"/>
        <v>32.71</v>
      </c>
      <c r="AI13" s="10">
        <v>0</v>
      </c>
      <c r="AJ13" s="10">
        <f t="shared" si="38"/>
        <v>32.71</v>
      </c>
      <c r="AK13" s="10">
        <f t="shared" si="39"/>
        <v>32.71</v>
      </c>
      <c r="AL13" s="10">
        <v>0</v>
      </c>
      <c r="AM13" s="10">
        <v>5.04</v>
      </c>
      <c r="AN13" s="10">
        <v>2.75</v>
      </c>
      <c r="AO13" s="10">
        <f t="shared" si="58"/>
        <v>2.29</v>
      </c>
      <c r="AP13" s="10">
        <f t="shared" si="40"/>
        <v>30.42</v>
      </c>
      <c r="AQ13" s="10">
        <f t="shared" si="41"/>
        <v>0</v>
      </c>
      <c r="AR13" s="10">
        <v>0</v>
      </c>
      <c r="AS13" s="10">
        <f t="shared" si="42"/>
        <v>30.42</v>
      </c>
      <c r="AT13" s="10">
        <f t="shared" si="43"/>
        <v>30.42</v>
      </c>
      <c r="AU13" s="10">
        <v>0</v>
      </c>
      <c r="AV13" s="10">
        <v>17</v>
      </c>
      <c r="AW13" s="10">
        <v>1</v>
      </c>
      <c r="AX13" s="10">
        <f t="shared" si="59"/>
        <v>16</v>
      </c>
      <c r="AY13" s="10">
        <f t="shared" si="44"/>
        <v>14.420000000000002</v>
      </c>
      <c r="AZ13" s="10">
        <f t="shared" si="45"/>
        <v>0</v>
      </c>
      <c r="BA13" s="10">
        <f t="shared" si="46"/>
        <v>14.420000000000002</v>
      </c>
      <c r="BB13" s="10">
        <f t="shared" si="47"/>
        <v>14.420000000000002</v>
      </c>
      <c r="BC13" s="10">
        <v>0</v>
      </c>
      <c r="BD13" s="10">
        <v>1</v>
      </c>
      <c r="BE13" s="10">
        <v>0</v>
      </c>
      <c r="BF13" s="10">
        <f t="shared" si="48"/>
        <v>1</v>
      </c>
      <c r="BG13" s="10">
        <f t="shared" si="49"/>
        <v>13.420000000000002</v>
      </c>
      <c r="BH13" s="10">
        <f t="shared" si="50"/>
        <v>0</v>
      </c>
      <c r="BI13" s="10">
        <f t="shared" si="51"/>
        <v>13.420000000000002</v>
      </c>
      <c r="BJ13" s="20">
        <f t="shared" si="60"/>
        <v>13.420000000000002</v>
      </c>
      <c r="BK13" s="13">
        <v>0</v>
      </c>
      <c r="BL13" s="13">
        <v>0</v>
      </c>
      <c r="BM13" s="13">
        <v>0</v>
      </c>
      <c r="BN13" s="13">
        <f t="shared" si="61"/>
        <v>0</v>
      </c>
      <c r="BO13" s="10">
        <f t="shared" si="62"/>
        <v>13.420000000000002</v>
      </c>
      <c r="BP13" s="13">
        <v>0</v>
      </c>
      <c r="BQ13" s="13">
        <v>0</v>
      </c>
      <c r="BR13" s="13">
        <f t="shared" si="63"/>
        <v>0</v>
      </c>
      <c r="BS13" s="10">
        <f t="shared" si="64"/>
        <v>13.420000000000002</v>
      </c>
      <c r="BV13" s="10">
        <f t="shared" si="65"/>
        <v>39.33</v>
      </c>
      <c r="BW13" s="10">
        <f t="shared" si="66"/>
        <v>3.75</v>
      </c>
      <c r="BX13" s="10">
        <f t="shared" si="52"/>
        <v>35.58</v>
      </c>
    </row>
    <row r="14" spans="1:76" x14ac:dyDescent="0.25">
      <c r="A14" s="16" t="s">
        <v>34</v>
      </c>
      <c r="B14" s="16" t="s">
        <v>207</v>
      </c>
      <c r="C14" s="15" t="s">
        <v>142</v>
      </c>
      <c r="D14" s="9" t="s">
        <v>94</v>
      </c>
      <c r="E14" s="12">
        <v>600</v>
      </c>
      <c r="F14" s="11">
        <v>10</v>
      </c>
      <c r="G14" s="13">
        <f t="shared" si="53"/>
        <v>7.77</v>
      </c>
      <c r="H14" s="13">
        <f t="shared" si="54"/>
        <v>4662</v>
      </c>
      <c r="I14" s="10">
        <v>0</v>
      </c>
      <c r="J14" s="13">
        <v>10</v>
      </c>
      <c r="K14" s="13">
        <v>10</v>
      </c>
      <c r="L14" s="13">
        <v>0</v>
      </c>
      <c r="M14" s="13">
        <f t="shared" si="55"/>
        <v>10</v>
      </c>
      <c r="N14" s="10">
        <f t="shared" si="28"/>
        <v>0</v>
      </c>
      <c r="O14" s="14">
        <v>0</v>
      </c>
      <c r="P14" s="14"/>
      <c r="Q14" s="14">
        <f t="shared" si="29"/>
        <v>0</v>
      </c>
      <c r="R14" s="10">
        <f t="shared" si="30"/>
        <v>0</v>
      </c>
      <c r="S14" s="10">
        <f t="shared" si="31"/>
        <v>0</v>
      </c>
      <c r="T14" s="13">
        <v>0</v>
      </c>
      <c r="U14" s="13">
        <v>0</v>
      </c>
      <c r="V14" s="13">
        <v>0</v>
      </c>
      <c r="W14" s="13">
        <f t="shared" si="56"/>
        <v>0</v>
      </c>
      <c r="X14" s="10">
        <f t="shared" si="32"/>
        <v>0</v>
      </c>
      <c r="Y14" s="14">
        <f t="shared" si="33"/>
        <v>0</v>
      </c>
      <c r="Z14" s="14">
        <v>25</v>
      </c>
      <c r="AA14" s="14">
        <f t="shared" si="34"/>
        <v>25</v>
      </c>
      <c r="AB14" s="10">
        <f t="shared" si="35"/>
        <v>25</v>
      </c>
      <c r="AC14" s="10">
        <f t="shared" si="36"/>
        <v>0</v>
      </c>
      <c r="AD14" s="10">
        <v>0</v>
      </c>
      <c r="AE14" s="13">
        <v>0</v>
      </c>
      <c r="AF14" s="13">
        <v>0</v>
      </c>
      <c r="AG14" s="13">
        <f t="shared" si="57"/>
        <v>0</v>
      </c>
      <c r="AH14" s="10">
        <f t="shared" si="37"/>
        <v>0</v>
      </c>
      <c r="AI14" s="10">
        <v>25</v>
      </c>
      <c r="AJ14" s="10">
        <f t="shared" si="38"/>
        <v>25</v>
      </c>
      <c r="AK14" s="10">
        <f t="shared" si="39"/>
        <v>0</v>
      </c>
      <c r="AL14" s="10">
        <v>25</v>
      </c>
      <c r="AM14" s="10">
        <v>19</v>
      </c>
      <c r="AN14" s="10">
        <v>1</v>
      </c>
      <c r="AO14" s="10">
        <f t="shared" si="58"/>
        <v>18</v>
      </c>
      <c r="AP14" s="10">
        <f t="shared" si="40"/>
        <v>7</v>
      </c>
      <c r="AQ14" s="10">
        <f t="shared" si="41"/>
        <v>0</v>
      </c>
      <c r="AR14" s="10">
        <v>40</v>
      </c>
      <c r="AS14" s="10">
        <f t="shared" si="42"/>
        <v>47</v>
      </c>
      <c r="AT14" s="10">
        <f t="shared" si="43"/>
        <v>7</v>
      </c>
      <c r="AU14" s="10">
        <v>0</v>
      </c>
      <c r="AV14" s="10">
        <v>5</v>
      </c>
      <c r="AW14" s="10">
        <v>0</v>
      </c>
      <c r="AX14" s="10">
        <f t="shared" si="59"/>
        <v>5</v>
      </c>
      <c r="AY14" s="10">
        <f t="shared" si="44"/>
        <v>2</v>
      </c>
      <c r="AZ14" s="10">
        <f t="shared" si="45"/>
        <v>40</v>
      </c>
      <c r="BA14" s="10">
        <f t="shared" si="46"/>
        <v>42</v>
      </c>
      <c r="BB14" s="10">
        <f t="shared" si="47"/>
        <v>2</v>
      </c>
      <c r="BC14" s="10">
        <v>0</v>
      </c>
      <c r="BD14" s="10">
        <v>2</v>
      </c>
      <c r="BE14" s="10">
        <v>1</v>
      </c>
      <c r="BF14" s="10">
        <f t="shared" si="48"/>
        <v>1</v>
      </c>
      <c r="BG14" s="10">
        <f t="shared" si="49"/>
        <v>1</v>
      </c>
      <c r="BH14" s="10">
        <f t="shared" si="50"/>
        <v>40</v>
      </c>
      <c r="BI14" s="10">
        <f t="shared" si="51"/>
        <v>41</v>
      </c>
      <c r="BJ14" s="20">
        <f t="shared" si="60"/>
        <v>1</v>
      </c>
      <c r="BK14" s="13">
        <v>40</v>
      </c>
      <c r="BL14" s="13">
        <v>3</v>
      </c>
      <c r="BM14" s="13">
        <v>0.8</v>
      </c>
      <c r="BN14" s="13">
        <f t="shared" si="61"/>
        <v>2.2000000000000002</v>
      </c>
      <c r="BO14" s="10">
        <f t="shared" si="62"/>
        <v>38.799999999999997</v>
      </c>
      <c r="BP14" s="13">
        <v>25</v>
      </c>
      <c r="BQ14" s="13">
        <v>0</v>
      </c>
      <c r="BR14" s="13">
        <f t="shared" si="63"/>
        <v>25</v>
      </c>
      <c r="BS14" s="10">
        <f t="shared" si="64"/>
        <v>63.8</v>
      </c>
      <c r="BV14" s="10">
        <f t="shared" si="65"/>
        <v>37</v>
      </c>
      <c r="BW14" s="10">
        <f t="shared" si="66"/>
        <v>1.8</v>
      </c>
      <c r="BX14" s="10">
        <f t="shared" si="52"/>
        <v>35.200000000000003</v>
      </c>
    </row>
    <row r="15" spans="1:76" x14ac:dyDescent="0.25">
      <c r="A15" s="16" t="s">
        <v>62</v>
      </c>
      <c r="B15" s="16" t="s">
        <v>208</v>
      </c>
      <c r="C15" s="15" t="s">
        <v>200</v>
      </c>
      <c r="D15" s="9" t="s">
        <v>122</v>
      </c>
      <c r="E15" s="12">
        <v>4</v>
      </c>
      <c r="F15" s="11">
        <v>800</v>
      </c>
      <c r="G15" s="13">
        <f t="shared" si="53"/>
        <v>621.6</v>
      </c>
      <c r="H15" s="13">
        <f t="shared" si="54"/>
        <v>2486.4</v>
      </c>
      <c r="I15" s="10">
        <v>0</v>
      </c>
      <c r="J15" s="13">
        <v>875</v>
      </c>
      <c r="K15" s="13">
        <v>439</v>
      </c>
      <c r="L15" s="13">
        <v>0</v>
      </c>
      <c r="M15" s="13">
        <f t="shared" si="55"/>
        <v>439</v>
      </c>
      <c r="N15" s="10">
        <f t="shared" si="28"/>
        <v>436</v>
      </c>
      <c r="O15" s="14">
        <v>175</v>
      </c>
      <c r="P15" s="14">
        <v>195</v>
      </c>
      <c r="Q15" s="14">
        <f t="shared" si="29"/>
        <v>370</v>
      </c>
      <c r="R15" s="10">
        <f t="shared" si="30"/>
        <v>806</v>
      </c>
      <c r="S15" s="10">
        <f t="shared" si="31"/>
        <v>436</v>
      </c>
      <c r="T15" s="13">
        <v>275</v>
      </c>
      <c r="U15" s="13">
        <v>98</v>
      </c>
      <c r="V15" s="13">
        <v>0</v>
      </c>
      <c r="W15" s="13">
        <f t="shared" si="56"/>
        <v>98</v>
      </c>
      <c r="X15" s="10">
        <f t="shared" si="32"/>
        <v>613</v>
      </c>
      <c r="Y15" s="14">
        <f t="shared" si="33"/>
        <v>95</v>
      </c>
      <c r="Z15" s="14">
        <v>250</v>
      </c>
      <c r="AA15" s="14">
        <f t="shared" si="34"/>
        <v>345</v>
      </c>
      <c r="AB15" s="10">
        <f t="shared" si="35"/>
        <v>958</v>
      </c>
      <c r="AC15" s="10">
        <f t="shared" si="36"/>
        <v>613</v>
      </c>
      <c r="AD15" s="10">
        <v>95</v>
      </c>
      <c r="AE15" s="13">
        <v>118</v>
      </c>
      <c r="AF15" s="13">
        <v>0</v>
      </c>
      <c r="AG15" s="13">
        <f t="shared" si="57"/>
        <v>118</v>
      </c>
      <c r="AH15" s="10">
        <f t="shared" si="37"/>
        <v>590</v>
      </c>
      <c r="AI15" s="10">
        <v>250</v>
      </c>
      <c r="AJ15" s="10">
        <f t="shared" si="38"/>
        <v>840</v>
      </c>
      <c r="AK15" s="10">
        <f t="shared" si="39"/>
        <v>590</v>
      </c>
      <c r="AL15" s="10">
        <v>150</v>
      </c>
      <c r="AM15" s="10">
        <v>349.25</v>
      </c>
      <c r="AN15" s="10">
        <v>2</v>
      </c>
      <c r="AO15" s="10">
        <f t="shared" si="58"/>
        <v>347.25</v>
      </c>
      <c r="AP15" s="10">
        <f t="shared" si="40"/>
        <v>392.75</v>
      </c>
      <c r="AQ15" s="10">
        <f t="shared" si="41"/>
        <v>100</v>
      </c>
      <c r="AR15" s="10">
        <v>200</v>
      </c>
      <c r="AS15" s="10">
        <f t="shared" si="42"/>
        <v>692.75</v>
      </c>
      <c r="AT15" s="10">
        <f t="shared" si="43"/>
        <v>392.75</v>
      </c>
      <c r="AU15" s="10">
        <v>100</v>
      </c>
      <c r="AV15" s="10">
        <v>233</v>
      </c>
      <c r="AW15" s="10">
        <v>2</v>
      </c>
      <c r="AX15" s="10">
        <f t="shared" si="59"/>
        <v>231</v>
      </c>
      <c r="AY15" s="10">
        <f t="shared" si="44"/>
        <v>261.75</v>
      </c>
      <c r="AZ15" s="10">
        <f t="shared" si="45"/>
        <v>200</v>
      </c>
      <c r="BA15" s="10">
        <f t="shared" si="46"/>
        <v>461.75</v>
      </c>
      <c r="BB15" s="10">
        <f t="shared" si="47"/>
        <v>261.75</v>
      </c>
      <c r="BC15" s="10">
        <v>150</v>
      </c>
      <c r="BD15" s="10">
        <v>145</v>
      </c>
      <c r="BE15" s="10">
        <v>0</v>
      </c>
      <c r="BF15" s="10">
        <f t="shared" si="48"/>
        <v>145</v>
      </c>
      <c r="BG15" s="10">
        <f t="shared" si="49"/>
        <v>266.75</v>
      </c>
      <c r="BH15" s="10">
        <f t="shared" si="50"/>
        <v>50</v>
      </c>
      <c r="BI15" s="10">
        <f t="shared" si="51"/>
        <v>316.75</v>
      </c>
      <c r="BJ15" s="20">
        <f t="shared" si="60"/>
        <v>266.75</v>
      </c>
      <c r="BK15" s="13">
        <v>50</v>
      </c>
      <c r="BL15" s="13">
        <v>276.75</v>
      </c>
      <c r="BM15" s="13">
        <v>3.75</v>
      </c>
      <c r="BN15" s="13">
        <f t="shared" si="61"/>
        <v>273</v>
      </c>
      <c r="BO15" s="10">
        <f t="shared" si="62"/>
        <v>43.75</v>
      </c>
      <c r="BP15" s="13">
        <v>250</v>
      </c>
      <c r="BQ15" s="13">
        <v>415</v>
      </c>
      <c r="BR15" s="13">
        <f t="shared" si="63"/>
        <v>665</v>
      </c>
      <c r="BS15" s="10">
        <f t="shared" si="64"/>
        <v>708.75</v>
      </c>
      <c r="BV15" s="10">
        <f t="shared" si="65"/>
        <v>1514</v>
      </c>
      <c r="BW15" s="10">
        <f t="shared" si="66"/>
        <v>7.75</v>
      </c>
      <c r="BX15" s="10">
        <f t="shared" si="52"/>
        <v>1506.25</v>
      </c>
    </row>
    <row r="16" spans="1:76" x14ac:dyDescent="0.25">
      <c r="A16" s="16" t="s">
        <v>47</v>
      </c>
      <c r="B16" s="16" t="s">
        <v>209</v>
      </c>
      <c r="C16" s="15" t="s">
        <v>147</v>
      </c>
      <c r="D16" s="9" t="s">
        <v>107</v>
      </c>
      <c r="E16" s="12">
        <v>130</v>
      </c>
      <c r="F16" s="11">
        <v>50</v>
      </c>
      <c r="G16" s="13">
        <f t="shared" si="53"/>
        <v>38.85</v>
      </c>
      <c r="H16" s="13">
        <f t="shared" si="54"/>
        <v>5050.5</v>
      </c>
      <c r="I16" s="10">
        <v>20.52</v>
      </c>
      <c r="J16" s="13">
        <v>240</v>
      </c>
      <c r="K16" s="13">
        <v>64</v>
      </c>
      <c r="L16" s="13">
        <v>0</v>
      </c>
      <c r="M16" s="13">
        <f t="shared" si="55"/>
        <v>64</v>
      </c>
      <c r="N16" s="10">
        <f t="shared" si="28"/>
        <v>196.51999999999998</v>
      </c>
      <c r="O16" s="14">
        <v>0</v>
      </c>
      <c r="P16" s="14">
        <v>60</v>
      </c>
      <c r="Q16" s="14">
        <f t="shared" si="29"/>
        <v>60</v>
      </c>
      <c r="R16" s="10">
        <f t="shared" si="30"/>
        <v>256.52</v>
      </c>
      <c r="S16" s="10">
        <f t="shared" si="31"/>
        <v>196.51999999999998</v>
      </c>
      <c r="T16" s="13">
        <v>60</v>
      </c>
      <c r="U16" s="13">
        <v>9</v>
      </c>
      <c r="V16" s="13">
        <v>0</v>
      </c>
      <c r="W16" s="13">
        <f t="shared" si="56"/>
        <v>9</v>
      </c>
      <c r="X16" s="10">
        <f t="shared" si="32"/>
        <v>247.51999999999998</v>
      </c>
      <c r="Y16" s="14">
        <f t="shared" si="33"/>
        <v>0</v>
      </c>
      <c r="Z16" s="14"/>
      <c r="AA16" s="14">
        <f t="shared" si="34"/>
        <v>0</v>
      </c>
      <c r="AB16" s="10">
        <f t="shared" si="35"/>
        <v>247.51999999999998</v>
      </c>
      <c r="AC16" s="10">
        <f t="shared" si="36"/>
        <v>247.51999999999998</v>
      </c>
      <c r="AD16" s="10">
        <v>0</v>
      </c>
      <c r="AE16" s="13">
        <v>2.02</v>
      </c>
      <c r="AF16" s="13">
        <v>0</v>
      </c>
      <c r="AG16" s="13">
        <f t="shared" si="57"/>
        <v>2.02</v>
      </c>
      <c r="AH16" s="10">
        <f t="shared" si="37"/>
        <v>245.49999999999997</v>
      </c>
      <c r="AI16" s="10">
        <v>0</v>
      </c>
      <c r="AJ16" s="10">
        <f t="shared" si="38"/>
        <v>245.49999999999997</v>
      </c>
      <c r="AK16" s="10">
        <f t="shared" si="39"/>
        <v>245.49999999999997</v>
      </c>
      <c r="AL16" s="10">
        <v>0</v>
      </c>
      <c r="AM16" s="10">
        <v>9.51</v>
      </c>
      <c r="AN16" s="10">
        <v>0</v>
      </c>
      <c r="AO16" s="10">
        <f t="shared" si="58"/>
        <v>9.51</v>
      </c>
      <c r="AP16" s="10">
        <f t="shared" si="40"/>
        <v>235.98999999999998</v>
      </c>
      <c r="AQ16" s="10">
        <f t="shared" si="41"/>
        <v>0</v>
      </c>
      <c r="AR16" s="10">
        <v>0</v>
      </c>
      <c r="AS16" s="10">
        <f t="shared" si="42"/>
        <v>235.98999999999998</v>
      </c>
      <c r="AT16" s="10">
        <f t="shared" si="43"/>
        <v>235.98999999999998</v>
      </c>
      <c r="AU16" s="10">
        <v>0.12000000000000011</v>
      </c>
      <c r="AV16" s="10">
        <v>33.9</v>
      </c>
      <c r="AW16" s="10">
        <v>2.35</v>
      </c>
      <c r="AX16" s="10">
        <f t="shared" si="59"/>
        <v>31.549999999999997</v>
      </c>
      <c r="AY16" s="10">
        <f t="shared" si="44"/>
        <v>204.55999999999997</v>
      </c>
      <c r="AZ16" s="10">
        <f t="shared" si="45"/>
        <v>0</v>
      </c>
      <c r="BA16" s="10">
        <f t="shared" si="46"/>
        <v>204.55999999999997</v>
      </c>
      <c r="BB16" s="10">
        <f t="shared" si="47"/>
        <v>204.55999999999997</v>
      </c>
      <c r="BC16" s="10">
        <v>0</v>
      </c>
      <c r="BD16" s="10">
        <v>29.78</v>
      </c>
      <c r="BE16" s="10">
        <v>3.78</v>
      </c>
      <c r="BF16" s="10">
        <f t="shared" si="48"/>
        <v>26</v>
      </c>
      <c r="BG16" s="10">
        <f t="shared" si="49"/>
        <v>178.55999999999997</v>
      </c>
      <c r="BH16" s="10">
        <f t="shared" si="50"/>
        <v>0</v>
      </c>
      <c r="BI16" s="10">
        <f t="shared" si="51"/>
        <v>178.55999999999997</v>
      </c>
      <c r="BJ16" s="20">
        <f t="shared" si="60"/>
        <v>178.55999999999997</v>
      </c>
      <c r="BK16" s="13">
        <v>0</v>
      </c>
      <c r="BL16" s="13">
        <v>16</v>
      </c>
      <c r="BM16" s="13">
        <v>1.74</v>
      </c>
      <c r="BN16" s="13">
        <f t="shared" si="61"/>
        <v>14.26</v>
      </c>
      <c r="BO16" s="10">
        <f t="shared" si="62"/>
        <v>164.29999999999998</v>
      </c>
      <c r="BP16" s="13">
        <v>0</v>
      </c>
      <c r="BQ16" s="13">
        <v>0</v>
      </c>
      <c r="BR16" s="13">
        <f t="shared" si="63"/>
        <v>0</v>
      </c>
      <c r="BS16" s="10">
        <f t="shared" si="64"/>
        <v>164.29999999999998</v>
      </c>
      <c r="BV16" s="10">
        <f t="shared" si="65"/>
        <v>134.43</v>
      </c>
      <c r="BW16" s="10">
        <f t="shared" si="66"/>
        <v>4.09</v>
      </c>
      <c r="BX16" s="10">
        <f t="shared" si="52"/>
        <v>130.34</v>
      </c>
    </row>
    <row r="17" spans="1:76" x14ac:dyDescent="0.25">
      <c r="A17" s="16" t="s">
        <v>32</v>
      </c>
      <c r="B17" s="16" t="s">
        <v>210</v>
      </c>
      <c r="C17" s="15" t="s">
        <v>145</v>
      </c>
      <c r="D17" s="9" t="s">
        <v>92</v>
      </c>
      <c r="E17" s="12">
        <v>60</v>
      </c>
      <c r="F17" s="11">
        <v>150</v>
      </c>
      <c r="G17" s="13">
        <f t="shared" si="53"/>
        <v>116.55</v>
      </c>
      <c r="H17" s="13">
        <f t="shared" si="54"/>
        <v>6993</v>
      </c>
      <c r="I17" s="10">
        <v>0</v>
      </c>
      <c r="J17" s="13">
        <v>205</v>
      </c>
      <c r="K17" s="13">
        <v>17</v>
      </c>
      <c r="L17" s="13">
        <v>0</v>
      </c>
      <c r="M17" s="13">
        <f t="shared" si="55"/>
        <v>17</v>
      </c>
      <c r="N17" s="10">
        <f t="shared" si="28"/>
        <v>188</v>
      </c>
      <c r="O17" s="14">
        <v>0</v>
      </c>
      <c r="P17" s="14">
        <v>45</v>
      </c>
      <c r="Q17" s="14">
        <f t="shared" si="29"/>
        <v>45</v>
      </c>
      <c r="R17" s="10">
        <f t="shared" si="30"/>
        <v>233</v>
      </c>
      <c r="S17" s="10">
        <f t="shared" si="31"/>
        <v>188</v>
      </c>
      <c r="T17" s="13">
        <v>45</v>
      </c>
      <c r="U17" s="13">
        <v>2</v>
      </c>
      <c r="V17" s="13">
        <v>0</v>
      </c>
      <c r="W17" s="13">
        <f t="shared" si="56"/>
        <v>2</v>
      </c>
      <c r="X17" s="10">
        <f t="shared" si="32"/>
        <v>231</v>
      </c>
      <c r="Y17" s="14">
        <f t="shared" si="33"/>
        <v>0</v>
      </c>
      <c r="Z17" s="14"/>
      <c r="AA17" s="14">
        <f t="shared" si="34"/>
        <v>0</v>
      </c>
      <c r="AB17" s="10">
        <f t="shared" si="35"/>
        <v>231</v>
      </c>
      <c r="AC17" s="10">
        <f t="shared" si="36"/>
        <v>231</v>
      </c>
      <c r="AD17" s="10">
        <v>0</v>
      </c>
      <c r="AE17" s="13">
        <v>0.21</v>
      </c>
      <c r="AF17" s="13">
        <v>0</v>
      </c>
      <c r="AG17" s="13">
        <f t="shared" si="57"/>
        <v>0.21</v>
      </c>
      <c r="AH17" s="10">
        <f t="shared" si="37"/>
        <v>230.79</v>
      </c>
      <c r="AI17" s="10">
        <v>0</v>
      </c>
      <c r="AJ17" s="10">
        <f t="shared" si="38"/>
        <v>230.79</v>
      </c>
      <c r="AK17" s="10">
        <f t="shared" si="39"/>
        <v>230.79</v>
      </c>
      <c r="AL17" s="10">
        <v>0</v>
      </c>
      <c r="AM17" s="10">
        <v>2.35</v>
      </c>
      <c r="AN17" s="10">
        <v>0</v>
      </c>
      <c r="AO17" s="10">
        <f t="shared" si="58"/>
        <v>2.35</v>
      </c>
      <c r="AP17" s="10">
        <f t="shared" si="40"/>
        <v>228.44</v>
      </c>
      <c r="AQ17" s="10">
        <f t="shared" si="41"/>
        <v>0</v>
      </c>
      <c r="AR17" s="10">
        <v>0</v>
      </c>
      <c r="AS17" s="10">
        <f t="shared" si="42"/>
        <v>228.44</v>
      </c>
      <c r="AT17" s="10">
        <f t="shared" si="43"/>
        <v>228.44</v>
      </c>
      <c r="AU17" s="10">
        <v>0</v>
      </c>
      <c r="AV17" s="10">
        <v>13</v>
      </c>
      <c r="AW17" s="10">
        <v>1.33</v>
      </c>
      <c r="AX17" s="10">
        <f t="shared" si="59"/>
        <v>11.67</v>
      </c>
      <c r="AY17" s="10">
        <f t="shared" si="44"/>
        <v>216.77</v>
      </c>
      <c r="AZ17" s="10">
        <f t="shared" si="45"/>
        <v>0</v>
      </c>
      <c r="BA17" s="10">
        <f t="shared" si="46"/>
        <v>216.77</v>
      </c>
      <c r="BB17" s="10">
        <f t="shared" si="47"/>
        <v>216.77</v>
      </c>
      <c r="BC17" s="10">
        <v>0</v>
      </c>
      <c r="BD17" s="10">
        <v>12</v>
      </c>
      <c r="BE17" s="10">
        <v>0</v>
      </c>
      <c r="BF17" s="10">
        <f t="shared" si="48"/>
        <v>12</v>
      </c>
      <c r="BG17" s="10">
        <f t="shared" si="49"/>
        <v>204.77</v>
      </c>
      <c r="BH17" s="10">
        <f t="shared" si="50"/>
        <v>0</v>
      </c>
      <c r="BI17" s="10">
        <f t="shared" si="51"/>
        <v>204.77</v>
      </c>
      <c r="BJ17" s="20">
        <f t="shared" si="60"/>
        <v>204.77</v>
      </c>
      <c r="BK17" s="13">
        <v>0</v>
      </c>
      <c r="BL17" s="13">
        <v>3.17</v>
      </c>
      <c r="BM17" s="13">
        <v>0</v>
      </c>
      <c r="BN17" s="13">
        <f t="shared" si="61"/>
        <v>3.17</v>
      </c>
      <c r="BO17" s="10">
        <f t="shared" si="62"/>
        <v>201.60000000000002</v>
      </c>
      <c r="BP17" s="13">
        <v>0</v>
      </c>
      <c r="BQ17" s="13">
        <v>0</v>
      </c>
      <c r="BR17" s="13">
        <f t="shared" si="63"/>
        <v>0</v>
      </c>
      <c r="BS17" s="10">
        <f t="shared" si="64"/>
        <v>201.60000000000002</v>
      </c>
      <c r="BV17" s="10">
        <f t="shared" si="65"/>
        <v>37.730000000000004</v>
      </c>
      <c r="BW17" s="10">
        <f t="shared" si="66"/>
        <v>1.33</v>
      </c>
      <c r="BX17" s="10">
        <f t="shared" si="52"/>
        <v>36.400000000000006</v>
      </c>
    </row>
    <row r="18" spans="1:76" x14ac:dyDescent="0.25">
      <c r="A18" s="16" t="s">
        <v>70</v>
      </c>
      <c r="B18" s="16" t="s">
        <v>211</v>
      </c>
      <c r="C18" s="15" t="s">
        <v>148</v>
      </c>
      <c r="D18" s="9" t="s">
        <v>130</v>
      </c>
      <c r="E18" s="12">
        <v>40</v>
      </c>
      <c r="F18" s="11">
        <v>100</v>
      </c>
      <c r="G18" s="13">
        <f t="shared" si="53"/>
        <v>77.7</v>
      </c>
      <c r="H18" s="13">
        <f t="shared" si="54"/>
        <v>3108</v>
      </c>
      <c r="I18" s="10">
        <v>0</v>
      </c>
      <c r="J18" s="13">
        <v>80</v>
      </c>
      <c r="K18" s="13">
        <v>48</v>
      </c>
      <c r="L18" s="13">
        <v>0</v>
      </c>
      <c r="M18" s="13">
        <f t="shared" si="55"/>
        <v>48</v>
      </c>
      <c r="N18" s="10">
        <f t="shared" si="28"/>
        <v>32</v>
      </c>
      <c r="O18" s="14">
        <v>0</v>
      </c>
      <c r="P18" s="14">
        <v>20</v>
      </c>
      <c r="Q18" s="14">
        <f t="shared" si="29"/>
        <v>20</v>
      </c>
      <c r="R18" s="10">
        <f t="shared" si="30"/>
        <v>52</v>
      </c>
      <c r="S18" s="10">
        <f t="shared" si="31"/>
        <v>32</v>
      </c>
      <c r="T18" s="13">
        <v>20</v>
      </c>
      <c r="U18" s="13">
        <v>8</v>
      </c>
      <c r="V18" s="13">
        <v>0</v>
      </c>
      <c r="W18" s="13">
        <f t="shared" si="56"/>
        <v>8</v>
      </c>
      <c r="X18" s="10">
        <f t="shared" si="32"/>
        <v>44</v>
      </c>
      <c r="Y18" s="14">
        <f t="shared" si="33"/>
        <v>0</v>
      </c>
      <c r="Z18" s="14"/>
      <c r="AA18" s="14">
        <f t="shared" si="34"/>
        <v>0</v>
      </c>
      <c r="AB18" s="10">
        <f t="shared" si="35"/>
        <v>44</v>
      </c>
      <c r="AC18" s="10">
        <f t="shared" si="36"/>
        <v>44</v>
      </c>
      <c r="AD18" s="10">
        <v>0</v>
      </c>
      <c r="AE18" s="13">
        <v>43.41</v>
      </c>
      <c r="AF18" s="13">
        <v>0</v>
      </c>
      <c r="AG18" s="13">
        <f t="shared" si="57"/>
        <v>43.41</v>
      </c>
      <c r="AH18" s="10">
        <f t="shared" si="37"/>
        <v>0.59000000000000341</v>
      </c>
      <c r="AI18" s="10">
        <v>0</v>
      </c>
      <c r="AJ18" s="10">
        <f t="shared" si="38"/>
        <v>0.59000000000000341</v>
      </c>
      <c r="AK18" s="10">
        <f t="shared" si="39"/>
        <v>0.59000000000000341</v>
      </c>
      <c r="AL18" s="10">
        <v>0</v>
      </c>
      <c r="AM18" s="10">
        <v>0.53</v>
      </c>
      <c r="AN18" s="10">
        <v>0</v>
      </c>
      <c r="AO18" s="10">
        <f t="shared" si="58"/>
        <v>0.53</v>
      </c>
      <c r="AP18" s="10">
        <f t="shared" si="40"/>
        <v>6.0000000000003384E-2</v>
      </c>
      <c r="AQ18" s="10">
        <f t="shared" si="41"/>
        <v>0</v>
      </c>
      <c r="AR18" s="10">
        <v>150</v>
      </c>
      <c r="AS18" s="10">
        <f t="shared" si="42"/>
        <v>150.06</v>
      </c>
      <c r="AT18" s="10">
        <f t="shared" si="43"/>
        <v>6.0000000000003384E-2</v>
      </c>
      <c r="AU18" s="10">
        <v>7.9999999999999849E-2</v>
      </c>
      <c r="AV18" s="10">
        <v>1.1599999999999999</v>
      </c>
      <c r="AW18" s="10">
        <v>1.08</v>
      </c>
      <c r="AX18" s="10">
        <f t="shared" si="59"/>
        <v>7.9999999999999849E-2</v>
      </c>
      <c r="AY18" s="10">
        <f t="shared" si="44"/>
        <v>6.0000000000003384E-2</v>
      </c>
      <c r="AZ18" s="10">
        <f t="shared" si="45"/>
        <v>150</v>
      </c>
      <c r="BA18" s="10">
        <f t="shared" si="46"/>
        <v>150.06</v>
      </c>
      <c r="BB18" s="10">
        <f t="shared" si="47"/>
        <v>6.0000000000003384E-2</v>
      </c>
      <c r="BC18" s="10">
        <v>100</v>
      </c>
      <c r="BD18" s="10">
        <v>26</v>
      </c>
      <c r="BE18" s="10">
        <v>1</v>
      </c>
      <c r="BF18" s="10">
        <f t="shared" si="48"/>
        <v>25</v>
      </c>
      <c r="BG18" s="10">
        <f t="shared" si="49"/>
        <v>75.06</v>
      </c>
      <c r="BH18" s="10">
        <f t="shared" si="50"/>
        <v>50</v>
      </c>
      <c r="BI18" s="10">
        <f t="shared" si="51"/>
        <v>125.06</v>
      </c>
      <c r="BJ18" s="20">
        <f t="shared" si="60"/>
        <v>75.06</v>
      </c>
      <c r="BK18" s="13">
        <v>50</v>
      </c>
      <c r="BL18" s="13">
        <v>62.08</v>
      </c>
      <c r="BM18" s="13">
        <v>0</v>
      </c>
      <c r="BN18" s="13">
        <f t="shared" si="61"/>
        <v>62.08</v>
      </c>
      <c r="BO18" s="10">
        <f t="shared" si="62"/>
        <v>62.980000000000004</v>
      </c>
      <c r="BP18" s="13">
        <v>0</v>
      </c>
      <c r="BQ18" s="13">
        <v>100</v>
      </c>
      <c r="BR18" s="13">
        <f t="shared" si="63"/>
        <v>100</v>
      </c>
      <c r="BS18" s="10">
        <f t="shared" si="64"/>
        <v>162.98000000000002</v>
      </c>
      <c r="BV18" s="10">
        <f t="shared" si="65"/>
        <v>163.18</v>
      </c>
      <c r="BW18" s="10">
        <f t="shared" si="66"/>
        <v>1.08</v>
      </c>
      <c r="BX18" s="10">
        <f t="shared" si="52"/>
        <v>162.1</v>
      </c>
    </row>
    <row r="19" spans="1:76" x14ac:dyDescent="0.25">
      <c r="A19" s="16" t="s">
        <v>71</v>
      </c>
      <c r="B19" s="16" t="s">
        <v>212</v>
      </c>
      <c r="C19" s="15" t="s">
        <v>148</v>
      </c>
      <c r="D19" s="9" t="s">
        <v>131</v>
      </c>
      <c r="E19" s="12">
        <v>40</v>
      </c>
      <c r="F19" s="11">
        <v>100</v>
      </c>
      <c r="G19" s="13">
        <f t="shared" si="53"/>
        <v>77.7</v>
      </c>
      <c r="H19" s="13">
        <f t="shared" si="54"/>
        <v>3108</v>
      </c>
      <c r="I19" s="10">
        <v>0</v>
      </c>
      <c r="J19" s="13">
        <v>45</v>
      </c>
      <c r="K19" s="13">
        <v>45</v>
      </c>
      <c r="L19" s="13">
        <v>0</v>
      </c>
      <c r="M19" s="13">
        <f t="shared" si="55"/>
        <v>45</v>
      </c>
      <c r="N19" s="10">
        <f t="shared" si="28"/>
        <v>0</v>
      </c>
      <c r="O19" s="14">
        <v>100</v>
      </c>
      <c r="P19" s="14">
        <v>5</v>
      </c>
      <c r="Q19" s="14">
        <f t="shared" si="29"/>
        <v>105</v>
      </c>
      <c r="R19" s="10">
        <f t="shared" si="30"/>
        <v>105</v>
      </c>
      <c r="S19" s="10">
        <f t="shared" si="31"/>
        <v>0</v>
      </c>
      <c r="T19" s="13">
        <v>105</v>
      </c>
      <c r="U19" s="13">
        <v>18</v>
      </c>
      <c r="V19" s="13">
        <v>0</v>
      </c>
      <c r="W19" s="13">
        <f t="shared" si="56"/>
        <v>18</v>
      </c>
      <c r="X19" s="10">
        <f t="shared" si="32"/>
        <v>87</v>
      </c>
      <c r="Y19" s="14">
        <f t="shared" si="33"/>
        <v>0</v>
      </c>
      <c r="Z19" s="14"/>
      <c r="AA19" s="14">
        <f t="shared" si="34"/>
        <v>0</v>
      </c>
      <c r="AB19" s="10">
        <f t="shared" si="35"/>
        <v>87</v>
      </c>
      <c r="AC19" s="10">
        <f t="shared" si="36"/>
        <v>87</v>
      </c>
      <c r="AD19" s="10">
        <v>0</v>
      </c>
      <c r="AE19" s="13">
        <v>86.03</v>
      </c>
      <c r="AF19" s="13">
        <v>0</v>
      </c>
      <c r="AG19" s="13">
        <f t="shared" si="57"/>
        <v>86.03</v>
      </c>
      <c r="AH19" s="10">
        <f t="shared" si="37"/>
        <v>0.96999999999999886</v>
      </c>
      <c r="AI19" s="10">
        <v>250</v>
      </c>
      <c r="AJ19" s="10">
        <f t="shared" si="38"/>
        <v>250.97</v>
      </c>
      <c r="AK19" s="10">
        <f t="shared" si="39"/>
        <v>0.96999999999999886</v>
      </c>
      <c r="AL19" s="10">
        <v>100</v>
      </c>
      <c r="AM19" s="10">
        <v>78.53</v>
      </c>
      <c r="AN19" s="10">
        <v>0</v>
      </c>
      <c r="AO19" s="10">
        <f t="shared" si="58"/>
        <v>78.53</v>
      </c>
      <c r="AP19" s="10">
        <f t="shared" si="40"/>
        <v>22.439999999999998</v>
      </c>
      <c r="AQ19" s="10">
        <f t="shared" si="41"/>
        <v>150</v>
      </c>
      <c r="AR19" s="10">
        <v>200</v>
      </c>
      <c r="AS19" s="10">
        <f t="shared" si="42"/>
        <v>372.44</v>
      </c>
      <c r="AT19" s="10">
        <f t="shared" si="43"/>
        <v>22.439999999999998</v>
      </c>
      <c r="AU19" s="10">
        <v>150</v>
      </c>
      <c r="AV19" s="10">
        <v>65</v>
      </c>
      <c r="AW19" s="10">
        <v>2</v>
      </c>
      <c r="AX19" s="10">
        <f t="shared" si="59"/>
        <v>63</v>
      </c>
      <c r="AY19" s="10">
        <f t="shared" si="44"/>
        <v>109.44</v>
      </c>
      <c r="AZ19" s="10">
        <f t="shared" si="45"/>
        <v>200</v>
      </c>
      <c r="BA19" s="10">
        <f t="shared" si="46"/>
        <v>309.44</v>
      </c>
      <c r="BB19" s="10">
        <f t="shared" si="47"/>
        <v>109.44</v>
      </c>
      <c r="BC19" s="10">
        <v>75</v>
      </c>
      <c r="BD19" s="10">
        <v>54</v>
      </c>
      <c r="BE19" s="10">
        <v>1</v>
      </c>
      <c r="BF19" s="10">
        <f t="shared" si="48"/>
        <v>53</v>
      </c>
      <c r="BG19" s="10">
        <f t="shared" si="49"/>
        <v>131.44</v>
      </c>
      <c r="BH19" s="10">
        <f t="shared" si="50"/>
        <v>125</v>
      </c>
      <c r="BI19" s="10">
        <f t="shared" si="51"/>
        <v>256.44</v>
      </c>
      <c r="BJ19" s="20">
        <f t="shared" si="60"/>
        <v>131.44</v>
      </c>
      <c r="BK19" s="13">
        <v>125</v>
      </c>
      <c r="BL19" s="13">
        <v>66</v>
      </c>
      <c r="BM19" s="13">
        <v>0</v>
      </c>
      <c r="BN19" s="13">
        <f t="shared" si="61"/>
        <v>66</v>
      </c>
      <c r="BO19" s="10">
        <f t="shared" si="62"/>
        <v>190.44</v>
      </c>
      <c r="BP19" s="13">
        <v>0</v>
      </c>
      <c r="BQ19" s="13">
        <v>50</v>
      </c>
      <c r="BR19" s="13">
        <f t="shared" si="63"/>
        <v>50</v>
      </c>
      <c r="BS19" s="10">
        <f t="shared" si="64"/>
        <v>240.44</v>
      </c>
      <c r="BV19" s="10">
        <f t="shared" si="65"/>
        <v>358.56</v>
      </c>
      <c r="BW19" s="10">
        <f t="shared" si="66"/>
        <v>2</v>
      </c>
      <c r="BX19" s="10">
        <f t="shared" si="52"/>
        <v>356.56</v>
      </c>
    </row>
    <row r="20" spans="1:76" x14ac:dyDescent="0.25">
      <c r="A20" s="16" t="s">
        <v>68</v>
      </c>
      <c r="B20" s="16" t="s">
        <v>213</v>
      </c>
      <c r="C20" s="15" t="s">
        <v>148</v>
      </c>
      <c r="D20" s="9" t="s">
        <v>128</v>
      </c>
      <c r="E20" s="12">
        <v>800</v>
      </c>
      <c r="F20" s="11">
        <v>10</v>
      </c>
      <c r="G20" s="13">
        <f t="shared" si="53"/>
        <v>7.77</v>
      </c>
      <c r="H20" s="13">
        <f t="shared" si="54"/>
        <v>6216</v>
      </c>
      <c r="I20" s="10">
        <v>0</v>
      </c>
      <c r="J20" s="13">
        <v>45</v>
      </c>
      <c r="K20" s="13">
        <v>22</v>
      </c>
      <c r="L20" s="13">
        <v>0</v>
      </c>
      <c r="M20" s="13">
        <f t="shared" si="55"/>
        <v>22</v>
      </c>
      <c r="N20" s="10">
        <f t="shared" si="28"/>
        <v>23</v>
      </c>
      <c r="O20" s="14">
        <v>50</v>
      </c>
      <c r="P20" s="14">
        <v>5</v>
      </c>
      <c r="Q20" s="14">
        <f t="shared" si="29"/>
        <v>55</v>
      </c>
      <c r="R20" s="10">
        <f t="shared" si="30"/>
        <v>78</v>
      </c>
      <c r="S20" s="10">
        <f t="shared" si="31"/>
        <v>23</v>
      </c>
      <c r="T20" s="13">
        <v>55</v>
      </c>
      <c r="U20" s="13">
        <v>2</v>
      </c>
      <c r="V20" s="13">
        <v>0</v>
      </c>
      <c r="W20" s="13">
        <f t="shared" si="56"/>
        <v>2</v>
      </c>
      <c r="X20" s="10">
        <f t="shared" si="32"/>
        <v>76</v>
      </c>
      <c r="Y20" s="14">
        <f t="shared" si="33"/>
        <v>0</v>
      </c>
      <c r="Z20" s="14">
        <v>250</v>
      </c>
      <c r="AA20" s="14">
        <f t="shared" si="34"/>
        <v>250</v>
      </c>
      <c r="AB20" s="10">
        <f t="shared" si="35"/>
        <v>326</v>
      </c>
      <c r="AC20" s="10">
        <f t="shared" si="36"/>
        <v>76</v>
      </c>
      <c r="AD20" s="10">
        <v>0</v>
      </c>
      <c r="AE20" s="13">
        <v>3</v>
      </c>
      <c r="AF20" s="13">
        <v>0</v>
      </c>
      <c r="AG20" s="13">
        <f t="shared" si="57"/>
        <v>3</v>
      </c>
      <c r="AH20" s="10">
        <f t="shared" si="37"/>
        <v>73</v>
      </c>
      <c r="AI20" s="10">
        <v>0</v>
      </c>
      <c r="AJ20" s="10">
        <f t="shared" si="38"/>
        <v>73</v>
      </c>
      <c r="AK20" s="10">
        <f t="shared" si="39"/>
        <v>73</v>
      </c>
      <c r="AL20" s="10">
        <v>0</v>
      </c>
      <c r="AM20" s="10">
        <v>10</v>
      </c>
      <c r="AN20" s="10">
        <v>2</v>
      </c>
      <c r="AO20" s="10">
        <f t="shared" si="58"/>
        <v>8</v>
      </c>
      <c r="AP20" s="10">
        <f t="shared" si="40"/>
        <v>65</v>
      </c>
      <c r="AQ20" s="10">
        <f t="shared" si="41"/>
        <v>0</v>
      </c>
      <c r="AR20" s="10">
        <v>0</v>
      </c>
      <c r="AS20" s="10">
        <f t="shared" si="42"/>
        <v>65</v>
      </c>
      <c r="AT20" s="10">
        <f t="shared" si="43"/>
        <v>65</v>
      </c>
      <c r="AU20" s="10">
        <v>0</v>
      </c>
      <c r="AV20" s="10">
        <v>18.64</v>
      </c>
      <c r="AW20" s="10">
        <v>3.35</v>
      </c>
      <c r="AX20" s="10">
        <f t="shared" si="59"/>
        <v>15.290000000000001</v>
      </c>
      <c r="AY20" s="10">
        <f t="shared" si="44"/>
        <v>49.71</v>
      </c>
      <c r="AZ20" s="10">
        <f t="shared" si="45"/>
        <v>0</v>
      </c>
      <c r="BA20" s="10">
        <f t="shared" si="46"/>
        <v>49.71</v>
      </c>
      <c r="BB20" s="10">
        <f t="shared" si="47"/>
        <v>49.71</v>
      </c>
      <c r="BC20" s="10">
        <v>0</v>
      </c>
      <c r="BD20" s="10">
        <v>20</v>
      </c>
      <c r="BE20" s="10">
        <v>0</v>
      </c>
      <c r="BF20" s="10">
        <f t="shared" si="48"/>
        <v>20</v>
      </c>
      <c r="BG20" s="10">
        <f t="shared" si="49"/>
        <v>29.71</v>
      </c>
      <c r="BH20" s="10">
        <f t="shared" si="50"/>
        <v>0</v>
      </c>
      <c r="BI20" s="10">
        <f t="shared" si="51"/>
        <v>29.71</v>
      </c>
      <c r="BJ20" s="20">
        <f t="shared" si="60"/>
        <v>29.71</v>
      </c>
      <c r="BK20" s="13">
        <v>0</v>
      </c>
      <c r="BL20" s="13">
        <v>5</v>
      </c>
      <c r="BM20" s="13">
        <v>0.86</v>
      </c>
      <c r="BN20" s="13">
        <f t="shared" si="61"/>
        <v>4.1399999999999997</v>
      </c>
      <c r="BO20" s="10">
        <f t="shared" si="62"/>
        <v>25.57</v>
      </c>
      <c r="BP20" s="13">
        <v>0</v>
      </c>
      <c r="BQ20" s="13">
        <v>0</v>
      </c>
      <c r="BR20" s="13">
        <f t="shared" si="63"/>
        <v>0</v>
      </c>
      <c r="BS20" s="10">
        <f t="shared" si="64"/>
        <v>25.57</v>
      </c>
      <c r="BV20" s="10">
        <f t="shared" si="65"/>
        <v>60.64</v>
      </c>
      <c r="BW20" s="10">
        <f t="shared" si="66"/>
        <v>6.21</v>
      </c>
      <c r="BX20" s="10">
        <f t="shared" si="52"/>
        <v>54.43</v>
      </c>
    </row>
    <row r="21" spans="1:76" x14ac:dyDescent="0.25">
      <c r="A21" s="16" t="s">
        <v>69</v>
      </c>
      <c r="B21" s="16" t="s">
        <v>214</v>
      </c>
      <c r="C21" s="15" t="s">
        <v>148</v>
      </c>
      <c r="D21" s="9" t="s">
        <v>129</v>
      </c>
      <c r="E21" s="12">
        <v>40</v>
      </c>
      <c r="F21" s="11">
        <v>100</v>
      </c>
      <c r="G21" s="13">
        <f t="shared" si="53"/>
        <v>77.7</v>
      </c>
      <c r="H21" s="13">
        <f t="shared" si="54"/>
        <v>3108</v>
      </c>
      <c r="I21" s="10">
        <v>0</v>
      </c>
      <c r="J21" s="13">
        <v>45</v>
      </c>
      <c r="K21" s="13">
        <v>38</v>
      </c>
      <c r="L21" s="13">
        <v>0</v>
      </c>
      <c r="M21" s="13">
        <f t="shared" si="55"/>
        <v>38</v>
      </c>
      <c r="N21" s="10">
        <f t="shared" si="28"/>
        <v>7</v>
      </c>
      <c r="O21" s="14">
        <v>0</v>
      </c>
      <c r="P21" s="14">
        <v>5</v>
      </c>
      <c r="Q21" s="14">
        <f t="shared" si="29"/>
        <v>5</v>
      </c>
      <c r="R21" s="10">
        <f t="shared" si="30"/>
        <v>12</v>
      </c>
      <c r="S21" s="10">
        <f t="shared" si="31"/>
        <v>7</v>
      </c>
      <c r="T21" s="13">
        <v>5</v>
      </c>
      <c r="U21" s="13">
        <v>8</v>
      </c>
      <c r="V21" s="13">
        <v>0</v>
      </c>
      <c r="W21" s="13">
        <f t="shared" si="56"/>
        <v>8</v>
      </c>
      <c r="X21" s="10">
        <f t="shared" si="32"/>
        <v>4</v>
      </c>
      <c r="Y21" s="14">
        <f t="shared" si="33"/>
        <v>0</v>
      </c>
      <c r="Z21" s="14">
        <v>50</v>
      </c>
      <c r="AA21" s="14">
        <f t="shared" si="34"/>
        <v>50</v>
      </c>
      <c r="AB21" s="10">
        <f t="shared" si="35"/>
        <v>54</v>
      </c>
      <c r="AC21" s="10">
        <f t="shared" si="36"/>
        <v>4</v>
      </c>
      <c r="AD21" s="10">
        <v>0</v>
      </c>
      <c r="AE21" s="13">
        <v>3.13</v>
      </c>
      <c r="AF21" s="13">
        <v>0</v>
      </c>
      <c r="AG21" s="13">
        <f t="shared" si="57"/>
        <v>3.13</v>
      </c>
      <c r="AH21" s="10">
        <f t="shared" si="37"/>
        <v>0.87000000000000011</v>
      </c>
      <c r="AI21" s="10">
        <v>50</v>
      </c>
      <c r="AJ21" s="10">
        <f t="shared" si="38"/>
        <v>50.87</v>
      </c>
      <c r="AK21" s="10">
        <f t="shared" si="39"/>
        <v>0.87000000000000011</v>
      </c>
      <c r="AL21" s="10">
        <v>25</v>
      </c>
      <c r="AM21" s="10">
        <v>24.78</v>
      </c>
      <c r="AN21" s="10">
        <v>0</v>
      </c>
      <c r="AO21" s="10">
        <f t="shared" si="58"/>
        <v>24.78</v>
      </c>
      <c r="AP21" s="10">
        <f t="shared" si="40"/>
        <v>1.0899999999999999</v>
      </c>
      <c r="AQ21" s="10">
        <f t="shared" si="41"/>
        <v>25</v>
      </c>
      <c r="AR21" s="10">
        <v>150</v>
      </c>
      <c r="AS21" s="10">
        <f t="shared" si="42"/>
        <v>176.09</v>
      </c>
      <c r="AT21" s="10">
        <f t="shared" si="43"/>
        <v>1.0899999999999999</v>
      </c>
      <c r="AU21" s="10">
        <v>25</v>
      </c>
      <c r="AV21" s="10">
        <v>25.33</v>
      </c>
      <c r="AW21" s="10">
        <v>1.33</v>
      </c>
      <c r="AX21" s="10">
        <f t="shared" si="59"/>
        <v>24</v>
      </c>
      <c r="AY21" s="10">
        <f t="shared" si="44"/>
        <v>2.0900000000000016</v>
      </c>
      <c r="AZ21" s="10">
        <f t="shared" si="45"/>
        <v>150</v>
      </c>
      <c r="BA21" s="10">
        <f t="shared" si="46"/>
        <v>152.09</v>
      </c>
      <c r="BB21" s="10">
        <f t="shared" si="47"/>
        <v>2.0900000000000016</v>
      </c>
      <c r="BC21" s="10">
        <v>75</v>
      </c>
      <c r="BD21" s="10">
        <v>26</v>
      </c>
      <c r="BE21" s="10">
        <v>2</v>
      </c>
      <c r="BF21" s="10">
        <f t="shared" si="48"/>
        <v>24</v>
      </c>
      <c r="BG21" s="10">
        <f t="shared" si="49"/>
        <v>53.09</v>
      </c>
      <c r="BH21" s="10">
        <f t="shared" si="50"/>
        <v>75</v>
      </c>
      <c r="BI21" s="10">
        <f t="shared" si="51"/>
        <v>128.09</v>
      </c>
      <c r="BJ21" s="20">
        <f t="shared" si="60"/>
        <v>53.09</v>
      </c>
      <c r="BK21" s="13">
        <v>75</v>
      </c>
      <c r="BL21" s="13">
        <v>60</v>
      </c>
      <c r="BM21" s="13">
        <v>0</v>
      </c>
      <c r="BN21" s="13">
        <f t="shared" si="61"/>
        <v>60</v>
      </c>
      <c r="BO21" s="10">
        <f t="shared" si="62"/>
        <v>68.09</v>
      </c>
      <c r="BP21" s="13">
        <v>0</v>
      </c>
      <c r="BQ21" s="13">
        <v>100</v>
      </c>
      <c r="BR21" s="13">
        <f t="shared" si="63"/>
        <v>100</v>
      </c>
      <c r="BS21" s="10">
        <f t="shared" si="64"/>
        <v>168.09</v>
      </c>
      <c r="BV21" s="10">
        <f t="shared" si="65"/>
        <v>159.24</v>
      </c>
      <c r="BW21" s="10">
        <f t="shared" si="66"/>
        <v>1.33</v>
      </c>
      <c r="BX21" s="10">
        <f t="shared" si="52"/>
        <v>157.91</v>
      </c>
    </row>
    <row r="22" spans="1:76" x14ac:dyDescent="0.25">
      <c r="A22" s="16" t="s">
        <v>61</v>
      </c>
      <c r="B22" s="16" t="s">
        <v>215</v>
      </c>
      <c r="C22" s="15" t="s">
        <v>204</v>
      </c>
      <c r="D22" s="9" t="s">
        <v>121</v>
      </c>
      <c r="E22" s="12">
        <v>20</v>
      </c>
      <c r="F22" s="11">
        <v>335</v>
      </c>
      <c r="G22" s="13">
        <f t="shared" si="53"/>
        <v>260.3</v>
      </c>
      <c r="H22" s="13">
        <f t="shared" si="54"/>
        <v>5206</v>
      </c>
      <c r="I22" s="10">
        <v>0</v>
      </c>
      <c r="J22" s="13">
        <v>90</v>
      </c>
      <c r="K22" s="13">
        <v>72</v>
      </c>
      <c r="L22" s="13">
        <v>0</v>
      </c>
      <c r="M22" s="13">
        <f t="shared" si="55"/>
        <v>72</v>
      </c>
      <c r="N22" s="10">
        <f t="shared" si="28"/>
        <v>18</v>
      </c>
      <c r="O22" s="14">
        <v>225</v>
      </c>
      <c r="P22" s="14">
        <v>10</v>
      </c>
      <c r="Q22" s="14">
        <f t="shared" si="29"/>
        <v>235</v>
      </c>
      <c r="R22" s="10">
        <f t="shared" si="30"/>
        <v>253</v>
      </c>
      <c r="S22" s="10">
        <f t="shared" si="31"/>
        <v>18</v>
      </c>
      <c r="T22" s="13">
        <v>110</v>
      </c>
      <c r="U22" s="13">
        <v>47.6</v>
      </c>
      <c r="V22" s="13">
        <v>0</v>
      </c>
      <c r="W22" s="13">
        <f t="shared" si="56"/>
        <v>47.6</v>
      </c>
      <c r="X22" s="10">
        <f t="shared" si="32"/>
        <v>80.400000000000006</v>
      </c>
      <c r="Y22" s="14">
        <f t="shared" si="33"/>
        <v>125</v>
      </c>
      <c r="Z22" s="14">
        <v>125</v>
      </c>
      <c r="AA22" s="14">
        <f t="shared" si="34"/>
        <v>250</v>
      </c>
      <c r="AB22" s="10">
        <f t="shared" si="35"/>
        <v>330.4</v>
      </c>
      <c r="AC22" s="10">
        <f t="shared" si="36"/>
        <v>80.400000000000006</v>
      </c>
      <c r="AD22" s="10">
        <v>125</v>
      </c>
      <c r="AE22" s="13">
        <v>5.4</v>
      </c>
      <c r="AF22" s="13">
        <v>0</v>
      </c>
      <c r="AG22" s="13">
        <f t="shared" si="57"/>
        <v>5.4</v>
      </c>
      <c r="AH22" s="10">
        <f t="shared" si="37"/>
        <v>200</v>
      </c>
      <c r="AI22" s="10">
        <v>125</v>
      </c>
      <c r="AJ22" s="10">
        <f t="shared" si="38"/>
        <v>325</v>
      </c>
      <c r="AK22" s="10">
        <f t="shared" si="39"/>
        <v>200</v>
      </c>
      <c r="AL22" s="10">
        <v>75</v>
      </c>
      <c r="AM22" s="10">
        <v>59.05</v>
      </c>
      <c r="AN22" s="10">
        <v>0</v>
      </c>
      <c r="AO22" s="10">
        <f t="shared" si="58"/>
        <v>59.05</v>
      </c>
      <c r="AP22" s="10">
        <f t="shared" si="40"/>
        <v>215.95</v>
      </c>
      <c r="AQ22" s="10">
        <f t="shared" si="41"/>
        <v>50</v>
      </c>
      <c r="AR22" s="10">
        <v>0</v>
      </c>
      <c r="AS22" s="10">
        <f t="shared" si="42"/>
        <v>265.95</v>
      </c>
      <c r="AT22" s="10">
        <f t="shared" si="43"/>
        <v>215.95</v>
      </c>
      <c r="AU22" s="10">
        <v>50</v>
      </c>
      <c r="AV22" s="10">
        <v>47.7</v>
      </c>
      <c r="AW22" s="10">
        <v>3.7</v>
      </c>
      <c r="AX22" s="10">
        <f t="shared" si="59"/>
        <v>44</v>
      </c>
      <c r="AY22" s="10">
        <f t="shared" si="44"/>
        <v>221.95</v>
      </c>
      <c r="AZ22" s="10">
        <f t="shared" si="45"/>
        <v>0</v>
      </c>
      <c r="BA22" s="10">
        <f t="shared" si="46"/>
        <v>221.95</v>
      </c>
      <c r="BB22" s="10">
        <f t="shared" si="47"/>
        <v>221.95</v>
      </c>
      <c r="BC22" s="10">
        <v>0</v>
      </c>
      <c r="BD22" s="10">
        <v>33.25</v>
      </c>
      <c r="BE22" s="10">
        <v>1</v>
      </c>
      <c r="BF22" s="10">
        <f t="shared" si="48"/>
        <v>32.25</v>
      </c>
      <c r="BG22" s="10">
        <f t="shared" si="49"/>
        <v>189.7</v>
      </c>
      <c r="BH22" s="10">
        <f t="shared" si="50"/>
        <v>0</v>
      </c>
      <c r="BI22" s="10">
        <f t="shared" si="51"/>
        <v>189.7</v>
      </c>
      <c r="BJ22" s="20">
        <f t="shared" si="60"/>
        <v>189.7</v>
      </c>
      <c r="BK22" s="13">
        <v>0</v>
      </c>
      <c r="BL22" s="13">
        <v>30</v>
      </c>
      <c r="BM22" s="13">
        <v>0</v>
      </c>
      <c r="BN22" s="13">
        <f t="shared" si="61"/>
        <v>30</v>
      </c>
      <c r="BO22" s="10">
        <f t="shared" si="62"/>
        <v>159.69999999999999</v>
      </c>
      <c r="BP22" s="13">
        <v>0</v>
      </c>
      <c r="BQ22" s="13">
        <v>0</v>
      </c>
      <c r="BR22" s="13">
        <f t="shared" si="63"/>
        <v>0</v>
      </c>
      <c r="BS22" s="10">
        <f t="shared" si="64"/>
        <v>159.69999999999999</v>
      </c>
      <c r="BV22" s="10">
        <f t="shared" si="65"/>
        <v>261.75</v>
      </c>
      <c r="BW22" s="10">
        <f t="shared" si="66"/>
        <v>3.7</v>
      </c>
      <c r="BX22" s="10">
        <f t="shared" si="52"/>
        <v>258.05</v>
      </c>
    </row>
    <row r="23" spans="1:76" x14ac:dyDescent="0.25">
      <c r="A23" s="16" t="s">
        <v>72</v>
      </c>
      <c r="B23" s="16" t="s">
        <v>216</v>
      </c>
      <c r="C23" s="15" t="s">
        <v>141</v>
      </c>
      <c r="D23" s="9" t="s">
        <v>132</v>
      </c>
      <c r="E23" s="12">
        <v>60</v>
      </c>
      <c r="F23" s="11">
        <v>195</v>
      </c>
      <c r="G23" s="13">
        <f t="shared" si="53"/>
        <v>151.52000000000001</v>
      </c>
      <c r="H23" s="13">
        <f t="shared" si="54"/>
        <v>9091.2000000000007</v>
      </c>
      <c r="I23" s="10">
        <v>0</v>
      </c>
      <c r="J23" s="13">
        <v>215</v>
      </c>
      <c r="K23" s="13">
        <v>48</v>
      </c>
      <c r="L23" s="13">
        <v>0</v>
      </c>
      <c r="M23" s="13">
        <f t="shared" si="55"/>
        <v>48</v>
      </c>
      <c r="N23" s="10">
        <f t="shared" si="28"/>
        <v>167</v>
      </c>
      <c r="O23" s="14">
        <v>25</v>
      </c>
      <c r="P23" s="14">
        <v>35</v>
      </c>
      <c r="Q23" s="14">
        <f t="shared" si="29"/>
        <v>60</v>
      </c>
      <c r="R23" s="10">
        <f t="shared" si="30"/>
        <v>227</v>
      </c>
      <c r="S23" s="10">
        <f t="shared" si="31"/>
        <v>167</v>
      </c>
      <c r="T23" s="13">
        <v>60</v>
      </c>
      <c r="U23" s="13">
        <v>19</v>
      </c>
      <c r="V23" s="13">
        <v>0</v>
      </c>
      <c r="W23" s="13">
        <f t="shared" si="56"/>
        <v>19</v>
      </c>
      <c r="X23" s="10">
        <f t="shared" si="32"/>
        <v>208</v>
      </c>
      <c r="Y23" s="14">
        <f t="shared" si="33"/>
        <v>0</v>
      </c>
      <c r="Z23" s="14"/>
      <c r="AA23" s="14">
        <f t="shared" si="34"/>
        <v>0</v>
      </c>
      <c r="AB23" s="10">
        <f t="shared" si="35"/>
        <v>208</v>
      </c>
      <c r="AC23" s="10">
        <f t="shared" si="36"/>
        <v>208</v>
      </c>
      <c r="AD23" s="10">
        <v>0</v>
      </c>
      <c r="AE23" s="13">
        <v>46.099999999999994</v>
      </c>
      <c r="AF23" s="13">
        <v>0</v>
      </c>
      <c r="AG23" s="13">
        <f t="shared" si="57"/>
        <v>46.099999999999994</v>
      </c>
      <c r="AH23" s="10">
        <f t="shared" si="37"/>
        <v>161.9</v>
      </c>
      <c r="AI23" s="10">
        <v>0</v>
      </c>
      <c r="AJ23" s="10">
        <f t="shared" si="38"/>
        <v>161.9</v>
      </c>
      <c r="AK23" s="10">
        <f t="shared" si="39"/>
        <v>161.9</v>
      </c>
      <c r="AL23" s="10">
        <v>0</v>
      </c>
      <c r="AM23" s="10">
        <v>19.02</v>
      </c>
      <c r="AN23" s="10">
        <v>0</v>
      </c>
      <c r="AO23" s="10">
        <f t="shared" si="58"/>
        <v>19.02</v>
      </c>
      <c r="AP23" s="10">
        <f t="shared" si="40"/>
        <v>142.88</v>
      </c>
      <c r="AQ23" s="10">
        <f t="shared" si="41"/>
        <v>0</v>
      </c>
      <c r="AR23" s="10">
        <v>0</v>
      </c>
      <c r="AS23" s="10">
        <f t="shared" si="42"/>
        <v>142.88</v>
      </c>
      <c r="AT23" s="10">
        <f t="shared" si="43"/>
        <v>142.88</v>
      </c>
      <c r="AU23" s="10">
        <v>0</v>
      </c>
      <c r="AV23" s="10">
        <v>23.75</v>
      </c>
      <c r="AW23" s="10">
        <v>1.41</v>
      </c>
      <c r="AX23" s="10">
        <f t="shared" si="59"/>
        <v>22.34</v>
      </c>
      <c r="AY23" s="10">
        <f t="shared" si="44"/>
        <v>120.53999999999999</v>
      </c>
      <c r="AZ23" s="10">
        <f t="shared" si="45"/>
        <v>0</v>
      </c>
      <c r="BA23" s="10">
        <f t="shared" si="46"/>
        <v>120.53999999999999</v>
      </c>
      <c r="BB23" s="10">
        <f t="shared" si="47"/>
        <v>120.53999999999999</v>
      </c>
      <c r="BC23" s="10">
        <v>0</v>
      </c>
      <c r="BD23" s="10">
        <v>24.63</v>
      </c>
      <c r="BE23" s="10">
        <v>1.55</v>
      </c>
      <c r="BF23" s="10">
        <f t="shared" si="48"/>
        <v>23.08</v>
      </c>
      <c r="BG23" s="10">
        <f t="shared" si="49"/>
        <v>97.46</v>
      </c>
      <c r="BH23" s="10">
        <f t="shared" si="50"/>
        <v>0</v>
      </c>
      <c r="BI23" s="10">
        <f t="shared" si="51"/>
        <v>97.46</v>
      </c>
      <c r="BJ23" s="20">
        <f t="shared" si="60"/>
        <v>97.46</v>
      </c>
      <c r="BK23" s="13">
        <v>0</v>
      </c>
      <c r="BL23" s="13">
        <v>20</v>
      </c>
      <c r="BM23" s="13">
        <v>1</v>
      </c>
      <c r="BN23" s="13">
        <f t="shared" si="61"/>
        <v>19</v>
      </c>
      <c r="BO23" s="10">
        <f t="shared" si="62"/>
        <v>78.459999999999994</v>
      </c>
      <c r="BP23" s="13">
        <v>0</v>
      </c>
      <c r="BQ23" s="13">
        <v>0</v>
      </c>
      <c r="BR23" s="13">
        <f t="shared" si="63"/>
        <v>0</v>
      </c>
      <c r="BS23" s="10">
        <f t="shared" si="64"/>
        <v>78.459999999999994</v>
      </c>
      <c r="BV23" s="10">
        <f t="shared" si="65"/>
        <v>175.87</v>
      </c>
      <c r="BW23" s="10">
        <f t="shared" si="66"/>
        <v>2.41</v>
      </c>
      <c r="BX23" s="10">
        <f t="shared" si="52"/>
        <v>173.46</v>
      </c>
    </row>
    <row r="24" spans="1:76" x14ac:dyDescent="0.25">
      <c r="A24" s="16" t="s">
        <v>23</v>
      </c>
      <c r="B24" s="16" t="s">
        <v>217</v>
      </c>
      <c r="C24" s="15" t="s">
        <v>141</v>
      </c>
      <c r="D24" s="9" t="s">
        <v>83</v>
      </c>
      <c r="E24" s="12">
        <v>30</v>
      </c>
      <c r="F24" s="11">
        <v>425</v>
      </c>
      <c r="G24" s="13">
        <f t="shared" si="53"/>
        <v>330.23</v>
      </c>
      <c r="H24" s="13">
        <f t="shared" si="54"/>
        <v>9906.9000000000015</v>
      </c>
      <c r="I24" s="10">
        <v>12.67</v>
      </c>
      <c r="J24" s="13">
        <v>40</v>
      </c>
      <c r="K24" s="13">
        <v>40</v>
      </c>
      <c r="L24" s="13">
        <v>0</v>
      </c>
      <c r="M24" s="13">
        <f t="shared" si="55"/>
        <v>40</v>
      </c>
      <c r="N24" s="10">
        <f t="shared" si="28"/>
        <v>12.670000000000002</v>
      </c>
      <c r="O24" s="14">
        <v>25</v>
      </c>
      <c r="P24" s="14">
        <v>10</v>
      </c>
      <c r="Q24" s="14">
        <f t="shared" si="29"/>
        <v>35</v>
      </c>
      <c r="R24" s="10">
        <f t="shared" si="30"/>
        <v>47.67</v>
      </c>
      <c r="S24" s="10">
        <f t="shared" si="31"/>
        <v>12.670000000000002</v>
      </c>
      <c r="T24" s="13">
        <v>35</v>
      </c>
      <c r="U24" s="13">
        <v>13</v>
      </c>
      <c r="V24" s="13">
        <v>0</v>
      </c>
      <c r="W24" s="13">
        <f t="shared" si="56"/>
        <v>13</v>
      </c>
      <c r="X24" s="10">
        <f t="shared" si="32"/>
        <v>34.67</v>
      </c>
      <c r="Y24" s="14">
        <f t="shared" si="33"/>
        <v>0</v>
      </c>
      <c r="Z24" s="14">
        <v>90</v>
      </c>
      <c r="AA24" s="14">
        <f t="shared" si="34"/>
        <v>90</v>
      </c>
      <c r="AB24" s="10">
        <f t="shared" si="35"/>
        <v>124.67</v>
      </c>
      <c r="AC24" s="10">
        <f t="shared" si="36"/>
        <v>34.67</v>
      </c>
      <c r="AD24" s="10">
        <v>0</v>
      </c>
      <c r="AE24" s="13">
        <v>18.03</v>
      </c>
      <c r="AF24" s="13">
        <v>0</v>
      </c>
      <c r="AG24" s="13">
        <f t="shared" si="57"/>
        <v>18.03</v>
      </c>
      <c r="AH24" s="10">
        <f t="shared" si="37"/>
        <v>16.64</v>
      </c>
      <c r="AI24" s="10">
        <v>90</v>
      </c>
      <c r="AJ24" s="10">
        <f t="shared" si="38"/>
        <v>106.64</v>
      </c>
      <c r="AK24" s="10">
        <f t="shared" si="39"/>
        <v>16.64</v>
      </c>
      <c r="AL24" s="10">
        <v>45</v>
      </c>
      <c r="AM24" s="10">
        <v>42.03</v>
      </c>
      <c r="AN24" s="10">
        <v>0</v>
      </c>
      <c r="AO24" s="10">
        <f t="shared" si="58"/>
        <v>42.03</v>
      </c>
      <c r="AP24" s="10">
        <f t="shared" si="40"/>
        <v>19.61</v>
      </c>
      <c r="AQ24" s="10">
        <f t="shared" si="41"/>
        <v>45</v>
      </c>
      <c r="AR24" s="10">
        <v>100</v>
      </c>
      <c r="AS24" s="10">
        <f t="shared" si="42"/>
        <v>164.61</v>
      </c>
      <c r="AT24" s="10">
        <f t="shared" si="43"/>
        <v>19.61</v>
      </c>
      <c r="AU24" s="10">
        <v>45</v>
      </c>
      <c r="AV24" s="10">
        <v>37.700000000000003</v>
      </c>
      <c r="AW24" s="10">
        <v>1.73</v>
      </c>
      <c r="AX24" s="10">
        <f t="shared" si="59"/>
        <v>35.970000000000006</v>
      </c>
      <c r="AY24" s="10">
        <f t="shared" si="44"/>
        <v>28.639999999999997</v>
      </c>
      <c r="AZ24" s="10">
        <f t="shared" si="45"/>
        <v>100</v>
      </c>
      <c r="BA24" s="10">
        <f t="shared" si="46"/>
        <v>128.63999999999999</v>
      </c>
      <c r="BB24" s="10">
        <f t="shared" si="47"/>
        <v>28.639999999999997</v>
      </c>
      <c r="BC24" s="10">
        <v>0</v>
      </c>
      <c r="BD24" s="10">
        <v>13</v>
      </c>
      <c r="BE24" s="10">
        <v>0</v>
      </c>
      <c r="BF24" s="10">
        <f t="shared" si="48"/>
        <v>13</v>
      </c>
      <c r="BG24" s="10">
        <f t="shared" si="49"/>
        <v>15.639999999999997</v>
      </c>
      <c r="BH24" s="10">
        <f t="shared" si="50"/>
        <v>100</v>
      </c>
      <c r="BI24" s="10">
        <f t="shared" si="51"/>
        <v>115.64</v>
      </c>
      <c r="BJ24" s="20">
        <f t="shared" si="60"/>
        <v>15.639999999999997</v>
      </c>
      <c r="BK24" s="13">
        <v>100</v>
      </c>
      <c r="BL24" s="13">
        <v>93</v>
      </c>
      <c r="BM24" s="13">
        <v>0</v>
      </c>
      <c r="BN24" s="13">
        <f t="shared" si="61"/>
        <v>93</v>
      </c>
      <c r="BO24" s="10">
        <f t="shared" si="62"/>
        <v>22.64</v>
      </c>
      <c r="BP24" s="13">
        <v>0</v>
      </c>
      <c r="BQ24" s="13">
        <v>0</v>
      </c>
      <c r="BR24" s="13">
        <f t="shared" si="63"/>
        <v>0</v>
      </c>
      <c r="BS24" s="10">
        <f t="shared" si="64"/>
        <v>22.64</v>
      </c>
      <c r="BV24" s="10">
        <f t="shared" si="65"/>
        <v>243.76</v>
      </c>
      <c r="BW24" s="10">
        <f t="shared" si="66"/>
        <v>1.73</v>
      </c>
      <c r="BX24" s="10">
        <f t="shared" si="52"/>
        <v>242.03</v>
      </c>
    </row>
    <row r="25" spans="1:76" x14ac:dyDescent="0.25">
      <c r="A25" s="16" t="s">
        <v>73</v>
      </c>
      <c r="B25" s="16" t="s">
        <v>218</v>
      </c>
      <c r="C25" s="15" t="s">
        <v>151</v>
      </c>
      <c r="D25" s="9" t="s">
        <v>133</v>
      </c>
      <c r="E25" s="12">
        <v>60</v>
      </c>
      <c r="F25" s="11">
        <v>150</v>
      </c>
      <c r="G25" s="13">
        <f t="shared" si="53"/>
        <v>116.55</v>
      </c>
      <c r="H25" s="13">
        <f t="shared" si="54"/>
        <v>6993</v>
      </c>
      <c r="I25" s="10">
        <v>0</v>
      </c>
      <c r="J25" s="13">
        <v>40</v>
      </c>
      <c r="K25" s="13">
        <v>19</v>
      </c>
      <c r="L25" s="13">
        <v>0</v>
      </c>
      <c r="M25" s="13">
        <f t="shared" si="55"/>
        <v>19</v>
      </c>
      <c r="N25" s="10">
        <f t="shared" si="28"/>
        <v>21</v>
      </c>
      <c r="O25" s="14">
        <v>50</v>
      </c>
      <c r="P25" s="14">
        <v>10</v>
      </c>
      <c r="Q25" s="14">
        <f t="shared" si="29"/>
        <v>60</v>
      </c>
      <c r="R25" s="10">
        <f t="shared" si="30"/>
        <v>81</v>
      </c>
      <c r="S25" s="10">
        <f t="shared" si="31"/>
        <v>21</v>
      </c>
      <c r="T25" s="13">
        <v>35</v>
      </c>
      <c r="U25" s="13">
        <v>12</v>
      </c>
      <c r="V25" s="13">
        <v>0</v>
      </c>
      <c r="W25" s="13">
        <f t="shared" si="56"/>
        <v>12</v>
      </c>
      <c r="X25" s="10">
        <f t="shared" si="32"/>
        <v>44</v>
      </c>
      <c r="Y25" s="14">
        <f t="shared" si="33"/>
        <v>25</v>
      </c>
      <c r="Z25" s="14"/>
      <c r="AA25" s="14">
        <f t="shared" si="34"/>
        <v>25</v>
      </c>
      <c r="AB25" s="10">
        <f t="shared" si="35"/>
        <v>69</v>
      </c>
      <c r="AC25" s="10">
        <f t="shared" si="36"/>
        <v>44</v>
      </c>
      <c r="AD25" s="10">
        <v>25</v>
      </c>
      <c r="AE25" s="13">
        <v>2.12</v>
      </c>
      <c r="AF25" s="13">
        <v>0</v>
      </c>
      <c r="AG25" s="13">
        <f t="shared" si="57"/>
        <v>2.12</v>
      </c>
      <c r="AH25" s="10">
        <f t="shared" si="37"/>
        <v>66.88</v>
      </c>
      <c r="AI25" s="10">
        <v>0</v>
      </c>
      <c r="AJ25" s="10">
        <f t="shared" si="38"/>
        <v>66.88</v>
      </c>
      <c r="AK25" s="10">
        <f t="shared" si="39"/>
        <v>66.88</v>
      </c>
      <c r="AL25" s="10">
        <v>0</v>
      </c>
      <c r="AM25" s="10">
        <v>1.52</v>
      </c>
      <c r="AN25" s="10">
        <v>0</v>
      </c>
      <c r="AO25" s="10">
        <f t="shared" si="58"/>
        <v>1.52</v>
      </c>
      <c r="AP25" s="10">
        <f t="shared" si="40"/>
        <v>65.36</v>
      </c>
      <c r="AQ25" s="10">
        <f t="shared" si="41"/>
        <v>0</v>
      </c>
      <c r="AR25" s="10">
        <v>0</v>
      </c>
      <c r="AS25" s="10">
        <f t="shared" si="42"/>
        <v>65.36</v>
      </c>
      <c r="AT25" s="10">
        <f t="shared" si="43"/>
        <v>65.36</v>
      </c>
      <c r="AU25" s="10">
        <v>0</v>
      </c>
      <c r="AV25" s="10">
        <v>18</v>
      </c>
      <c r="AW25" s="10">
        <v>1.57</v>
      </c>
      <c r="AX25" s="10">
        <f t="shared" si="59"/>
        <v>16.43</v>
      </c>
      <c r="AY25" s="10">
        <f t="shared" si="44"/>
        <v>48.93</v>
      </c>
      <c r="AZ25" s="10">
        <f t="shared" si="45"/>
        <v>0</v>
      </c>
      <c r="BA25" s="10">
        <f t="shared" si="46"/>
        <v>48.93</v>
      </c>
      <c r="BB25" s="10">
        <f t="shared" si="47"/>
        <v>48.93</v>
      </c>
      <c r="BC25" s="10">
        <v>0</v>
      </c>
      <c r="BD25" s="10">
        <v>16</v>
      </c>
      <c r="BE25" s="10">
        <v>2</v>
      </c>
      <c r="BF25" s="10">
        <f t="shared" si="48"/>
        <v>14</v>
      </c>
      <c r="BG25" s="10">
        <f t="shared" si="49"/>
        <v>34.93</v>
      </c>
      <c r="BH25" s="10">
        <f t="shared" si="50"/>
        <v>0</v>
      </c>
      <c r="BI25" s="10">
        <f t="shared" si="51"/>
        <v>34.93</v>
      </c>
      <c r="BJ25" s="20">
        <f t="shared" si="60"/>
        <v>34.93</v>
      </c>
      <c r="BK25" s="13">
        <v>0</v>
      </c>
      <c r="BL25" s="13">
        <v>7.17</v>
      </c>
      <c r="BM25" s="13">
        <v>0</v>
      </c>
      <c r="BN25" s="13">
        <f t="shared" si="61"/>
        <v>7.17</v>
      </c>
      <c r="BO25" s="10">
        <f t="shared" si="62"/>
        <v>27.759999999999998</v>
      </c>
      <c r="BP25" s="13">
        <v>0</v>
      </c>
      <c r="BQ25" s="13">
        <v>0</v>
      </c>
      <c r="BR25" s="13">
        <f t="shared" si="63"/>
        <v>0</v>
      </c>
      <c r="BS25" s="10">
        <f t="shared" si="64"/>
        <v>27.759999999999998</v>
      </c>
      <c r="BV25" s="10">
        <f t="shared" si="65"/>
        <v>59.81</v>
      </c>
      <c r="BW25" s="10">
        <f t="shared" si="66"/>
        <v>1.57</v>
      </c>
      <c r="BX25" s="10">
        <f t="shared" si="52"/>
        <v>58.24</v>
      </c>
    </row>
    <row r="26" spans="1:76" x14ac:dyDescent="0.25">
      <c r="A26" s="16" t="s">
        <v>31</v>
      </c>
      <c r="B26" s="16" t="s">
        <v>219</v>
      </c>
      <c r="C26" s="15" t="s">
        <v>144</v>
      </c>
      <c r="D26" s="9" t="s">
        <v>91</v>
      </c>
      <c r="E26" s="12">
        <v>60</v>
      </c>
      <c r="F26" s="11">
        <v>150</v>
      </c>
      <c r="G26" s="13">
        <f t="shared" si="53"/>
        <v>116.55</v>
      </c>
      <c r="H26" s="13">
        <f t="shared" si="54"/>
        <v>6993</v>
      </c>
      <c r="I26" s="10">
        <v>0</v>
      </c>
      <c r="J26" s="13">
        <v>40</v>
      </c>
      <c r="K26" s="13">
        <v>12</v>
      </c>
      <c r="L26" s="13">
        <v>0</v>
      </c>
      <c r="M26" s="13">
        <f t="shared" si="55"/>
        <v>12</v>
      </c>
      <c r="N26" s="10">
        <f t="shared" si="28"/>
        <v>28</v>
      </c>
      <c r="O26" s="14">
        <v>0</v>
      </c>
      <c r="P26" s="14">
        <v>10</v>
      </c>
      <c r="Q26" s="14">
        <f t="shared" si="29"/>
        <v>10</v>
      </c>
      <c r="R26" s="10">
        <f t="shared" si="30"/>
        <v>38</v>
      </c>
      <c r="S26" s="10">
        <f t="shared" si="31"/>
        <v>28</v>
      </c>
      <c r="T26" s="13">
        <v>10</v>
      </c>
      <c r="U26" s="13">
        <v>2</v>
      </c>
      <c r="V26" s="13">
        <v>0</v>
      </c>
      <c r="W26" s="13">
        <f t="shared" si="56"/>
        <v>2</v>
      </c>
      <c r="X26" s="10">
        <f t="shared" si="32"/>
        <v>36</v>
      </c>
      <c r="Y26" s="14">
        <f t="shared" si="33"/>
        <v>0</v>
      </c>
      <c r="Z26" s="14"/>
      <c r="AA26" s="14">
        <f t="shared" si="34"/>
        <v>0</v>
      </c>
      <c r="AB26" s="10">
        <f t="shared" si="35"/>
        <v>36</v>
      </c>
      <c r="AC26" s="10">
        <f t="shared" si="36"/>
        <v>36</v>
      </c>
      <c r="AD26" s="10">
        <v>0</v>
      </c>
      <c r="AE26" s="13">
        <v>3.12</v>
      </c>
      <c r="AF26" s="13">
        <v>0</v>
      </c>
      <c r="AG26" s="13">
        <f t="shared" si="57"/>
        <v>3.12</v>
      </c>
      <c r="AH26" s="10">
        <f t="shared" si="37"/>
        <v>32.880000000000003</v>
      </c>
      <c r="AI26" s="10">
        <v>0</v>
      </c>
      <c r="AJ26" s="10">
        <f t="shared" si="38"/>
        <v>32.880000000000003</v>
      </c>
      <c r="AK26" s="10">
        <f t="shared" si="39"/>
        <v>32.880000000000003</v>
      </c>
      <c r="AL26" s="10">
        <v>0</v>
      </c>
      <c r="AM26" s="10">
        <v>1.19</v>
      </c>
      <c r="AN26" s="10">
        <v>0</v>
      </c>
      <c r="AO26" s="10">
        <f t="shared" si="58"/>
        <v>1.19</v>
      </c>
      <c r="AP26" s="10">
        <f t="shared" si="40"/>
        <v>31.69</v>
      </c>
      <c r="AQ26" s="10">
        <f t="shared" si="41"/>
        <v>0</v>
      </c>
      <c r="AR26" s="10">
        <v>0</v>
      </c>
      <c r="AS26" s="10">
        <f t="shared" si="42"/>
        <v>31.69</v>
      </c>
      <c r="AT26" s="10">
        <f t="shared" si="43"/>
        <v>31.69</v>
      </c>
      <c r="AU26" s="10">
        <v>0</v>
      </c>
      <c r="AV26" s="10">
        <v>12</v>
      </c>
      <c r="AW26" s="10">
        <v>2</v>
      </c>
      <c r="AX26" s="10">
        <f t="shared" si="59"/>
        <v>10</v>
      </c>
      <c r="AY26" s="10">
        <f t="shared" si="44"/>
        <v>21.69</v>
      </c>
      <c r="AZ26" s="10">
        <f t="shared" si="45"/>
        <v>0</v>
      </c>
      <c r="BA26" s="10">
        <f t="shared" si="46"/>
        <v>21.69</v>
      </c>
      <c r="BB26" s="10">
        <f t="shared" si="47"/>
        <v>21.69</v>
      </c>
      <c r="BC26" s="10">
        <v>0</v>
      </c>
      <c r="BD26" s="10">
        <v>10</v>
      </c>
      <c r="BE26" s="10">
        <v>2</v>
      </c>
      <c r="BF26" s="10">
        <f t="shared" si="48"/>
        <v>8</v>
      </c>
      <c r="BG26" s="10">
        <f t="shared" si="49"/>
        <v>13.690000000000001</v>
      </c>
      <c r="BH26" s="10">
        <f t="shared" si="50"/>
        <v>0</v>
      </c>
      <c r="BI26" s="10">
        <f t="shared" si="51"/>
        <v>13.690000000000001</v>
      </c>
      <c r="BJ26" s="20">
        <f t="shared" si="60"/>
        <v>13.690000000000001</v>
      </c>
      <c r="BK26" s="13">
        <v>0</v>
      </c>
      <c r="BL26" s="13">
        <v>0</v>
      </c>
      <c r="BM26" s="13">
        <v>0</v>
      </c>
      <c r="BN26" s="13">
        <f t="shared" si="61"/>
        <v>0</v>
      </c>
      <c r="BO26" s="10">
        <f t="shared" si="62"/>
        <v>13.690000000000001</v>
      </c>
      <c r="BP26" s="13">
        <v>0</v>
      </c>
      <c r="BQ26" s="13">
        <v>0</v>
      </c>
      <c r="BR26" s="13">
        <f t="shared" si="63"/>
        <v>0</v>
      </c>
      <c r="BS26" s="10">
        <f t="shared" si="64"/>
        <v>13.690000000000001</v>
      </c>
      <c r="BV26" s="10">
        <f t="shared" si="65"/>
        <v>30.310000000000002</v>
      </c>
      <c r="BW26" s="10">
        <f t="shared" si="66"/>
        <v>2</v>
      </c>
      <c r="BX26" s="10">
        <f t="shared" si="52"/>
        <v>28.310000000000002</v>
      </c>
    </row>
    <row r="27" spans="1:76" x14ac:dyDescent="0.25">
      <c r="A27" s="16" t="s">
        <v>44</v>
      </c>
      <c r="B27" s="16" t="s">
        <v>179</v>
      </c>
      <c r="C27" s="15" t="s">
        <v>197</v>
      </c>
      <c r="D27" s="9" t="s">
        <v>104</v>
      </c>
      <c r="E27" s="12">
        <v>40</v>
      </c>
      <c r="F27" s="11">
        <v>150</v>
      </c>
      <c r="G27" s="13">
        <f t="shared" si="53"/>
        <v>116.55</v>
      </c>
      <c r="H27" s="13">
        <f t="shared" si="54"/>
        <v>4662</v>
      </c>
      <c r="I27" s="10">
        <v>0</v>
      </c>
      <c r="J27" s="13">
        <v>50</v>
      </c>
      <c r="K27" s="13">
        <v>6</v>
      </c>
      <c r="L27" s="13">
        <v>0</v>
      </c>
      <c r="M27" s="13">
        <f t="shared" si="55"/>
        <v>6</v>
      </c>
      <c r="N27" s="10">
        <f t="shared" si="28"/>
        <v>44</v>
      </c>
      <c r="O27" s="14">
        <v>0</v>
      </c>
      <c r="P27" s="14"/>
      <c r="Q27" s="14">
        <f t="shared" si="29"/>
        <v>0</v>
      </c>
      <c r="R27" s="10">
        <f t="shared" si="30"/>
        <v>44</v>
      </c>
      <c r="S27" s="10">
        <f t="shared" si="31"/>
        <v>44</v>
      </c>
      <c r="T27" s="13">
        <v>0</v>
      </c>
      <c r="U27" s="13">
        <v>0</v>
      </c>
      <c r="V27" s="13">
        <v>0</v>
      </c>
      <c r="W27" s="13">
        <f t="shared" si="56"/>
        <v>0</v>
      </c>
      <c r="X27" s="10">
        <f t="shared" si="32"/>
        <v>44</v>
      </c>
      <c r="Y27" s="14">
        <f t="shared" si="33"/>
        <v>0</v>
      </c>
      <c r="Z27" s="14"/>
      <c r="AA27" s="14">
        <f t="shared" si="34"/>
        <v>0</v>
      </c>
      <c r="AB27" s="10">
        <f t="shared" si="35"/>
        <v>44</v>
      </c>
      <c r="AC27" s="10">
        <f t="shared" si="36"/>
        <v>44</v>
      </c>
      <c r="AD27" s="10">
        <v>0</v>
      </c>
      <c r="AE27" s="13">
        <v>7.16</v>
      </c>
      <c r="AF27" s="13">
        <v>0</v>
      </c>
      <c r="AG27" s="13">
        <f t="shared" si="57"/>
        <v>7.16</v>
      </c>
      <c r="AH27" s="10">
        <f t="shared" si="37"/>
        <v>36.840000000000003</v>
      </c>
      <c r="AI27" s="10">
        <v>0</v>
      </c>
      <c r="AJ27" s="10">
        <f t="shared" si="38"/>
        <v>36.840000000000003</v>
      </c>
      <c r="AK27" s="10">
        <f t="shared" si="39"/>
        <v>36.840000000000003</v>
      </c>
      <c r="AL27" s="10">
        <v>0</v>
      </c>
      <c r="AM27" s="10">
        <v>13.53</v>
      </c>
      <c r="AN27" s="10">
        <v>0</v>
      </c>
      <c r="AO27" s="10">
        <f t="shared" si="58"/>
        <v>13.53</v>
      </c>
      <c r="AP27" s="10">
        <f t="shared" si="40"/>
        <v>23.310000000000002</v>
      </c>
      <c r="AQ27" s="10">
        <f t="shared" si="41"/>
        <v>0</v>
      </c>
      <c r="AR27" s="10">
        <v>25</v>
      </c>
      <c r="AS27" s="10">
        <f t="shared" si="42"/>
        <v>48.31</v>
      </c>
      <c r="AT27" s="10">
        <f t="shared" si="43"/>
        <v>23.310000000000002</v>
      </c>
      <c r="AU27" s="10">
        <v>0</v>
      </c>
      <c r="AV27" s="10">
        <v>17.68</v>
      </c>
      <c r="AW27" s="10">
        <v>0.68</v>
      </c>
      <c r="AX27" s="10">
        <f t="shared" si="59"/>
        <v>17</v>
      </c>
      <c r="AY27" s="10">
        <f t="shared" si="44"/>
        <v>6.3100000000000023</v>
      </c>
      <c r="AZ27" s="10">
        <f t="shared" si="45"/>
        <v>25</v>
      </c>
      <c r="BA27" s="10">
        <f t="shared" si="46"/>
        <v>31.310000000000002</v>
      </c>
      <c r="BB27" s="10">
        <f t="shared" si="47"/>
        <v>6.3100000000000023</v>
      </c>
      <c r="BC27" s="10">
        <v>0</v>
      </c>
      <c r="BD27" s="10">
        <v>3.93</v>
      </c>
      <c r="BE27" s="10">
        <v>2.2799999999999998</v>
      </c>
      <c r="BF27" s="10">
        <f t="shared" si="48"/>
        <v>1.6500000000000004</v>
      </c>
      <c r="BG27" s="10">
        <f t="shared" si="49"/>
        <v>4.6600000000000019</v>
      </c>
      <c r="BH27" s="10">
        <f t="shared" si="50"/>
        <v>25</v>
      </c>
      <c r="BI27" s="10">
        <f t="shared" si="51"/>
        <v>29.660000000000004</v>
      </c>
      <c r="BJ27" s="20">
        <f t="shared" si="60"/>
        <v>4.6600000000000019</v>
      </c>
      <c r="BK27" s="13">
        <v>25</v>
      </c>
      <c r="BL27" s="13">
        <v>25.1</v>
      </c>
      <c r="BM27" s="13">
        <v>0</v>
      </c>
      <c r="BN27" s="13">
        <f t="shared" si="61"/>
        <v>25.1</v>
      </c>
      <c r="BO27" s="10">
        <f t="shared" si="62"/>
        <v>4.5600000000000023</v>
      </c>
      <c r="BP27" s="13">
        <v>60</v>
      </c>
      <c r="BQ27" s="13">
        <v>50</v>
      </c>
      <c r="BR27" s="13">
        <f t="shared" si="63"/>
        <v>110</v>
      </c>
      <c r="BS27" s="10">
        <f t="shared" si="64"/>
        <v>114.56</v>
      </c>
      <c r="BV27" s="10">
        <f t="shared" si="65"/>
        <v>69.47</v>
      </c>
      <c r="BW27" s="10">
        <f t="shared" si="66"/>
        <v>0.68</v>
      </c>
      <c r="BX27" s="10">
        <f t="shared" si="52"/>
        <v>68.789999999999992</v>
      </c>
    </row>
    <row r="28" spans="1:76" x14ac:dyDescent="0.25">
      <c r="A28" s="16" t="s">
        <v>63</v>
      </c>
      <c r="B28" s="16" t="s">
        <v>180</v>
      </c>
      <c r="C28" s="15" t="s">
        <v>199</v>
      </c>
      <c r="D28" s="9" t="s">
        <v>123</v>
      </c>
      <c r="E28" s="12">
        <v>20</v>
      </c>
      <c r="F28" s="11">
        <v>235</v>
      </c>
      <c r="G28" s="13">
        <f t="shared" si="53"/>
        <v>182.6</v>
      </c>
      <c r="H28" s="13">
        <f t="shared" si="54"/>
        <v>3652</v>
      </c>
      <c r="I28" s="10">
        <v>0</v>
      </c>
      <c r="J28" s="13">
        <v>45</v>
      </c>
      <c r="K28" s="13">
        <v>17</v>
      </c>
      <c r="L28" s="13">
        <v>0</v>
      </c>
      <c r="M28" s="13">
        <f t="shared" si="55"/>
        <v>17</v>
      </c>
      <c r="N28" s="10">
        <f t="shared" si="28"/>
        <v>28</v>
      </c>
      <c r="O28" s="14">
        <v>0</v>
      </c>
      <c r="P28" s="14">
        <v>5</v>
      </c>
      <c r="Q28" s="14">
        <f t="shared" si="29"/>
        <v>5</v>
      </c>
      <c r="R28" s="10">
        <f t="shared" si="30"/>
        <v>33</v>
      </c>
      <c r="S28" s="10">
        <f t="shared" si="31"/>
        <v>28</v>
      </c>
      <c r="T28" s="13">
        <v>5</v>
      </c>
      <c r="U28" s="13">
        <v>7</v>
      </c>
      <c r="V28" s="13">
        <v>0</v>
      </c>
      <c r="W28" s="13">
        <f t="shared" si="56"/>
        <v>7</v>
      </c>
      <c r="X28" s="10">
        <f t="shared" si="32"/>
        <v>26</v>
      </c>
      <c r="Y28" s="14">
        <f t="shared" si="33"/>
        <v>0</v>
      </c>
      <c r="Z28" s="14"/>
      <c r="AA28" s="14">
        <f t="shared" si="34"/>
        <v>0</v>
      </c>
      <c r="AB28" s="10">
        <f t="shared" si="35"/>
        <v>26</v>
      </c>
      <c r="AC28" s="10">
        <f t="shared" si="36"/>
        <v>26</v>
      </c>
      <c r="AD28" s="10">
        <v>0</v>
      </c>
      <c r="AE28" s="13">
        <v>7.05</v>
      </c>
      <c r="AF28" s="13">
        <v>0</v>
      </c>
      <c r="AG28" s="13">
        <f t="shared" si="57"/>
        <v>7.05</v>
      </c>
      <c r="AH28" s="10">
        <f t="shared" si="37"/>
        <v>18.95</v>
      </c>
      <c r="AI28" s="10">
        <v>0</v>
      </c>
      <c r="AJ28" s="10">
        <f t="shared" si="38"/>
        <v>18.95</v>
      </c>
      <c r="AK28" s="10">
        <f t="shared" si="39"/>
        <v>18.95</v>
      </c>
      <c r="AL28" s="10">
        <v>0</v>
      </c>
      <c r="AM28" s="10">
        <v>16.05</v>
      </c>
      <c r="AN28" s="10">
        <v>0</v>
      </c>
      <c r="AO28" s="10">
        <f t="shared" si="58"/>
        <v>16.05</v>
      </c>
      <c r="AP28" s="10">
        <f t="shared" si="40"/>
        <v>2.8999999999999986</v>
      </c>
      <c r="AQ28" s="10">
        <f t="shared" si="41"/>
        <v>0</v>
      </c>
      <c r="AR28" s="10">
        <v>25</v>
      </c>
      <c r="AS28" s="10">
        <f t="shared" si="42"/>
        <v>27.9</v>
      </c>
      <c r="AT28" s="10">
        <f t="shared" si="43"/>
        <v>2.8999999999999986</v>
      </c>
      <c r="AU28" s="10">
        <v>0</v>
      </c>
      <c r="AV28" s="10">
        <v>2</v>
      </c>
      <c r="AW28" s="10">
        <v>0</v>
      </c>
      <c r="AX28" s="10">
        <f t="shared" si="59"/>
        <v>2</v>
      </c>
      <c r="AY28" s="10">
        <f t="shared" si="44"/>
        <v>0.89999999999999858</v>
      </c>
      <c r="AZ28" s="10">
        <f t="shared" si="45"/>
        <v>25</v>
      </c>
      <c r="BA28" s="10">
        <f t="shared" si="46"/>
        <v>25.9</v>
      </c>
      <c r="BB28" s="10">
        <f t="shared" si="47"/>
        <v>0.89999999999999858</v>
      </c>
      <c r="BC28" s="10">
        <v>0</v>
      </c>
      <c r="BD28" s="10">
        <v>0</v>
      </c>
      <c r="BE28" s="10">
        <v>0.1</v>
      </c>
      <c r="BF28" s="10">
        <f t="shared" si="48"/>
        <v>-0.1</v>
      </c>
      <c r="BG28" s="10">
        <f t="shared" si="49"/>
        <v>0.99999999999999856</v>
      </c>
      <c r="BH28" s="10">
        <f t="shared" si="50"/>
        <v>25</v>
      </c>
      <c r="BI28" s="10">
        <f t="shared" si="51"/>
        <v>26</v>
      </c>
      <c r="BJ28" s="20">
        <f t="shared" si="60"/>
        <v>0.99999999999999856</v>
      </c>
      <c r="BK28" s="13">
        <v>25</v>
      </c>
      <c r="BL28" s="13">
        <v>15</v>
      </c>
      <c r="BM28" s="13">
        <v>0</v>
      </c>
      <c r="BN28" s="13">
        <f t="shared" si="61"/>
        <v>15</v>
      </c>
      <c r="BO28" s="10">
        <f t="shared" si="62"/>
        <v>11</v>
      </c>
      <c r="BP28" s="13">
        <v>25</v>
      </c>
      <c r="BQ28" s="13">
        <v>50</v>
      </c>
      <c r="BR28" s="13">
        <f t="shared" si="63"/>
        <v>75</v>
      </c>
      <c r="BS28" s="10">
        <f t="shared" si="64"/>
        <v>86</v>
      </c>
      <c r="BV28" s="10">
        <f t="shared" si="65"/>
        <v>64.099999999999994</v>
      </c>
      <c r="BW28" s="10">
        <f t="shared" si="66"/>
        <v>0</v>
      </c>
      <c r="BX28" s="10">
        <f t="shared" si="52"/>
        <v>64.099999999999994</v>
      </c>
    </row>
    <row r="29" spans="1:76" x14ac:dyDescent="0.25">
      <c r="A29" s="16" t="s">
        <v>45</v>
      </c>
      <c r="B29" s="16" t="s">
        <v>181</v>
      </c>
      <c r="C29" s="15" t="s">
        <v>197</v>
      </c>
      <c r="D29" s="9" t="s">
        <v>105</v>
      </c>
      <c r="E29" s="12">
        <v>40</v>
      </c>
      <c r="F29" s="11">
        <v>150</v>
      </c>
      <c r="G29" s="13">
        <f t="shared" si="53"/>
        <v>116.55</v>
      </c>
      <c r="H29" s="13">
        <f t="shared" si="54"/>
        <v>4662</v>
      </c>
      <c r="I29" s="10">
        <v>0</v>
      </c>
      <c r="J29" s="13">
        <v>60</v>
      </c>
      <c r="K29" s="13">
        <v>31</v>
      </c>
      <c r="L29" s="13">
        <v>0</v>
      </c>
      <c r="M29" s="13">
        <f t="shared" si="55"/>
        <v>31</v>
      </c>
      <c r="N29" s="10">
        <f t="shared" si="28"/>
        <v>29</v>
      </c>
      <c r="O29" s="14">
        <v>17</v>
      </c>
      <c r="P29" s="14">
        <v>15</v>
      </c>
      <c r="Q29" s="14">
        <f t="shared" si="29"/>
        <v>32</v>
      </c>
      <c r="R29" s="10">
        <f t="shared" si="30"/>
        <v>61</v>
      </c>
      <c r="S29" s="10">
        <f t="shared" si="31"/>
        <v>29</v>
      </c>
      <c r="T29" s="13">
        <v>32</v>
      </c>
      <c r="U29" s="13">
        <v>9</v>
      </c>
      <c r="V29" s="13">
        <v>0</v>
      </c>
      <c r="W29" s="13">
        <f t="shared" si="56"/>
        <v>9</v>
      </c>
      <c r="X29" s="10">
        <f t="shared" si="32"/>
        <v>52</v>
      </c>
      <c r="Y29" s="14">
        <f t="shared" si="33"/>
        <v>0</v>
      </c>
      <c r="Z29" s="14"/>
      <c r="AA29" s="14">
        <f t="shared" si="34"/>
        <v>0</v>
      </c>
      <c r="AB29" s="10">
        <f t="shared" si="35"/>
        <v>52</v>
      </c>
      <c r="AC29" s="10">
        <f t="shared" si="36"/>
        <v>52</v>
      </c>
      <c r="AD29" s="10">
        <v>0</v>
      </c>
      <c r="AE29" s="13">
        <v>18.16</v>
      </c>
      <c r="AF29" s="13">
        <v>0</v>
      </c>
      <c r="AG29" s="13">
        <f t="shared" si="57"/>
        <v>18.16</v>
      </c>
      <c r="AH29" s="10">
        <f t="shared" si="37"/>
        <v>33.840000000000003</v>
      </c>
      <c r="AI29" s="10">
        <v>0</v>
      </c>
      <c r="AJ29" s="10">
        <f t="shared" si="38"/>
        <v>33.840000000000003</v>
      </c>
      <c r="AK29" s="10">
        <f t="shared" si="39"/>
        <v>33.840000000000003</v>
      </c>
      <c r="AL29" s="10">
        <v>0</v>
      </c>
      <c r="AM29" s="10">
        <v>31.53</v>
      </c>
      <c r="AN29" s="10">
        <v>0</v>
      </c>
      <c r="AO29" s="10">
        <f t="shared" si="58"/>
        <v>31.53</v>
      </c>
      <c r="AP29" s="10">
        <f t="shared" si="40"/>
        <v>2.3100000000000023</v>
      </c>
      <c r="AQ29" s="10">
        <f t="shared" si="41"/>
        <v>0</v>
      </c>
      <c r="AR29" s="10">
        <v>50</v>
      </c>
      <c r="AS29" s="10">
        <f t="shared" si="42"/>
        <v>52.31</v>
      </c>
      <c r="AT29" s="10">
        <f t="shared" si="43"/>
        <v>2.3100000000000023</v>
      </c>
      <c r="AU29" s="10">
        <v>0</v>
      </c>
      <c r="AV29" s="10">
        <v>3.3</v>
      </c>
      <c r="AW29" s="10">
        <v>1.65</v>
      </c>
      <c r="AX29" s="10">
        <f t="shared" si="59"/>
        <v>1.65</v>
      </c>
      <c r="AY29" s="10">
        <f t="shared" si="44"/>
        <v>0.66000000000000236</v>
      </c>
      <c r="AZ29" s="10">
        <f t="shared" si="45"/>
        <v>50</v>
      </c>
      <c r="BA29" s="10">
        <f t="shared" si="46"/>
        <v>50.660000000000004</v>
      </c>
      <c r="BB29" s="10">
        <f t="shared" si="47"/>
        <v>0.66000000000000236</v>
      </c>
      <c r="BC29" s="10">
        <v>50</v>
      </c>
      <c r="BD29" s="10">
        <v>26.83</v>
      </c>
      <c r="BE29" s="10">
        <v>1.83</v>
      </c>
      <c r="BF29" s="10">
        <f t="shared" si="48"/>
        <v>25</v>
      </c>
      <c r="BG29" s="10">
        <f t="shared" si="49"/>
        <v>25.660000000000004</v>
      </c>
      <c r="BH29" s="10">
        <f t="shared" si="50"/>
        <v>0</v>
      </c>
      <c r="BI29" s="10">
        <f t="shared" si="51"/>
        <v>25.660000000000004</v>
      </c>
      <c r="BJ29" s="20">
        <f t="shared" si="60"/>
        <v>25.660000000000004</v>
      </c>
      <c r="BK29" s="13">
        <v>0</v>
      </c>
      <c r="BL29" s="13">
        <v>16.3</v>
      </c>
      <c r="BM29" s="13">
        <v>0</v>
      </c>
      <c r="BN29" s="13">
        <f t="shared" si="61"/>
        <v>16.3</v>
      </c>
      <c r="BO29" s="10">
        <f t="shared" si="62"/>
        <v>9.360000000000003</v>
      </c>
      <c r="BP29" s="13">
        <v>100</v>
      </c>
      <c r="BQ29" s="13">
        <v>100</v>
      </c>
      <c r="BR29" s="13">
        <f t="shared" si="63"/>
        <v>200</v>
      </c>
      <c r="BS29" s="10">
        <f t="shared" si="64"/>
        <v>209.36</v>
      </c>
      <c r="BV29" s="10">
        <f t="shared" si="65"/>
        <v>109.28999999999999</v>
      </c>
      <c r="BW29" s="10">
        <f t="shared" si="66"/>
        <v>1.65</v>
      </c>
      <c r="BX29" s="10">
        <f t="shared" si="52"/>
        <v>107.63999999999999</v>
      </c>
    </row>
    <row r="30" spans="1:76" x14ac:dyDescent="0.25">
      <c r="A30" s="16" t="s">
        <v>64</v>
      </c>
      <c r="B30" s="16" t="s">
        <v>182</v>
      </c>
      <c r="C30" s="15" t="s">
        <v>199</v>
      </c>
      <c r="D30" s="9" t="s">
        <v>124</v>
      </c>
      <c r="E30" s="12">
        <v>20</v>
      </c>
      <c r="F30" s="11">
        <v>235</v>
      </c>
      <c r="G30" s="13">
        <f t="shared" si="53"/>
        <v>182.6</v>
      </c>
      <c r="H30" s="13">
        <f t="shared" si="54"/>
        <v>3652</v>
      </c>
      <c r="I30" s="10">
        <v>0</v>
      </c>
      <c r="J30" s="13">
        <v>170</v>
      </c>
      <c r="K30" s="13">
        <v>25</v>
      </c>
      <c r="L30" s="13">
        <v>0</v>
      </c>
      <c r="M30" s="13">
        <f t="shared" si="55"/>
        <v>25</v>
      </c>
      <c r="N30" s="10">
        <f t="shared" si="28"/>
        <v>145</v>
      </c>
      <c r="O30" s="14">
        <v>0</v>
      </c>
      <c r="P30" s="14">
        <v>30</v>
      </c>
      <c r="Q30" s="14">
        <f t="shared" si="29"/>
        <v>30</v>
      </c>
      <c r="R30" s="10">
        <f t="shared" si="30"/>
        <v>175</v>
      </c>
      <c r="S30" s="10">
        <f t="shared" si="31"/>
        <v>145</v>
      </c>
      <c r="T30" s="13">
        <v>30</v>
      </c>
      <c r="U30" s="13">
        <v>17</v>
      </c>
      <c r="V30" s="13">
        <v>0</v>
      </c>
      <c r="W30" s="13">
        <f t="shared" si="56"/>
        <v>17</v>
      </c>
      <c r="X30" s="10">
        <f t="shared" si="32"/>
        <v>158</v>
      </c>
      <c r="Y30" s="14">
        <f t="shared" si="33"/>
        <v>0</v>
      </c>
      <c r="Z30" s="14"/>
      <c r="AA30" s="14">
        <f t="shared" si="34"/>
        <v>0</v>
      </c>
      <c r="AB30" s="10">
        <f t="shared" si="35"/>
        <v>158</v>
      </c>
      <c r="AC30" s="10">
        <f t="shared" si="36"/>
        <v>158</v>
      </c>
      <c r="AD30" s="10">
        <v>0</v>
      </c>
      <c r="AE30" s="13">
        <v>16.05</v>
      </c>
      <c r="AF30" s="13">
        <v>0</v>
      </c>
      <c r="AG30" s="13">
        <f t="shared" si="57"/>
        <v>16.05</v>
      </c>
      <c r="AH30" s="10">
        <f t="shared" si="37"/>
        <v>141.94999999999999</v>
      </c>
      <c r="AI30" s="10">
        <v>0</v>
      </c>
      <c r="AJ30" s="10">
        <f t="shared" si="38"/>
        <v>141.94999999999999</v>
      </c>
      <c r="AK30" s="10">
        <f t="shared" si="39"/>
        <v>141.94999999999999</v>
      </c>
      <c r="AL30" s="10">
        <v>0</v>
      </c>
      <c r="AM30" s="10">
        <v>69.05</v>
      </c>
      <c r="AN30" s="10">
        <v>0</v>
      </c>
      <c r="AO30" s="10">
        <f t="shared" si="58"/>
        <v>69.05</v>
      </c>
      <c r="AP30" s="10">
        <f t="shared" si="40"/>
        <v>72.899999999999991</v>
      </c>
      <c r="AQ30" s="10">
        <f t="shared" si="41"/>
        <v>0</v>
      </c>
      <c r="AR30" s="10">
        <v>0</v>
      </c>
      <c r="AS30" s="10">
        <f t="shared" si="42"/>
        <v>72.899999999999991</v>
      </c>
      <c r="AT30" s="10">
        <f t="shared" si="43"/>
        <v>72.899999999999991</v>
      </c>
      <c r="AU30" s="10">
        <v>0</v>
      </c>
      <c r="AV30" s="10">
        <v>53.2</v>
      </c>
      <c r="AW30" s="10">
        <v>0</v>
      </c>
      <c r="AX30" s="10">
        <f t="shared" si="59"/>
        <v>53.2</v>
      </c>
      <c r="AY30" s="10">
        <f t="shared" si="44"/>
        <v>19.699999999999989</v>
      </c>
      <c r="AZ30" s="10">
        <f t="shared" si="45"/>
        <v>0</v>
      </c>
      <c r="BA30" s="10">
        <f t="shared" si="46"/>
        <v>19.699999999999989</v>
      </c>
      <c r="BB30" s="10">
        <f t="shared" si="47"/>
        <v>19.699999999999989</v>
      </c>
      <c r="BC30" s="10">
        <v>0</v>
      </c>
      <c r="BD30" s="10">
        <v>19</v>
      </c>
      <c r="BE30" s="10">
        <v>1</v>
      </c>
      <c r="BF30" s="10">
        <f t="shared" si="48"/>
        <v>18</v>
      </c>
      <c r="BG30" s="10">
        <f t="shared" si="49"/>
        <v>1.6999999999999886</v>
      </c>
      <c r="BH30" s="10">
        <f t="shared" si="50"/>
        <v>0</v>
      </c>
      <c r="BI30" s="10">
        <f t="shared" si="51"/>
        <v>1.6999999999999886</v>
      </c>
      <c r="BJ30" s="20">
        <f t="shared" si="60"/>
        <v>1.6999999999999886</v>
      </c>
      <c r="BK30" s="13">
        <v>0</v>
      </c>
      <c r="BL30" s="13">
        <v>1</v>
      </c>
      <c r="BM30" s="13">
        <v>0</v>
      </c>
      <c r="BN30" s="13">
        <f t="shared" si="61"/>
        <v>1</v>
      </c>
      <c r="BO30" s="10">
        <f t="shared" si="62"/>
        <v>0.69999999999998863</v>
      </c>
      <c r="BP30" s="13">
        <v>75</v>
      </c>
      <c r="BQ30" s="13">
        <v>100</v>
      </c>
      <c r="BR30" s="13">
        <f t="shared" si="63"/>
        <v>175</v>
      </c>
      <c r="BS30" s="10">
        <f t="shared" si="64"/>
        <v>175.7</v>
      </c>
      <c r="BV30" s="10">
        <f t="shared" si="65"/>
        <v>181.3</v>
      </c>
      <c r="BW30" s="10">
        <f t="shared" si="66"/>
        <v>0</v>
      </c>
      <c r="BX30" s="10">
        <f t="shared" si="52"/>
        <v>181.3</v>
      </c>
    </row>
    <row r="31" spans="1:76" x14ac:dyDescent="0.25">
      <c r="A31" s="16" t="s">
        <v>66</v>
      </c>
      <c r="B31" s="16" t="s">
        <v>183</v>
      </c>
      <c r="C31" s="15" t="s">
        <v>202</v>
      </c>
      <c r="D31" s="9" t="s">
        <v>126</v>
      </c>
      <c r="E31" s="12">
        <v>15</v>
      </c>
      <c r="F31" s="11">
        <v>350</v>
      </c>
      <c r="G31" s="13">
        <f t="shared" si="53"/>
        <v>271.95</v>
      </c>
      <c r="H31" s="13">
        <f t="shared" si="54"/>
        <v>4079.25</v>
      </c>
      <c r="I31" s="10">
        <v>0</v>
      </c>
      <c r="J31" s="13">
        <v>170</v>
      </c>
      <c r="K31" s="13">
        <v>46</v>
      </c>
      <c r="L31" s="13">
        <v>0</v>
      </c>
      <c r="M31" s="13">
        <f t="shared" si="55"/>
        <v>46</v>
      </c>
      <c r="N31" s="10">
        <f t="shared" si="28"/>
        <v>124</v>
      </c>
      <c r="O31" s="14">
        <v>0</v>
      </c>
      <c r="P31" s="14">
        <v>30</v>
      </c>
      <c r="Q31" s="14">
        <f t="shared" si="29"/>
        <v>30</v>
      </c>
      <c r="R31" s="10">
        <f t="shared" si="30"/>
        <v>154</v>
      </c>
      <c r="S31" s="10">
        <f t="shared" si="31"/>
        <v>124</v>
      </c>
      <c r="T31" s="13">
        <v>30</v>
      </c>
      <c r="U31" s="13">
        <v>11</v>
      </c>
      <c r="V31" s="13">
        <v>0</v>
      </c>
      <c r="W31" s="13">
        <f t="shared" si="56"/>
        <v>11</v>
      </c>
      <c r="X31" s="10">
        <f t="shared" si="32"/>
        <v>143</v>
      </c>
      <c r="Y31" s="14">
        <f t="shared" si="33"/>
        <v>0</v>
      </c>
      <c r="Z31" s="14"/>
      <c r="AA31" s="14">
        <f t="shared" si="34"/>
        <v>0</v>
      </c>
      <c r="AB31" s="10">
        <f t="shared" si="35"/>
        <v>143</v>
      </c>
      <c r="AC31" s="10">
        <f t="shared" si="36"/>
        <v>143</v>
      </c>
      <c r="AD31" s="10">
        <v>0</v>
      </c>
      <c r="AE31" s="13">
        <v>21.07</v>
      </c>
      <c r="AF31" s="13">
        <v>0</v>
      </c>
      <c r="AG31" s="13">
        <f t="shared" si="57"/>
        <v>21.07</v>
      </c>
      <c r="AH31" s="10">
        <f t="shared" si="37"/>
        <v>121.93</v>
      </c>
      <c r="AI31" s="10">
        <v>0</v>
      </c>
      <c r="AJ31" s="10">
        <f t="shared" si="38"/>
        <v>121.93</v>
      </c>
      <c r="AK31" s="10">
        <f t="shared" si="39"/>
        <v>121.93</v>
      </c>
      <c r="AL31" s="10">
        <v>0</v>
      </c>
      <c r="AM31" s="10">
        <v>14.07</v>
      </c>
      <c r="AN31" s="10">
        <v>0</v>
      </c>
      <c r="AO31" s="10">
        <f t="shared" si="58"/>
        <v>14.07</v>
      </c>
      <c r="AP31" s="10">
        <f t="shared" si="40"/>
        <v>107.86000000000001</v>
      </c>
      <c r="AQ31" s="10">
        <f t="shared" si="41"/>
        <v>0</v>
      </c>
      <c r="AR31" s="10">
        <v>0</v>
      </c>
      <c r="AS31" s="10">
        <f t="shared" si="42"/>
        <v>107.86000000000001</v>
      </c>
      <c r="AT31" s="10">
        <f t="shared" si="43"/>
        <v>107.86000000000001</v>
      </c>
      <c r="AU31" s="10">
        <v>0</v>
      </c>
      <c r="AV31" s="10">
        <v>37.67</v>
      </c>
      <c r="AW31" s="10">
        <v>1.6</v>
      </c>
      <c r="AX31" s="10">
        <f t="shared" si="59"/>
        <v>36.07</v>
      </c>
      <c r="AY31" s="10">
        <f t="shared" si="44"/>
        <v>71.790000000000006</v>
      </c>
      <c r="AZ31" s="10">
        <f t="shared" si="45"/>
        <v>0</v>
      </c>
      <c r="BA31" s="10">
        <f t="shared" si="46"/>
        <v>71.790000000000006</v>
      </c>
      <c r="BB31" s="10">
        <f t="shared" si="47"/>
        <v>71.790000000000006</v>
      </c>
      <c r="BC31" s="10">
        <v>0</v>
      </c>
      <c r="BD31" s="10">
        <v>30.87</v>
      </c>
      <c r="BE31" s="10">
        <v>4.07</v>
      </c>
      <c r="BF31" s="10">
        <f t="shared" si="48"/>
        <v>26.8</v>
      </c>
      <c r="BG31" s="10">
        <f t="shared" si="49"/>
        <v>44.99</v>
      </c>
      <c r="BH31" s="10">
        <f t="shared" si="50"/>
        <v>0</v>
      </c>
      <c r="BI31" s="10">
        <f t="shared" si="51"/>
        <v>44.99</v>
      </c>
      <c r="BJ31" s="20">
        <f t="shared" si="60"/>
        <v>44.99</v>
      </c>
      <c r="BK31" s="13">
        <v>0</v>
      </c>
      <c r="BL31" s="13">
        <v>20</v>
      </c>
      <c r="BM31" s="13">
        <v>0</v>
      </c>
      <c r="BN31" s="13">
        <f t="shared" si="61"/>
        <v>20</v>
      </c>
      <c r="BO31" s="10">
        <f t="shared" si="62"/>
        <v>24.990000000000002</v>
      </c>
      <c r="BP31" s="13">
        <v>0</v>
      </c>
      <c r="BQ31" s="13">
        <v>100</v>
      </c>
      <c r="BR31" s="13">
        <f t="shared" si="63"/>
        <v>100</v>
      </c>
      <c r="BS31" s="10">
        <f t="shared" si="64"/>
        <v>124.99000000000001</v>
      </c>
      <c r="BV31" s="10">
        <f t="shared" si="65"/>
        <v>149.81</v>
      </c>
      <c r="BW31" s="10">
        <f t="shared" si="66"/>
        <v>1.6</v>
      </c>
      <c r="BX31" s="10">
        <f t="shared" si="52"/>
        <v>148.21</v>
      </c>
    </row>
    <row r="32" spans="1:76" x14ac:dyDescent="0.25">
      <c r="A32" s="16" t="s">
        <v>46</v>
      </c>
      <c r="B32" s="16" t="s">
        <v>184</v>
      </c>
      <c r="C32" s="15" t="s">
        <v>197</v>
      </c>
      <c r="D32" s="9" t="s">
        <v>106</v>
      </c>
      <c r="E32" s="12">
        <v>40</v>
      </c>
      <c r="F32" s="11">
        <v>150</v>
      </c>
      <c r="G32" s="13">
        <f t="shared" si="53"/>
        <v>116.55</v>
      </c>
      <c r="H32" s="13">
        <f t="shared" si="54"/>
        <v>4662</v>
      </c>
      <c r="I32" s="10">
        <v>0</v>
      </c>
      <c r="J32" s="13">
        <v>125</v>
      </c>
      <c r="K32" s="13">
        <v>73</v>
      </c>
      <c r="L32" s="13">
        <v>0</v>
      </c>
      <c r="M32" s="13">
        <f t="shared" si="55"/>
        <v>73</v>
      </c>
      <c r="N32" s="10">
        <f t="shared" si="28"/>
        <v>52</v>
      </c>
      <c r="O32" s="14">
        <v>32</v>
      </c>
      <c r="P32" s="14">
        <v>25</v>
      </c>
      <c r="Q32" s="14">
        <f t="shared" si="29"/>
        <v>57</v>
      </c>
      <c r="R32" s="10">
        <f t="shared" si="30"/>
        <v>109</v>
      </c>
      <c r="S32" s="10">
        <f t="shared" si="31"/>
        <v>52</v>
      </c>
      <c r="T32" s="13">
        <v>45</v>
      </c>
      <c r="U32" s="13">
        <v>29</v>
      </c>
      <c r="V32" s="13">
        <v>0</v>
      </c>
      <c r="W32" s="13">
        <f t="shared" si="56"/>
        <v>29</v>
      </c>
      <c r="X32" s="10">
        <f t="shared" si="32"/>
        <v>68</v>
      </c>
      <c r="Y32" s="14">
        <f t="shared" si="33"/>
        <v>12</v>
      </c>
      <c r="Z32" s="14">
        <v>75</v>
      </c>
      <c r="AA32" s="14">
        <f t="shared" si="34"/>
        <v>87</v>
      </c>
      <c r="AB32" s="10">
        <f t="shared" si="35"/>
        <v>155</v>
      </c>
      <c r="AC32" s="10">
        <f t="shared" si="36"/>
        <v>68</v>
      </c>
      <c r="AD32" s="10">
        <v>12</v>
      </c>
      <c r="AE32" s="13">
        <v>30.16</v>
      </c>
      <c r="AF32" s="13">
        <v>0</v>
      </c>
      <c r="AG32" s="13">
        <f t="shared" si="57"/>
        <v>30.16</v>
      </c>
      <c r="AH32" s="10">
        <f t="shared" si="37"/>
        <v>49.84</v>
      </c>
      <c r="AI32" s="10">
        <v>75</v>
      </c>
      <c r="AJ32" s="10">
        <f t="shared" si="38"/>
        <v>124.84</v>
      </c>
      <c r="AK32" s="10">
        <f t="shared" si="39"/>
        <v>49.84</v>
      </c>
      <c r="AL32" s="10">
        <v>25</v>
      </c>
      <c r="AM32" s="10">
        <v>50.54</v>
      </c>
      <c r="AN32" s="10">
        <v>0</v>
      </c>
      <c r="AO32" s="10">
        <f t="shared" si="58"/>
        <v>50.54</v>
      </c>
      <c r="AP32" s="10">
        <f t="shared" si="40"/>
        <v>24.300000000000004</v>
      </c>
      <c r="AQ32" s="10">
        <f t="shared" si="41"/>
        <v>50</v>
      </c>
      <c r="AR32" s="10">
        <v>0</v>
      </c>
      <c r="AS32" s="10">
        <f t="shared" si="42"/>
        <v>74.300000000000011</v>
      </c>
      <c r="AT32" s="10">
        <f t="shared" si="43"/>
        <v>24.300000000000004</v>
      </c>
      <c r="AU32" s="10">
        <v>50</v>
      </c>
      <c r="AV32" s="10">
        <v>61.35</v>
      </c>
      <c r="AW32" s="10">
        <v>2.5499999999999998</v>
      </c>
      <c r="AX32" s="10">
        <f t="shared" si="59"/>
        <v>58.800000000000004</v>
      </c>
      <c r="AY32" s="10">
        <f t="shared" si="44"/>
        <v>15.500000000000011</v>
      </c>
      <c r="AZ32" s="10">
        <f t="shared" si="45"/>
        <v>0</v>
      </c>
      <c r="BA32" s="10">
        <f t="shared" si="46"/>
        <v>15.500000000000011</v>
      </c>
      <c r="BB32" s="10">
        <f t="shared" si="47"/>
        <v>15.500000000000011</v>
      </c>
      <c r="BC32" s="10">
        <v>0</v>
      </c>
      <c r="BD32" s="10">
        <v>19.23</v>
      </c>
      <c r="BE32" s="10">
        <v>4.13</v>
      </c>
      <c r="BF32" s="10">
        <f t="shared" si="48"/>
        <v>15.100000000000001</v>
      </c>
      <c r="BG32" s="10">
        <f t="shared" si="49"/>
        <v>0.40000000000001013</v>
      </c>
      <c r="BH32" s="10">
        <f t="shared" si="50"/>
        <v>0</v>
      </c>
      <c r="BI32" s="10">
        <f t="shared" si="51"/>
        <v>0.40000000000001013</v>
      </c>
      <c r="BJ32" s="20">
        <f t="shared" si="60"/>
        <v>0.40000000000001013</v>
      </c>
      <c r="BK32" s="13">
        <v>0</v>
      </c>
      <c r="BL32" s="13">
        <v>0</v>
      </c>
      <c r="BM32" s="13">
        <v>0.13</v>
      </c>
      <c r="BN32" s="13">
        <f t="shared" si="61"/>
        <v>-0.13</v>
      </c>
      <c r="BO32" s="10">
        <f t="shared" si="62"/>
        <v>0.53000000000001013</v>
      </c>
      <c r="BP32" s="13">
        <v>100</v>
      </c>
      <c r="BQ32" s="13">
        <v>100</v>
      </c>
      <c r="BR32" s="13">
        <f t="shared" si="63"/>
        <v>200</v>
      </c>
      <c r="BS32" s="10">
        <f t="shared" si="64"/>
        <v>200.53</v>
      </c>
      <c r="BV32" s="10">
        <f t="shared" si="65"/>
        <v>244.04999999999998</v>
      </c>
      <c r="BW32" s="10">
        <f t="shared" si="66"/>
        <v>2.6799999999999997</v>
      </c>
      <c r="BX32" s="10">
        <f t="shared" si="52"/>
        <v>241.36999999999998</v>
      </c>
    </row>
    <row r="33" spans="1:76" x14ac:dyDescent="0.25">
      <c r="A33" s="16" t="s">
        <v>65</v>
      </c>
      <c r="B33" s="16" t="s">
        <v>185</v>
      </c>
      <c r="C33" s="15" t="s">
        <v>199</v>
      </c>
      <c r="D33" s="9" t="s">
        <v>125</v>
      </c>
      <c r="E33" s="12">
        <v>20</v>
      </c>
      <c r="F33" s="11">
        <v>235</v>
      </c>
      <c r="G33" s="13">
        <f t="shared" si="53"/>
        <v>182.6</v>
      </c>
      <c r="H33" s="13">
        <f t="shared" si="54"/>
        <v>3652</v>
      </c>
      <c r="I33" s="10">
        <v>0</v>
      </c>
      <c r="J33" s="13">
        <v>250</v>
      </c>
      <c r="K33" s="13">
        <v>75</v>
      </c>
      <c r="L33" s="13">
        <v>0</v>
      </c>
      <c r="M33" s="13">
        <f t="shared" si="55"/>
        <v>75</v>
      </c>
      <c r="N33" s="10">
        <f t="shared" si="28"/>
        <v>175</v>
      </c>
      <c r="O33" s="14">
        <v>0</v>
      </c>
      <c r="P33" s="14">
        <v>50</v>
      </c>
      <c r="Q33" s="14">
        <f t="shared" si="29"/>
        <v>50</v>
      </c>
      <c r="R33" s="10">
        <f t="shared" si="30"/>
        <v>225</v>
      </c>
      <c r="S33" s="10">
        <f t="shared" si="31"/>
        <v>175</v>
      </c>
      <c r="T33" s="13">
        <v>50</v>
      </c>
      <c r="U33" s="13">
        <v>29</v>
      </c>
      <c r="V33" s="13">
        <v>0</v>
      </c>
      <c r="W33" s="13">
        <f t="shared" si="56"/>
        <v>29</v>
      </c>
      <c r="X33" s="10">
        <f t="shared" si="32"/>
        <v>196</v>
      </c>
      <c r="Y33" s="14">
        <f t="shared" si="33"/>
        <v>0</v>
      </c>
      <c r="Z33" s="14"/>
      <c r="AA33" s="14">
        <f t="shared" si="34"/>
        <v>0</v>
      </c>
      <c r="AB33" s="10">
        <f t="shared" si="35"/>
        <v>196</v>
      </c>
      <c r="AC33" s="10">
        <f t="shared" si="36"/>
        <v>196</v>
      </c>
      <c r="AD33" s="10">
        <v>0</v>
      </c>
      <c r="AE33" s="13">
        <v>52.05</v>
      </c>
      <c r="AF33" s="13">
        <v>0</v>
      </c>
      <c r="AG33" s="13">
        <f t="shared" si="57"/>
        <v>52.05</v>
      </c>
      <c r="AH33" s="10">
        <f t="shared" si="37"/>
        <v>143.94999999999999</v>
      </c>
      <c r="AI33" s="10">
        <v>0</v>
      </c>
      <c r="AJ33" s="10">
        <f t="shared" si="38"/>
        <v>143.94999999999999</v>
      </c>
      <c r="AK33" s="10">
        <f t="shared" si="39"/>
        <v>143.94999999999999</v>
      </c>
      <c r="AL33" s="10">
        <v>0</v>
      </c>
      <c r="AM33" s="10">
        <v>94.05</v>
      </c>
      <c r="AN33" s="10">
        <v>0</v>
      </c>
      <c r="AO33" s="10">
        <f t="shared" si="58"/>
        <v>94.05</v>
      </c>
      <c r="AP33" s="10">
        <f t="shared" si="40"/>
        <v>49.899999999999991</v>
      </c>
      <c r="AQ33" s="10">
        <f t="shared" si="41"/>
        <v>0</v>
      </c>
      <c r="AR33" s="10">
        <v>0</v>
      </c>
      <c r="AS33" s="10">
        <f t="shared" si="42"/>
        <v>49.899999999999991</v>
      </c>
      <c r="AT33" s="10">
        <f t="shared" si="43"/>
        <v>49.899999999999991</v>
      </c>
      <c r="AU33" s="10">
        <v>0</v>
      </c>
      <c r="AV33" s="10">
        <v>50.35</v>
      </c>
      <c r="AW33" s="10">
        <v>3.35</v>
      </c>
      <c r="AX33" s="10">
        <f t="shared" si="59"/>
        <v>47</v>
      </c>
      <c r="AY33" s="10">
        <f t="shared" si="44"/>
        <v>2.8999999999999901</v>
      </c>
      <c r="AZ33" s="10">
        <f t="shared" si="45"/>
        <v>0</v>
      </c>
      <c r="BA33" s="10">
        <f t="shared" si="46"/>
        <v>2.8999999999999901</v>
      </c>
      <c r="BB33" s="10">
        <f t="shared" si="47"/>
        <v>2.8999999999999901</v>
      </c>
      <c r="BC33" s="10">
        <v>0</v>
      </c>
      <c r="BD33" s="10">
        <v>6</v>
      </c>
      <c r="BE33" s="10">
        <v>3.85</v>
      </c>
      <c r="BF33" s="10">
        <f t="shared" si="48"/>
        <v>2.15</v>
      </c>
      <c r="BG33" s="10">
        <f t="shared" si="49"/>
        <v>0.74999999999999023</v>
      </c>
      <c r="BH33" s="10">
        <f t="shared" si="50"/>
        <v>0</v>
      </c>
      <c r="BI33" s="10">
        <f t="shared" si="51"/>
        <v>0.74999999999999023</v>
      </c>
      <c r="BJ33" s="20">
        <f t="shared" si="60"/>
        <v>0.74999999999999023</v>
      </c>
      <c r="BK33" s="13">
        <v>0</v>
      </c>
      <c r="BL33" s="13">
        <v>0</v>
      </c>
      <c r="BM33" s="13">
        <v>0</v>
      </c>
      <c r="BN33" s="13">
        <f t="shared" si="61"/>
        <v>0</v>
      </c>
      <c r="BO33" s="10">
        <f t="shared" si="62"/>
        <v>0.74999999999999023</v>
      </c>
      <c r="BP33" s="13">
        <v>75</v>
      </c>
      <c r="BQ33" s="13">
        <v>125</v>
      </c>
      <c r="BR33" s="13">
        <f t="shared" si="63"/>
        <v>200</v>
      </c>
      <c r="BS33" s="10">
        <f t="shared" si="64"/>
        <v>200.75</v>
      </c>
      <c r="BV33" s="10">
        <f t="shared" si="65"/>
        <v>300.45000000000005</v>
      </c>
      <c r="BW33" s="10">
        <f t="shared" si="66"/>
        <v>3.35</v>
      </c>
      <c r="BX33" s="10">
        <f t="shared" si="52"/>
        <v>297.10000000000002</v>
      </c>
    </row>
    <row r="34" spans="1:76" x14ac:dyDescent="0.25">
      <c r="A34" s="16" t="s">
        <v>67</v>
      </c>
      <c r="B34" s="16" t="s">
        <v>220</v>
      </c>
      <c r="C34" s="15" t="s">
        <v>202</v>
      </c>
      <c r="D34" s="9" t="s">
        <v>127</v>
      </c>
      <c r="E34" s="12">
        <v>15</v>
      </c>
      <c r="F34" s="11">
        <v>350</v>
      </c>
      <c r="G34" s="13">
        <f t="shared" si="53"/>
        <v>271.95</v>
      </c>
      <c r="H34" s="13">
        <f t="shared" si="54"/>
        <v>4079.25</v>
      </c>
      <c r="I34" s="10">
        <v>0</v>
      </c>
      <c r="J34" s="13">
        <v>280</v>
      </c>
      <c r="K34" s="13">
        <v>96</v>
      </c>
      <c r="L34" s="13">
        <v>0</v>
      </c>
      <c r="M34" s="13">
        <f t="shared" si="55"/>
        <v>96</v>
      </c>
      <c r="N34" s="10">
        <f t="shared" si="28"/>
        <v>184</v>
      </c>
      <c r="O34" s="14">
        <v>0</v>
      </c>
      <c r="P34" s="14">
        <v>70</v>
      </c>
      <c r="Q34" s="14">
        <f t="shared" si="29"/>
        <v>70</v>
      </c>
      <c r="R34" s="10">
        <f t="shared" si="30"/>
        <v>254</v>
      </c>
      <c r="S34" s="10">
        <f t="shared" si="31"/>
        <v>184</v>
      </c>
      <c r="T34" s="13">
        <v>70</v>
      </c>
      <c r="U34" s="13">
        <v>24</v>
      </c>
      <c r="V34" s="13">
        <v>0</v>
      </c>
      <c r="W34" s="13">
        <f t="shared" si="56"/>
        <v>24</v>
      </c>
      <c r="X34" s="10">
        <f t="shared" si="32"/>
        <v>230</v>
      </c>
      <c r="Y34" s="14">
        <f t="shared" si="33"/>
        <v>0</v>
      </c>
      <c r="Z34" s="14"/>
      <c r="AA34" s="14">
        <f t="shared" si="34"/>
        <v>0</v>
      </c>
      <c r="AB34" s="10">
        <f t="shared" si="35"/>
        <v>230</v>
      </c>
      <c r="AC34" s="10">
        <f t="shared" si="36"/>
        <v>230</v>
      </c>
      <c r="AD34" s="10">
        <v>0</v>
      </c>
      <c r="AE34" s="13">
        <v>73.069999999999993</v>
      </c>
      <c r="AF34" s="13">
        <v>0</v>
      </c>
      <c r="AG34" s="13">
        <f t="shared" si="57"/>
        <v>73.069999999999993</v>
      </c>
      <c r="AH34" s="10">
        <f t="shared" si="37"/>
        <v>156.93</v>
      </c>
      <c r="AI34" s="10">
        <v>0</v>
      </c>
      <c r="AJ34" s="10">
        <f t="shared" si="38"/>
        <v>156.93</v>
      </c>
      <c r="AK34" s="10">
        <f t="shared" si="39"/>
        <v>156.93</v>
      </c>
      <c r="AL34" s="10">
        <v>0</v>
      </c>
      <c r="AM34" s="10">
        <v>57.07</v>
      </c>
      <c r="AN34" s="10">
        <v>0</v>
      </c>
      <c r="AO34" s="10">
        <f t="shared" si="58"/>
        <v>57.07</v>
      </c>
      <c r="AP34" s="10">
        <f t="shared" si="40"/>
        <v>99.860000000000014</v>
      </c>
      <c r="AQ34" s="10">
        <f t="shared" si="41"/>
        <v>0</v>
      </c>
      <c r="AR34" s="10">
        <v>0</v>
      </c>
      <c r="AS34" s="10">
        <f t="shared" si="42"/>
        <v>99.860000000000014</v>
      </c>
      <c r="AT34" s="10">
        <f t="shared" si="43"/>
        <v>99.860000000000014</v>
      </c>
      <c r="AU34" s="10">
        <v>0</v>
      </c>
      <c r="AV34" s="10">
        <v>38</v>
      </c>
      <c r="AW34" s="10">
        <v>1.87</v>
      </c>
      <c r="AX34" s="10">
        <f t="shared" si="59"/>
        <v>36.130000000000003</v>
      </c>
      <c r="AY34" s="10">
        <f t="shared" si="44"/>
        <v>63.730000000000011</v>
      </c>
      <c r="AZ34" s="10">
        <f t="shared" si="45"/>
        <v>0</v>
      </c>
      <c r="BA34" s="10">
        <f t="shared" si="46"/>
        <v>63.730000000000011</v>
      </c>
      <c r="BB34" s="10">
        <f t="shared" si="47"/>
        <v>63.730000000000011</v>
      </c>
      <c r="BC34" s="10">
        <v>0</v>
      </c>
      <c r="BD34" s="10">
        <v>44.73</v>
      </c>
      <c r="BE34" s="10">
        <v>3.8</v>
      </c>
      <c r="BF34" s="10">
        <f t="shared" si="48"/>
        <v>40.93</v>
      </c>
      <c r="BG34" s="10">
        <f t="shared" si="49"/>
        <v>22.800000000000015</v>
      </c>
      <c r="BH34" s="10">
        <f t="shared" si="50"/>
        <v>0</v>
      </c>
      <c r="BI34" s="10">
        <f t="shared" si="51"/>
        <v>22.800000000000015</v>
      </c>
      <c r="BJ34" s="20">
        <f t="shared" si="60"/>
        <v>22.800000000000015</v>
      </c>
      <c r="BK34" s="13">
        <v>0</v>
      </c>
      <c r="BL34" s="13">
        <v>34</v>
      </c>
      <c r="BM34" s="13">
        <v>14</v>
      </c>
      <c r="BN34" s="13">
        <f t="shared" si="61"/>
        <v>20</v>
      </c>
      <c r="BO34" s="10">
        <f t="shared" si="62"/>
        <v>2.8000000000000149</v>
      </c>
      <c r="BP34" s="13">
        <v>0</v>
      </c>
      <c r="BQ34" s="13">
        <v>100</v>
      </c>
      <c r="BR34" s="13">
        <f t="shared" si="63"/>
        <v>100</v>
      </c>
      <c r="BS34" s="10">
        <f t="shared" si="64"/>
        <v>102.80000000000001</v>
      </c>
      <c r="BV34" s="10">
        <f t="shared" si="65"/>
        <v>322.14</v>
      </c>
      <c r="BW34" s="10">
        <f t="shared" si="66"/>
        <v>15.870000000000001</v>
      </c>
      <c r="BX34" s="10">
        <f t="shared" si="52"/>
        <v>306.27</v>
      </c>
    </row>
    <row r="35" spans="1:76" x14ac:dyDescent="0.25">
      <c r="A35" s="16" t="s">
        <v>15</v>
      </c>
      <c r="B35" s="16" t="s">
        <v>193</v>
      </c>
      <c r="C35" s="15" t="s">
        <v>198</v>
      </c>
      <c r="D35" s="9" t="s">
        <v>75</v>
      </c>
      <c r="E35" s="12">
        <v>20</v>
      </c>
      <c r="F35" s="11">
        <v>275</v>
      </c>
      <c r="G35" s="13">
        <f t="shared" si="53"/>
        <v>213.68</v>
      </c>
      <c r="H35" s="13">
        <f t="shared" si="54"/>
        <v>4273.6000000000004</v>
      </c>
      <c r="I35" s="10">
        <v>2.5</v>
      </c>
      <c r="J35" s="13">
        <v>0</v>
      </c>
      <c r="K35" s="13">
        <v>2.0499999999999998</v>
      </c>
      <c r="L35" s="13">
        <v>0</v>
      </c>
      <c r="M35" s="13">
        <f t="shared" si="55"/>
        <v>2.0499999999999998</v>
      </c>
      <c r="N35" s="10">
        <f t="shared" si="28"/>
        <v>0.45000000000000018</v>
      </c>
      <c r="O35" s="14">
        <v>0</v>
      </c>
      <c r="P35" s="14"/>
      <c r="Q35" s="14">
        <f t="shared" si="29"/>
        <v>0</v>
      </c>
      <c r="R35" s="10">
        <f t="shared" si="30"/>
        <v>0.45000000000000018</v>
      </c>
      <c r="S35" s="10">
        <f t="shared" si="31"/>
        <v>0.45000000000000018</v>
      </c>
      <c r="T35" s="13">
        <v>0</v>
      </c>
      <c r="U35" s="13">
        <v>0</v>
      </c>
      <c r="V35" s="13">
        <v>0</v>
      </c>
      <c r="W35" s="13">
        <f t="shared" si="56"/>
        <v>0</v>
      </c>
      <c r="X35" s="10">
        <f t="shared" si="32"/>
        <v>0.45000000000000018</v>
      </c>
      <c r="Y35" s="14">
        <f t="shared" si="33"/>
        <v>0</v>
      </c>
      <c r="Z35" s="14"/>
      <c r="AA35" s="14">
        <f t="shared" si="34"/>
        <v>0</v>
      </c>
      <c r="AB35" s="10">
        <f t="shared" si="35"/>
        <v>0.45000000000000018</v>
      </c>
      <c r="AC35" s="10">
        <f t="shared" si="36"/>
        <v>0.45000000000000018</v>
      </c>
      <c r="AD35" s="10">
        <v>0</v>
      </c>
      <c r="AE35" s="13">
        <v>0.05</v>
      </c>
      <c r="AF35" s="13">
        <v>0</v>
      </c>
      <c r="AG35" s="13">
        <f t="shared" si="57"/>
        <v>0.05</v>
      </c>
      <c r="AH35" s="10">
        <f t="shared" si="37"/>
        <v>0.40000000000000019</v>
      </c>
      <c r="AI35" s="10">
        <v>0</v>
      </c>
      <c r="AJ35" s="10">
        <f t="shared" si="38"/>
        <v>0.40000000000000019</v>
      </c>
      <c r="AK35" s="10">
        <f t="shared" si="39"/>
        <v>0.40000000000000019</v>
      </c>
      <c r="AL35" s="10">
        <v>0</v>
      </c>
      <c r="AM35" s="10">
        <v>0</v>
      </c>
      <c r="AN35" s="10">
        <v>0</v>
      </c>
      <c r="AO35" s="10">
        <f t="shared" si="58"/>
        <v>0</v>
      </c>
      <c r="AP35" s="10">
        <f t="shared" si="40"/>
        <v>0.40000000000000019</v>
      </c>
      <c r="AQ35" s="10">
        <f t="shared" si="41"/>
        <v>0</v>
      </c>
      <c r="AR35" s="10">
        <v>0</v>
      </c>
      <c r="AS35" s="10">
        <f t="shared" si="42"/>
        <v>0.40000000000000019</v>
      </c>
      <c r="AT35" s="10">
        <f t="shared" si="43"/>
        <v>0.40000000000000019</v>
      </c>
      <c r="AU35" s="10">
        <v>2.7</v>
      </c>
      <c r="AV35" s="10">
        <v>2.7</v>
      </c>
      <c r="AW35" s="10">
        <v>0</v>
      </c>
      <c r="AX35" s="10">
        <f t="shared" si="59"/>
        <v>2.7</v>
      </c>
      <c r="AY35" s="10">
        <f t="shared" si="44"/>
        <v>0.40000000000000036</v>
      </c>
      <c r="AZ35" s="10">
        <f t="shared" si="45"/>
        <v>0</v>
      </c>
      <c r="BA35" s="10">
        <f t="shared" si="46"/>
        <v>0.40000000000000036</v>
      </c>
      <c r="BB35" s="10">
        <f t="shared" si="47"/>
        <v>0.40000000000000036</v>
      </c>
      <c r="BC35" s="10">
        <v>0</v>
      </c>
      <c r="BD35" s="10">
        <v>0</v>
      </c>
      <c r="BE35" s="10">
        <v>0</v>
      </c>
      <c r="BF35" s="10">
        <f t="shared" si="48"/>
        <v>0</v>
      </c>
      <c r="BG35" s="10">
        <f t="shared" si="49"/>
        <v>0.40000000000000036</v>
      </c>
      <c r="BH35" s="10">
        <f t="shared" si="50"/>
        <v>0</v>
      </c>
      <c r="BI35" s="10">
        <f t="shared" si="51"/>
        <v>0.40000000000000036</v>
      </c>
      <c r="BJ35" s="20">
        <f t="shared" si="60"/>
        <v>0.40000000000000036</v>
      </c>
      <c r="BK35" s="13">
        <v>0</v>
      </c>
      <c r="BL35" s="13">
        <v>0</v>
      </c>
      <c r="BM35" s="13">
        <v>0</v>
      </c>
      <c r="BN35" s="13">
        <f t="shared" si="61"/>
        <v>0</v>
      </c>
      <c r="BO35" s="10">
        <f t="shared" si="62"/>
        <v>0.40000000000000036</v>
      </c>
      <c r="BP35" s="13">
        <v>50</v>
      </c>
      <c r="BQ35" s="13">
        <v>0</v>
      </c>
      <c r="BR35" s="13">
        <f t="shared" si="63"/>
        <v>50</v>
      </c>
      <c r="BS35" s="10">
        <f t="shared" si="64"/>
        <v>50.4</v>
      </c>
      <c r="BV35" s="10">
        <f t="shared" si="65"/>
        <v>4.8</v>
      </c>
      <c r="BW35" s="10">
        <f t="shared" si="66"/>
        <v>0</v>
      </c>
      <c r="BX35" s="10">
        <f t="shared" si="52"/>
        <v>4.8</v>
      </c>
    </row>
    <row r="36" spans="1:76" x14ac:dyDescent="0.25">
      <c r="A36" s="16" t="s">
        <v>33</v>
      </c>
      <c r="B36" s="16" t="s">
        <v>221</v>
      </c>
      <c r="C36" s="15" t="s">
        <v>142</v>
      </c>
      <c r="D36" s="9" t="s">
        <v>93</v>
      </c>
      <c r="E36" s="12">
        <v>240</v>
      </c>
      <c r="F36" s="11">
        <v>20</v>
      </c>
      <c r="G36" s="13">
        <f t="shared" si="53"/>
        <v>15.54</v>
      </c>
      <c r="H36" s="13">
        <f t="shared" si="54"/>
        <v>3729.6</v>
      </c>
      <c r="I36" s="10">
        <v>0</v>
      </c>
      <c r="J36" s="13">
        <v>25</v>
      </c>
      <c r="K36" s="13">
        <v>6</v>
      </c>
      <c r="L36" s="13">
        <v>0</v>
      </c>
      <c r="M36" s="13">
        <f t="shared" si="55"/>
        <v>6</v>
      </c>
      <c r="N36" s="10">
        <f t="shared" si="28"/>
        <v>19</v>
      </c>
      <c r="O36" s="14">
        <v>0</v>
      </c>
      <c r="P36" s="14"/>
      <c r="Q36" s="14">
        <f t="shared" si="29"/>
        <v>0</v>
      </c>
      <c r="R36" s="10">
        <f t="shared" si="30"/>
        <v>19</v>
      </c>
      <c r="S36" s="10">
        <f t="shared" si="31"/>
        <v>19</v>
      </c>
      <c r="T36" s="13">
        <v>0</v>
      </c>
      <c r="U36" s="13">
        <v>4</v>
      </c>
      <c r="V36" s="13">
        <v>0</v>
      </c>
      <c r="W36" s="13">
        <f t="shared" si="56"/>
        <v>4</v>
      </c>
      <c r="X36" s="10">
        <f t="shared" si="32"/>
        <v>15</v>
      </c>
      <c r="Y36" s="14">
        <f t="shared" si="33"/>
        <v>0</v>
      </c>
      <c r="Z36" s="14"/>
      <c r="AA36" s="14">
        <f t="shared" si="34"/>
        <v>0</v>
      </c>
      <c r="AB36" s="10">
        <f t="shared" si="35"/>
        <v>15</v>
      </c>
      <c r="AC36" s="10">
        <f t="shared" si="36"/>
        <v>15</v>
      </c>
      <c r="AD36" s="10">
        <v>0</v>
      </c>
      <c r="AE36" s="13">
        <v>0</v>
      </c>
      <c r="AF36" s="13">
        <v>0</v>
      </c>
      <c r="AG36" s="13">
        <f t="shared" si="57"/>
        <v>0</v>
      </c>
      <c r="AH36" s="10">
        <f t="shared" si="37"/>
        <v>15</v>
      </c>
      <c r="AI36" s="10">
        <v>0</v>
      </c>
      <c r="AJ36" s="10">
        <f t="shared" si="38"/>
        <v>15</v>
      </c>
      <c r="AK36" s="10">
        <f t="shared" si="39"/>
        <v>15</v>
      </c>
      <c r="AL36" s="10">
        <v>0</v>
      </c>
      <c r="AM36" s="10">
        <v>11</v>
      </c>
      <c r="AN36" s="10">
        <v>0</v>
      </c>
      <c r="AO36" s="10">
        <f t="shared" si="58"/>
        <v>11</v>
      </c>
      <c r="AP36" s="10">
        <f t="shared" si="40"/>
        <v>4</v>
      </c>
      <c r="AQ36" s="10">
        <f t="shared" si="41"/>
        <v>0</v>
      </c>
      <c r="AR36" s="10">
        <v>0</v>
      </c>
      <c r="AS36" s="10">
        <f t="shared" si="42"/>
        <v>4</v>
      </c>
      <c r="AT36" s="10">
        <f t="shared" si="43"/>
        <v>4</v>
      </c>
      <c r="AU36" s="10">
        <v>0</v>
      </c>
      <c r="AV36" s="10">
        <v>5</v>
      </c>
      <c r="AW36" s="10">
        <v>1</v>
      </c>
      <c r="AX36" s="10">
        <f t="shared" si="59"/>
        <v>4</v>
      </c>
      <c r="AY36" s="10">
        <f t="shared" si="44"/>
        <v>0</v>
      </c>
      <c r="AZ36" s="10">
        <f t="shared" si="45"/>
        <v>0</v>
      </c>
      <c r="BA36" s="10">
        <f t="shared" si="46"/>
        <v>0</v>
      </c>
      <c r="BB36" s="10">
        <f t="shared" si="47"/>
        <v>0</v>
      </c>
      <c r="BC36" s="10">
        <v>0</v>
      </c>
      <c r="BD36" s="10">
        <v>0</v>
      </c>
      <c r="BE36" s="10">
        <v>0</v>
      </c>
      <c r="BF36" s="10">
        <f t="shared" si="48"/>
        <v>0</v>
      </c>
      <c r="BG36" s="10">
        <f t="shared" si="49"/>
        <v>0</v>
      </c>
      <c r="BH36" s="10">
        <f t="shared" si="50"/>
        <v>0</v>
      </c>
      <c r="BI36" s="10">
        <f t="shared" si="51"/>
        <v>0</v>
      </c>
      <c r="BJ36" s="20">
        <f t="shared" si="60"/>
        <v>0</v>
      </c>
      <c r="BK36" s="13">
        <v>0</v>
      </c>
      <c r="BL36" s="13">
        <v>0</v>
      </c>
      <c r="BM36" s="13">
        <v>0</v>
      </c>
      <c r="BN36" s="13">
        <f t="shared" si="61"/>
        <v>0</v>
      </c>
      <c r="BO36" s="10">
        <f t="shared" si="62"/>
        <v>0</v>
      </c>
      <c r="BP36" s="13">
        <v>0</v>
      </c>
      <c r="BQ36" s="13">
        <v>25</v>
      </c>
      <c r="BR36" s="13">
        <f t="shared" si="63"/>
        <v>25</v>
      </c>
      <c r="BS36" s="10">
        <f t="shared" si="64"/>
        <v>25</v>
      </c>
      <c r="BV36" s="10">
        <f t="shared" si="65"/>
        <v>26</v>
      </c>
      <c r="BW36" s="10">
        <f t="shared" si="66"/>
        <v>1</v>
      </c>
      <c r="BX36" s="10">
        <f t="shared" si="52"/>
        <v>25</v>
      </c>
    </row>
    <row r="37" spans="1:76" x14ac:dyDescent="0.25">
      <c r="A37" s="16" t="s">
        <v>21</v>
      </c>
      <c r="B37" s="16" t="s">
        <v>181</v>
      </c>
      <c r="C37" s="15" t="s">
        <v>197</v>
      </c>
      <c r="D37" s="9" t="s">
        <v>81</v>
      </c>
      <c r="E37" s="12">
        <v>40</v>
      </c>
      <c r="F37" s="11">
        <v>150</v>
      </c>
      <c r="G37" s="13">
        <f t="shared" si="53"/>
        <v>116.55</v>
      </c>
      <c r="H37" s="13">
        <f t="shared" si="54"/>
        <v>4662</v>
      </c>
      <c r="I37" s="10">
        <v>17.03</v>
      </c>
      <c r="J37" s="13">
        <v>0</v>
      </c>
      <c r="K37" s="13">
        <v>17</v>
      </c>
      <c r="L37" s="13">
        <v>0</v>
      </c>
      <c r="M37" s="13">
        <f t="shared" si="55"/>
        <v>17</v>
      </c>
      <c r="N37" s="10">
        <f t="shared" si="28"/>
        <v>3.0000000000001137E-2</v>
      </c>
      <c r="O37" s="14">
        <v>0</v>
      </c>
      <c r="P37" s="14"/>
      <c r="Q37" s="14">
        <f t="shared" ref="Q37:Q65" si="67">O37+P37</f>
        <v>0</v>
      </c>
      <c r="R37" s="10">
        <f t="shared" ref="R37:R65" si="68">N37+Q37</f>
        <v>3.0000000000001137E-2</v>
      </c>
      <c r="S37" s="10">
        <f t="shared" ref="S37:S65" si="69">N37</f>
        <v>3.0000000000001137E-2</v>
      </c>
      <c r="T37" s="13">
        <v>0</v>
      </c>
      <c r="U37" s="13">
        <v>0</v>
      </c>
      <c r="V37" s="13">
        <v>0</v>
      </c>
      <c r="W37" s="13">
        <f t="shared" si="56"/>
        <v>0</v>
      </c>
      <c r="X37" s="10">
        <f t="shared" si="32"/>
        <v>3.0000000000001137E-2</v>
      </c>
      <c r="Y37" s="14">
        <f t="shared" ref="Y37:Y65" si="70">Q37-T37</f>
        <v>0</v>
      </c>
      <c r="Z37" s="14"/>
      <c r="AA37" s="14">
        <f t="shared" ref="AA37:AA65" si="71">Y37+Z37</f>
        <v>0</v>
      </c>
      <c r="AB37" s="10">
        <f t="shared" ref="AB37:AB65" si="72">X37+AA37</f>
        <v>3.0000000000001137E-2</v>
      </c>
      <c r="AC37" s="10">
        <f t="shared" ref="AC37:AC65" si="73">X37</f>
        <v>3.0000000000001137E-2</v>
      </c>
      <c r="AD37" s="10">
        <v>0</v>
      </c>
      <c r="AE37" s="13">
        <v>0.03</v>
      </c>
      <c r="AF37" s="13">
        <v>0</v>
      </c>
      <c r="AG37" s="13">
        <f t="shared" si="57"/>
        <v>0.03</v>
      </c>
      <c r="AH37" s="10">
        <f t="shared" ref="AH37:AH65" si="74">AC37+AD37-AE37+AF37</f>
        <v>1.1379786002407855E-15</v>
      </c>
      <c r="AI37" s="10">
        <v>0</v>
      </c>
      <c r="AJ37" s="10">
        <f t="shared" ref="AJ37:AJ65" si="75">AI37+AH37</f>
        <v>1.1379786002407855E-15</v>
      </c>
      <c r="AK37" s="10">
        <f t="shared" ref="AK37:AK65" si="76">AH37</f>
        <v>1.1379786002407855E-15</v>
      </c>
      <c r="AL37" s="10">
        <v>0</v>
      </c>
      <c r="AM37" s="10">
        <v>0</v>
      </c>
      <c r="AN37" s="10">
        <v>0</v>
      </c>
      <c r="AO37" s="10">
        <f t="shared" si="58"/>
        <v>0</v>
      </c>
      <c r="AP37" s="10">
        <f t="shared" ref="AP37:AP65" si="77">AK37+AL37-AM37+AN37</f>
        <v>1.1379786002407855E-15</v>
      </c>
      <c r="AQ37" s="10">
        <f t="shared" ref="AQ37:AQ65" si="78">AI37-AL37</f>
        <v>0</v>
      </c>
      <c r="AR37" s="10">
        <v>0</v>
      </c>
      <c r="AS37" s="10">
        <f t="shared" ref="AS37:AS65" si="79">AP37+AQ37+AR37</f>
        <v>1.1379786002407855E-15</v>
      </c>
      <c r="AT37" s="10">
        <f t="shared" ref="AT37:AT65" si="80">AP37</f>
        <v>1.1379786002407855E-15</v>
      </c>
      <c r="AU37" s="10">
        <v>1.93</v>
      </c>
      <c r="AV37" s="10">
        <v>1.93</v>
      </c>
      <c r="AW37" s="10">
        <v>0</v>
      </c>
      <c r="AX37" s="10">
        <f t="shared" si="59"/>
        <v>1.93</v>
      </c>
      <c r="AY37" s="10">
        <f t="shared" ref="AY37:AY67" si="81">AT37+AU37-AV37+AW37</f>
        <v>1.1102230246251565E-15</v>
      </c>
      <c r="AZ37" s="10">
        <f t="shared" ref="AZ37:AZ67" si="82">AR37</f>
        <v>0</v>
      </c>
      <c r="BA37" s="10">
        <f t="shared" ref="BA37:BA67" si="83">AY37+AZ37</f>
        <v>1.1102230246251565E-15</v>
      </c>
      <c r="BB37" s="10">
        <f t="shared" ref="BB37:BB67" si="84">AY37</f>
        <v>1.1102230246251565E-15</v>
      </c>
      <c r="BC37" s="10">
        <v>0</v>
      </c>
      <c r="BD37" s="10">
        <v>0</v>
      </c>
      <c r="BE37" s="10">
        <v>0</v>
      </c>
      <c r="BF37" s="10">
        <f t="shared" si="48"/>
        <v>0</v>
      </c>
      <c r="BG37" s="10">
        <f t="shared" ref="BG37:BG67" si="85">BB37+BC37-BD37+BE37</f>
        <v>1.1102230246251565E-15</v>
      </c>
      <c r="BH37" s="10">
        <f t="shared" ref="BH37:BH67" si="86">AZ37-BC37</f>
        <v>0</v>
      </c>
      <c r="BI37" s="10">
        <f t="shared" ref="BI37:BI67" si="87">BG37+BH37</f>
        <v>1.1102230246251565E-15</v>
      </c>
      <c r="BJ37" s="20">
        <f t="shared" si="60"/>
        <v>1.1102230246251565E-15</v>
      </c>
      <c r="BK37" s="13">
        <v>0</v>
      </c>
      <c r="BL37" s="13">
        <v>0</v>
      </c>
      <c r="BM37" s="13">
        <v>0.38</v>
      </c>
      <c r="BN37" s="13">
        <f t="shared" si="61"/>
        <v>-0.38</v>
      </c>
      <c r="BO37" s="10">
        <f t="shared" si="62"/>
        <v>0.38000000000000111</v>
      </c>
      <c r="BP37" s="13">
        <v>0</v>
      </c>
      <c r="BQ37" s="13">
        <v>0</v>
      </c>
      <c r="BR37" s="13">
        <f t="shared" si="63"/>
        <v>0</v>
      </c>
      <c r="BS37" s="10">
        <f t="shared" si="64"/>
        <v>0.38000000000000111</v>
      </c>
      <c r="BV37" s="10">
        <f t="shared" si="65"/>
        <v>18.96</v>
      </c>
      <c r="BW37" s="10">
        <f t="shared" si="66"/>
        <v>0.38</v>
      </c>
      <c r="BX37" s="10">
        <f t="shared" ref="BX37:BX67" si="88">+BV37-BW37</f>
        <v>18.580000000000002</v>
      </c>
    </row>
    <row r="38" spans="1:76" x14ac:dyDescent="0.25">
      <c r="A38" s="16" t="s">
        <v>14</v>
      </c>
      <c r="B38" s="16" t="s">
        <v>194</v>
      </c>
      <c r="C38" s="15" t="s">
        <v>198</v>
      </c>
      <c r="D38" s="9" t="s">
        <v>74</v>
      </c>
      <c r="E38" s="12">
        <v>20</v>
      </c>
      <c r="F38" s="11">
        <v>275</v>
      </c>
      <c r="G38" s="13">
        <f t="shared" si="53"/>
        <v>213.68</v>
      </c>
      <c r="H38" s="13">
        <f t="shared" si="54"/>
        <v>4273.6000000000004</v>
      </c>
      <c r="I38" s="10">
        <v>2.75</v>
      </c>
      <c r="J38" s="13">
        <v>0</v>
      </c>
      <c r="K38" s="13">
        <v>2</v>
      </c>
      <c r="L38" s="13">
        <v>0</v>
      </c>
      <c r="M38" s="13">
        <f t="shared" si="55"/>
        <v>2</v>
      </c>
      <c r="N38" s="10">
        <f t="shared" si="28"/>
        <v>0.75</v>
      </c>
      <c r="O38" s="14">
        <v>0</v>
      </c>
      <c r="P38" s="14"/>
      <c r="Q38" s="14">
        <f t="shared" si="67"/>
        <v>0</v>
      </c>
      <c r="R38" s="10">
        <f t="shared" si="68"/>
        <v>0.75</v>
      </c>
      <c r="S38" s="10">
        <f t="shared" si="69"/>
        <v>0.75</v>
      </c>
      <c r="T38" s="13">
        <v>0</v>
      </c>
      <c r="U38" s="13">
        <v>0</v>
      </c>
      <c r="V38" s="13">
        <v>0</v>
      </c>
      <c r="W38" s="13">
        <f t="shared" si="56"/>
        <v>0</v>
      </c>
      <c r="X38" s="10">
        <f t="shared" si="32"/>
        <v>0.75</v>
      </c>
      <c r="Y38" s="14">
        <f t="shared" si="70"/>
        <v>0</v>
      </c>
      <c r="Z38" s="14"/>
      <c r="AA38" s="14">
        <f t="shared" si="71"/>
        <v>0</v>
      </c>
      <c r="AB38" s="10">
        <f t="shared" si="72"/>
        <v>0.75</v>
      </c>
      <c r="AC38" s="10">
        <f t="shared" si="73"/>
        <v>0.75</v>
      </c>
      <c r="AD38" s="10">
        <v>0</v>
      </c>
      <c r="AE38" s="13">
        <v>0</v>
      </c>
      <c r="AF38" s="13">
        <v>0</v>
      </c>
      <c r="AG38" s="13">
        <f t="shared" si="57"/>
        <v>0</v>
      </c>
      <c r="AH38" s="10">
        <f t="shared" si="74"/>
        <v>0.75</v>
      </c>
      <c r="AI38" s="10">
        <v>0</v>
      </c>
      <c r="AJ38" s="10">
        <f t="shared" si="75"/>
        <v>0.75</v>
      </c>
      <c r="AK38" s="10">
        <f t="shared" si="76"/>
        <v>0.75</v>
      </c>
      <c r="AL38" s="10">
        <v>0</v>
      </c>
      <c r="AM38" s="10">
        <v>0</v>
      </c>
      <c r="AN38" s="10">
        <v>0</v>
      </c>
      <c r="AO38" s="10">
        <f t="shared" si="58"/>
        <v>0</v>
      </c>
      <c r="AP38" s="10">
        <f t="shared" si="77"/>
        <v>0.75</v>
      </c>
      <c r="AQ38" s="10">
        <f t="shared" si="78"/>
        <v>0</v>
      </c>
      <c r="AR38" s="10">
        <v>0</v>
      </c>
      <c r="AS38" s="10">
        <f t="shared" si="79"/>
        <v>0.75</v>
      </c>
      <c r="AT38" s="10">
        <f t="shared" si="80"/>
        <v>0.75</v>
      </c>
      <c r="AU38" s="10">
        <v>0.75</v>
      </c>
      <c r="AV38" s="10">
        <v>0.75</v>
      </c>
      <c r="AW38" s="10">
        <v>0</v>
      </c>
      <c r="AX38" s="10">
        <f t="shared" si="59"/>
        <v>0.75</v>
      </c>
      <c r="AY38" s="10">
        <f t="shared" si="81"/>
        <v>0.75</v>
      </c>
      <c r="AZ38" s="10">
        <f t="shared" si="82"/>
        <v>0</v>
      </c>
      <c r="BA38" s="10">
        <f t="shared" si="83"/>
        <v>0.75</v>
      </c>
      <c r="BB38" s="10">
        <f t="shared" si="84"/>
        <v>0.75</v>
      </c>
      <c r="BC38" s="10">
        <v>0</v>
      </c>
      <c r="BD38" s="10">
        <v>0</v>
      </c>
      <c r="BE38" s="10">
        <v>0</v>
      </c>
      <c r="BF38" s="10">
        <f t="shared" si="48"/>
        <v>0</v>
      </c>
      <c r="BG38" s="10">
        <f t="shared" si="85"/>
        <v>0.75</v>
      </c>
      <c r="BH38" s="10">
        <f t="shared" si="86"/>
        <v>0</v>
      </c>
      <c r="BI38" s="10">
        <f t="shared" si="87"/>
        <v>0.75</v>
      </c>
      <c r="BJ38" s="20">
        <f t="shared" si="60"/>
        <v>0.75</v>
      </c>
      <c r="BK38" s="13">
        <v>0</v>
      </c>
      <c r="BL38" s="13">
        <v>0</v>
      </c>
      <c r="BM38" s="13">
        <v>0.4</v>
      </c>
      <c r="BN38" s="13">
        <f t="shared" si="61"/>
        <v>-0.4</v>
      </c>
      <c r="BO38" s="10">
        <f t="shared" si="62"/>
        <v>1.1499999999999999</v>
      </c>
      <c r="BP38" s="13">
        <v>0</v>
      </c>
      <c r="BQ38" s="13">
        <v>0</v>
      </c>
      <c r="BR38" s="13">
        <f t="shared" si="63"/>
        <v>0</v>
      </c>
      <c r="BS38" s="10">
        <f t="shared" si="64"/>
        <v>1.1499999999999999</v>
      </c>
      <c r="BV38" s="10">
        <f t="shared" si="65"/>
        <v>2.75</v>
      </c>
      <c r="BW38" s="10">
        <f t="shared" si="66"/>
        <v>0.4</v>
      </c>
      <c r="BX38" s="10">
        <f t="shared" si="88"/>
        <v>2.35</v>
      </c>
    </row>
    <row r="39" spans="1:76" x14ac:dyDescent="0.25">
      <c r="A39" s="16" t="s">
        <v>17</v>
      </c>
      <c r="B39" s="16" t="s">
        <v>182</v>
      </c>
      <c r="C39" s="15" t="s">
        <v>199</v>
      </c>
      <c r="D39" s="9" t="s">
        <v>77</v>
      </c>
      <c r="E39" s="12">
        <v>20</v>
      </c>
      <c r="F39" s="11">
        <v>235</v>
      </c>
      <c r="G39" s="13">
        <f t="shared" si="53"/>
        <v>182.6</v>
      </c>
      <c r="H39" s="13">
        <f t="shared" si="54"/>
        <v>3652</v>
      </c>
      <c r="I39" s="10">
        <v>17.5</v>
      </c>
      <c r="J39" s="13">
        <v>0</v>
      </c>
      <c r="K39" s="13">
        <v>17</v>
      </c>
      <c r="L39" s="13">
        <v>0</v>
      </c>
      <c r="M39" s="13">
        <f t="shared" si="55"/>
        <v>17</v>
      </c>
      <c r="N39" s="10">
        <f t="shared" si="28"/>
        <v>0.5</v>
      </c>
      <c r="O39" s="14">
        <v>0</v>
      </c>
      <c r="P39" s="14"/>
      <c r="Q39" s="14">
        <f t="shared" si="67"/>
        <v>0</v>
      </c>
      <c r="R39" s="10">
        <f t="shared" si="68"/>
        <v>0.5</v>
      </c>
      <c r="S39" s="10">
        <f t="shared" si="69"/>
        <v>0.5</v>
      </c>
      <c r="T39" s="13">
        <v>0</v>
      </c>
      <c r="U39" s="13">
        <v>0</v>
      </c>
      <c r="V39" s="13">
        <v>0</v>
      </c>
      <c r="W39" s="13">
        <f t="shared" si="56"/>
        <v>0</v>
      </c>
      <c r="X39" s="10">
        <f t="shared" si="32"/>
        <v>0.5</v>
      </c>
      <c r="Y39" s="14">
        <f t="shared" si="70"/>
        <v>0</v>
      </c>
      <c r="Z39" s="14"/>
      <c r="AA39" s="14">
        <f t="shared" si="71"/>
        <v>0</v>
      </c>
      <c r="AB39" s="10">
        <f t="shared" si="72"/>
        <v>0.5</v>
      </c>
      <c r="AC39" s="10">
        <f t="shared" si="73"/>
        <v>0.5</v>
      </c>
      <c r="AD39" s="10">
        <v>0</v>
      </c>
      <c r="AE39" s="13">
        <v>0.05</v>
      </c>
      <c r="AF39" s="13">
        <v>0</v>
      </c>
      <c r="AG39" s="13">
        <f t="shared" si="57"/>
        <v>0.05</v>
      </c>
      <c r="AH39" s="10">
        <f t="shared" si="74"/>
        <v>0.45</v>
      </c>
      <c r="AI39" s="10">
        <v>0</v>
      </c>
      <c r="AJ39" s="10">
        <f t="shared" si="75"/>
        <v>0.45</v>
      </c>
      <c r="AK39" s="10">
        <f t="shared" si="76"/>
        <v>0.45</v>
      </c>
      <c r="AL39" s="10">
        <v>0</v>
      </c>
      <c r="AM39" s="10">
        <v>0</v>
      </c>
      <c r="AN39" s="10">
        <v>0</v>
      </c>
      <c r="AO39" s="10">
        <f t="shared" si="58"/>
        <v>0</v>
      </c>
      <c r="AP39" s="10">
        <f t="shared" si="77"/>
        <v>0.45</v>
      </c>
      <c r="AQ39" s="10">
        <f t="shared" si="78"/>
        <v>0</v>
      </c>
      <c r="AR39" s="10">
        <v>0</v>
      </c>
      <c r="AS39" s="10">
        <f t="shared" si="79"/>
        <v>0.45</v>
      </c>
      <c r="AT39" s="10">
        <f t="shared" si="80"/>
        <v>0.45</v>
      </c>
      <c r="AU39" s="10">
        <v>2.15</v>
      </c>
      <c r="AV39" s="10">
        <v>2.65</v>
      </c>
      <c r="AW39" s="10">
        <v>2.35</v>
      </c>
      <c r="AX39" s="10">
        <f t="shared" si="59"/>
        <v>0.29999999999999982</v>
      </c>
      <c r="AY39" s="10">
        <f t="shared" si="81"/>
        <v>2.3000000000000003</v>
      </c>
      <c r="AZ39" s="10">
        <f t="shared" si="82"/>
        <v>0</v>
      </c>
      <c r="BA39" s="10">
        <f t="shared" si="83"/>
        <v>2.3000000000000003</v>
      </c>
      <c r="BB39" s="10">
        <f t="shared" si="84"/>
        <v>2.3000000000000003</v>
      </c>
      <c r="BC39" s="10">
        <v>0</v>
      </c>
      <c r="BD39" s="10">
        <v>0</v>
      </c>
      <c r="BE39" s="10">
        <v>0</v>
      </c>
      <c r="BF39" s="10">
        <f t="shared" si="48"/>
        <v>0</v>
      </c>
      <c r="BG39" s="10">
        <f t="shared" si="85"/>
        <v>2.3000000000000003</v>
      </c>
      <c r="BH39" s="10">
        <f t="shared" si="86"/>
        <v>0</v>
      </c>
      <c r="BI39" s="10">
        <f t="shared" si="87"/>
        <v>2.3000000000000003</v>
      </c>
      <c r="BJ39" s="20">
        <f t="shared" si="60"/>
        <v>2.3000000000000003</v>
      </c>
      <c r="BK39" s="13">
        <v>0</v>
      </c>
      <c r="BL39" s="13">
        <v>2</v>
      </c>
      <c r="BM39" s="13">
        <v>4</v>
      </c>
      <c r="BN39" s="13">
        <f t="shared" si="61"/>
        <v>-2</v>
      </c>
      <c r="BO39" s="10">
        <f t="shared" si="62"/>
        <v>4.3000000000000007</v>
      </c>
      <c r="BP39" s="13">
        <v>0</v>
      </c>
      <c r="BQ39" s="13">
        <v>0</v>
      </c>
      <c r="BR39" s="13">
        <f t="shared" si="63"/>
        <v>0</v>
      </c>
      <c r="BS39" s="10">
        <f t="shared" si="64"/>
        <v>4.3000000000000007</v>
      </c>
      <c r="BV39" s="10">
        <f t="shared" si="65"/>
        <v>21.7</v>
      </c>
      <c r="BW39" s="10">
        <f t="shared" si="66"/>
        <v>6.35</v>
      </c>
      <c r="BX39" s="10">
        <f t="shared" si="88"/>
        <v>15.35</v>
      </c>
    </row>
    <row r="40" spans="1:76" x14ac:dyDescent="0.25">
      <c r="A40" s="16" t="s">
        <v>26</v>
      </c>
      <c r="B40" s="16" t="s">
        <v>183</v>
      </c>
      <c r="C40" s="15" t="s">
        <v>202</v>
      </c>
      <c r="D40" s="9" t="s">
        <v>86</v>
      </c>
      <c r="E40" s="12">
        <v>15</v>
      </c>
      <c r="F40" s="11">
        <v>350</v>
      </c>
      <c r="G40" s="13">
        <f t="shared" si="53"/>
        <v>271.95</v>
      </c>
      <c r="H40" s="13">
        <f t="shared" si="54"/>
        <v>4079.25</v>
      </c>
      <c r="I40" s="10">
        <v>22.93</v>
      </c>
      <c r="J40" s="13">
        <v>0</v>
      </c>
      <c r="K40" s="13">
        <v>22</v>
      </c>
      <c r="L40" s="13">
        <v>0</v>
      </c>
      <c r="M40" s="13">
        <f t="shared" si="55"/>
        <v>22</v>
      </c>
      <c r="N40" s="10">
        <f t="shared" si="28"/>
        <v>0.92999999999999972</v>
      </c>
      <c r="O40" s="14">
        <v>0</v>
      </c>
      <c r="P40" s="14"/>
      <c r="Q40" s="14">
        <f t="shared" si="67"/>
        <v>0</v>
      </c>
      <c r="R40" s="10">
        <f t="shared" si="68"/>
        <v>0.92999999999999972</v>
      </c>
      <c r="S40" s="10">
        <f t="shared" si="69"/>
        <v>0.92999999999999972</v>
      </c>
      <c r="T40" s="13">
        <v>0</v>
      </c>
      <c r="U40" s="13">
        <v>0</v>
      </c>
      <c r="V40" s="13">
        <v>0</v>
      </c>
      <c r="W40" s="13">
        <f t="shared" si="56"/>
        <v>0</v>
      </c>
      <c r="X40" s="10">
        <f t="shared" si="32"/>
        <v>0.92999999999999972</v>
      </c>
      <c r="Y40" s="14">
        <f t="shared" si="70"/>
        <v>0</v>
      </c>
      <c r="Z40" s="14"/>
      <c r="AA40" s="14">
        <f t="shared" si="71"/>
        <v>0</v>
      </c>
      <c r="AB40" s="10">
        <f t="shared" si="72"/>
        <v>0.92999999999999972</v>
      </c>
      <c r="AC40" s="10">
        <f t="shared" si="73"/>
        <v>0.92999999999999972</v>
      </c>
      <c r="AD40" s="10">
        <v>0</v>
      </c>
      <c r="AE40" s="13">
        <v>7.0000000000000007E-2</v>
      </c>
      <c r="AF40" s="13">
        <v>0</v>
      </c>
      <c r="AG40" s="13">
        <f t="shared" si="57"/>
        <v>7.0000000000000007E-2</v>
      </c>
      <c r="AH40" s="10">
        <f t="shared" si="74"/>
        <v>0.85999999999999965</v>
      </c>
      <c r="AI40" s="10">
        <v>0</v>
      </c>
      <c r="AJ40" s="10">
        <f t="shared" si="75"/>
        <v>0.85999999999999965</v>
      </c>
      <c r="AK40" s="10">
        <f t="shared" si="76"/>
        <v>0.85999999999999965</v>
      </c>
      <c r="AL40" s="10">
        <v>0</v>
      </c>
      <c r="AM40" s="10">
        <v>0</v>
      </c>
      <c r="AN40" s="10">
        <v>0</v>
      </c>
      <c r="AO40" s="10">
        <f t="shared" si="58"/>
        <v>0</v>
      </c>
      <c r="AP40" s="10">
        <f t="shared" si="77"/>
        <v>0.85999999999999965</v>
      </c>
      <c r="AQ40" s="10">
        <f t="shared" si="78"/>
        <v>0</v>
      </c>
      <c r="AR40" s="10">
        <v>0</v>
      </c>
      <c r="AS40" s="10">
        <f t="shared" si="79"/>
        <v>0.85999999999999965</v>
      </c>
      <c r="AT40" s="10">
        <f t="shared" si="80"/>
        <v>0.85999999999999965</v>
      </c>
      <c r="AU40" s="10">
        <v>0</v>
      </c>
      <c r="AV40" s="10">
        <v>0</v>
      </c>
      <c r="AW40" s="10">
        <v>0</v>
      </c>
      <c r="AX40" s="10">
        <f t="shared" si="59"/>
        <v>0</v>
      </c>
      <c r="AY40" s="10">
        <f t="shared" si="81"/>
        <v>0.85999999999999965</v>
      </c>
      <c r="AZ40" s="10">
        <f t="shared" si="82"/>
        <v>0</v>
      </c>
      <c r="BA40" s="10">
        <f t="shared" si="83"/>
        <v>0.85999999999999965</v>
      </c>
      <c r="BB40" s="10">
        <f t="shared" si="84"/>
        <v>0.85999999999999965</v>
      </c>
      <c r="BC40" s="10">
        <v>0</v>
      </c>
      <c r="BD40" s="10">
        <v>0</v>
      </c>
      <c r="BE40" s="10">
        <v>0</v>
      </c>
      <c r="BF40" s="10">
        <f t="shared" si="48"/>
        <v>0</v>
      </c>
      <c r="BG40" s="10">
        <f t="shared" si="85"/>
        <v>0.85999999999999965</v>
      </c>
      <c r="BH40" s="10">
        <f t="shared" si="86"/>
        <v>0</v>
      </c>
      <c r="BI40" s="10">
        <f t="shared" si="87"/>
        <v>0.85999999999999965</v>
      </c>
      <c r="BJ40" s="20">
        <f t="shared" si="60"/>
        <v>0.85999999999999965</v>
      </c>
      <c r="BK40" s="13">
        <v>0</v>
      </c>
      <c r="BL40" s="13">
        <v>0</v>
      </c>
      <c r="BM40" s="13">
        <v>0</v>
      </c>
      <c r="BN40" s="13">
        <f t="shared" si="61"/>
        <v>0</v>
      </c>
      <c r="BO40" s="10">
        <f t="shared" si="62"/>
        <v>0.85999999999999965</v>
      </c>
      <c r="BP40" s="13">
        <v>0</v>
      </c>
      <c r="BQ40" s="13">
        <v>0</v>
      </c>
      <c r="BR40" s="13">
        <f t="shared" si="63"/>
        <v>0</v>
      </c>
      <c r="BS40" s="10">
        <f t="shared" si="64"/>
        <v>0.85999999999999965</v>
      </c>
      <c r="BV40" s="10">
        <f t="shared" si="65"/>
        <v>22.07</v>
      </c>
      <c r="BW40" s="10">
        <f t="shared" si="66"/>
        <v>0</v>
      </c>
      <c r="BX40" s="10">
        <f t="shared" si="88"/>
        <v>22.07</v>
      </c>
    </row>
    <row r="41" spans="1:76" x14ac:dyDescent="0.25">
      <c r="A41" s="16" t="s">
        <v>59</v>
      </c>
      <c r="B41" s="16" t="s">
        <v>222</v>
      </c>
      <c r="C41" s="15" t="s">
        <v>150</v>
      </c>
      <c r="D41" s="9" t="s">
        <v>119</v>
      </c>
      <c r="E41" s="12">
        <v>20</v>
      </c>
      <c r="F41" s="11">
        <v>250</v>
      </c>
      <c r="G41" s="13">
        <f t="shared" si="53"/>
        <v>194.25</v>
      </c>
      <c r="H41" s="13">
        <f t="shared" si="54"/>
        <v>3885</v>
      </c>
      <c r="I41" s="10">
        <v>87.55</v>
      </c>
      <c r="J41" s="13">
        <v>10</v>
      </c>
      <c r="K41" s="13">
        <v>68.05</v>
      </c>
      <c r="L41" s="13">
        <v>0</v>
      </c>
      <c r="M41" s="13">
        <f t="shared" si="55"/>
        <v>68.05</v>
      </c>
      <c r="N41" s="10">
        <f t="shared" si="28"/>
        <v>29.5</v>
      </c>
      <c r="O41" s="14">
        <v>150</v>
      </c>
      <c r="P41" s="14"/>
      <c r="Q41" s="14">
        <f t="shared" si="67"/>
        <v>150</v>
      </c>
      <c r="R41" s="10">
        <f t="shared" si="68"/>
        <v>179.5</v>
      </c>
      <c r="S41" s="10">
        <f t="shared" si="69"/>
        <v>29.5</v>
      </c>
      <c r="T41" s="13">
        <v>75</v>
      </c>
      <c r="U41" s="13">
        <v>29</v>
      </c>
      <c r="V41" s="13">
        <v>0</v>
      </c>
      <c r="W41" s="13">
        <f t="shared" si="56"/>
        <v>29</v>
      </c>
      <c r="X41" s="10">
        <f t="shared" si="32"/>
        <v>75.5</v>
      </c>
      <c r="Y41" s="14">
        <f t="shared" si="70"/>
        <v>75</v>
      </c>
      <c r="Z41" s="14"/>
      <c r="AA41" s="14">
        <f t="shared" si="71"/>
        <v>75</v>
      </c>
      <c r="AB41" s="10">
        <f t="shared" si="72"/>
        <v>150.5</v>
      </c>
      <c r="AC41" s="10">
        <f t="shared" si="73"/>
        <v>75.5</v>
      </c>
      <c r="AD41" s="10">
        <v>75</v>
      </c>
      <c r="AE41" s="13">
        <v>140.6</v>
      </c>
      <c r="AF41" s="13">
        <v>0</v>
      </c>
      <c r="AG41" s="13">
        <f t="shared" si="57"/>
        <v>140.6</v>
      </c>
      <c r="AH41" s="10">
        <f t="shared" si="74"/>
        <v>9.9000000000000057</v>
      </c>
      <c r="AI41" s="10">
        <v>0</v>
      </c>
      <c r="AJ41" s="10">
        <f t="shared" si="75"/>
        <v>9.9000000000000057</v>
      </c>
      <c r="AK41" s="10">
        <f t="shared" si="76"/>
        <v>9.9000000000000057</v>
      </c>
      <c r="AL41" s="10">
        <v>0</v>
      </c>
      <c r="AM41" s="10">
        <v>5.05</v>
      </c>
      <c r="AN41" s="10">
        <v>0</v>
      </c>
      <c r="AO41" s="10">
        <f t="shared" si="58"/>
        <v>5.05</v>
      </c>
      <c r="AP41" s="10">
        <f t="shared" si="77"/>
        <v>4.8500000000000059</v>
      </c>
      <c r="AQ41" s="10">
        <f t="shared" si="78"/>
        <v>0</v>
      </c>
      <c r="AR41" s="10">
        <v>250</v>
      </c>
      <c r="AS41" s="10">
        <f t="shared" si="79"/>
        <v>254.85</v>
      </c>
      <c r="AT41" s="10">
        <f t="shared" si="80"/>
        <v>4.8500000000000059</v>
      </c>
      <c r="AU41" s="10">
        <v>0</v>
      </c>
      <c r="AV41" s="10">
        <v>0.1</v>
      </c>
      <c r="AW41" s="10">
        <v>0.1</v>
      </c>
      <c r="AX41" s="10">
        <f t="shared" si="59"/>
        <v>0</v>
      </c>
      <c r="AY41" s="10">
        <f t="shared" si="81"/>
        <v>4.8500000000000059</v>
      </c>
      <c r="AZ41" s="10">
        <f t="shared" si="82"/>
        <v>250</v>
      </c>
      <c r="BA41" s="10">
        <f t="shared" si="83"/>
        <v>254.85</v>
      </c>
      <c r="BB41" s="10">
        <f t="shared" si="84"/>
        <v>4.8500000000000059</v>
      </c>
      <c r="BC41" s="10">
        <v>150</v>
      </c>
      <c r="BD41" s="10">
        <v>107</v>
      </c>
      <c r="BE41" s="10">
        <v>0</v>
      </c>
      <c r="BF41" s="10">
        <f t="shared" si="48"/>
        <v>107</v>
      </c>
      <c r="BG41" s="10">
        <f t="shared" si="85"/>
        <v>47.849999999999994</v>
      </c>
      <c r="BH41" s="10">
        <f t="shared" si="86"/>
        <v>100</v>
      </c>
      <c r="BI41" s="10">
        <f t="shared" si="87"/>
        <v>147.85</v>
      </c>
      <c r="BJ41" s="20">
        <f t="shared" si="60"/>
        <v>47.849999999999994</v>
      </c>
      <c r="BK41" s="13">
        <v>100</v>
      </c>
      <c r="BL41" s="13">
        <v>120.25</v>
      </c>
      <c r="BM41" s="13">
        <v>0.15</v>
      </c>
      <c r="BN41" s="13">
        <f t="shared" si="61"/>
        <v>120.1</v>
      </c>
      <c r="BO41" s="10">
        <f t="shared" si="62"/>
        <v>27.75</v>
      </c>
      <c r="BP41" s="13">
        <v>65</v>
      </c>
      <c r="BQ41" s="13">
        <v>150</v>
      </c>
      <c r="BR41" s="13">
        <f t="shared" si="63"/>
        <v>215</v>
      </c>
      <c r="BS41" s="10">
        <f t="shared" si="64"/>
        <v>242.75</v>
      </c>
      <c r="BV41" s="10">
        <f t="shared" si="65"/>
        <v>363.04999999999995</v>
      </c>
      <c r="BW41" s="10">
        <f t="shared" si="66"/>
        <v>0.25</v>
      </c>
      <c r="BX41" s="10">
        <f t="shared" si="88"/>
        <v>362.79999999999995</v>
      </c>
    </row>
    <row r="42" spans="1:76" x14ac:dyDescent="0.25">
      <c r="A42" s="16" t="s">
        <v>136</v>
      </c>
      <c r="B42" s="16" t="s">
        <v>184</v>
      </c>
      <c r="C42" s="15" t="s">
        <v>197</v>
      </c>
      <c r="D42" s="16" t="s">
        <v>135</v>
      </c>
      <c r="E42" s="12">
        <v>40</v>
      </c>
      <c r="F42" s="11">
        <v>150</v>
      </c>
      <c r="G42" s="13">
        <f t="shared" si="53"/>
        <v>116.55</v>
      </c>
      <c r="H42" s="13">
        <f t="shared" si="54"/>
        <v>4662</v>
      </c>
      <c r="I42" s="10">
        <v>0.4</v>
      </c>
      <c r="J42" s="13">
        <v>0</v>
      </c>
      <c r="K42" s="13">
        <v>0.4</v>
      </c>
      <c r="L42" s="13">
        <v>0</v>
      </c>
      <c r="M42" s="13">
        <f t="shared" si="55"/>
        <v>0.4</v>
      </c>
      <c r="N42" s="10">
        <v>0</v>
      </c>
      <c r="O42" s="14">
        <v>0</v>
      </c>
      <c r="P42" s="14"/>
      <c r="Q42" s="14">
        <f t="shared" si="67"/>
        <v>0</v>
      </c>
      <c r="R42" s="10">
        <f t="shared" si="68"/>
        <v>0</v>
      </c>
      <c r="S42" s="10">
        <f t="shared" si="69"/>
        <v>0</v>
      </c>
      <c r="T42" s="13">
        <v>0</v>
      </c>
      <c r="U42" s="13">
        <v>0</v>
      </c>
      <c r="V42" s="13">
        <v>0</v>
      </c>
      <c r="W42" s="13">
        <f t="shared" si="56"/>
        <v>0</v>
      </c>
      <c r="X42" s="10">
        <v>0</v>
      </c>
      <c r="Y42" s="14">
        <f t="shared" si="70"/>
        <v>0</v>
      </c>
      <c r="Z42" s="14"/>
      <c r="AA42" s="14">
        <f t="shared" si="71"/>
        <v>0</v>
      </c>
      <c r="AB42" s="10">
        <f t="shared" si="72"/>
        <v>0</v>
      </c>
      <c r="AC42" s="10">
        <f t="shared" si="73"/>
        <v>0</v>
      </c>
      <c r="AD42" s="10">
        <v>0</v>
      </c>
      <c r="AE42" s="13">
        <v>0</v>
      </c>
      <c r="AF42" s="13">
        <v>0</v>
      </c>
      <c r="AG42" s="13">
        <f t="shared" si="57"/>
        <v>0</v>
      </c>
      <c r="AH42" s="10">
        <f t="shared" si="74"/>
        <v>0</v>
      </c>
      <c r="AI42" s="10">
        <v>0</v>
      </c>
      <c r="AJ42" s="10">
        <f t="shared" si="75"/>
        <v>0</v>
      </c>
      <c r="AK42" s="10">
        <f t="shared" si="76"/>
        <v>0</v>
      </c>
      <c r="AL42" s="10">
        <v>0</v>
      </c>
      <c r="AM42" s="10">
        <v>0</v>
      </c>
      <c r="AN42" s="10">
        <v>0</v>
      </c>
      <c r="AO42" s="10">
        <f t="shared" si="58"/>
        <v>0</v>
      </c>
      <c r="AP42" s="10">
        <f t="shared" si="77"/>
        <v>0</v>
      </c>
      <c r="AQ42" s="10">
        <f t="shared" si="78"/>
        <v>0</v>
      </c>
      <c r="AR42" s="10">
        <v>0</v>
      </c>
      <c r="AS42" s="10">
        <f t="shared" si="79"/>
        <v>0</v>
      </c>
      <c r="AT42" s="10">
        <f t="shared" si="80"/>
        <v>0</v>
      </c>
      <c r="AU42" s="10">
        <v>2.88</v>
      </c>
      <c r="AV42" s="10">
        <v>2.88</v>
      </c>
      <c r="AW42" s="10">
        <v>0</v>
      </c>
      <c r="AX42" s="10">
        <f t="shared" si="59"/>
        <v>2.88</v>
      </c>
      <c r="AY42" s="10">
        <f t="shared" si="81"/>
        <v>0</v>
      </c>
      <c r="AZ42" s="10">
        <f t="shared" si="82"/>
        <v>0</v>
      </c>
      <c r="BA42" s="10">
        <f t="shared" si="83"/>
        <v>0</v>
      </c>
      <c r="BB42" s="10">
        <f t="shared" si="84"/>
        <v>0</v>
      </c>
      <c r="BC42" s="10">
        <v>0</v>
      </c>
      <c r="BD42" s="10">
        <v>0</v>
      </c>
      <c r="BE42" s="10">
        <v>0</v>
      </c>
      <c r="BF42" s="10">
        <f t="shared" si="48"/>
        <v>0</v>
      </c>
      <c r="BG42" s="10">
        <f t="shared" si="85"/>
        <v>0</v>
      </c>
      <c r="BH42" s="10">
        <f t="shared" si="86"/>
        <v>0</v>
      </c>
      <c r="BI42" s="10">
        <f t="shared" si="87"/>
        <v>0</v>
      </c>
      <c r="BJ42" s="20">
        <f t="shared" si="60"/>
        <v>0</v>
      </c>
      <c r="BK42" s="13">
        <v>0</v>
      </c>
      <c r="BL42" s="13">
        <v>0</v>
      </c>
      <c r="BM42" s="13">
        <v>0.03</v>
      </c>
      <c r="BN42" s="13">
        <f t="shared" si="61"/>
        <v>-0.03</v>
      </c>
      <c r="BO42" s="10">
        <f t="shared" si="62"/>
        <v>0.03</v>
      </c>
      <c r="BP42" s="13">
        <v>0</v>
      </c>
      <c r="BQ42" s="13">
        <v>0</v>
      </c>
      <c r="BR42" s="13">
        <f t="shared" si="63"/>
        <v>0</v>
      </c>
      <c r="BS42" s="10">
        <f t="shared" si="64"/>
        <v>0.03</v>
      </c>
      <c r="BV42" s="10">
        <f t="shared" si="65"/>
        <v>3.28</v>
      </c>
      <c r="BW42" s="10">
        <f t="shared" si="66"/>
        <v>0.03</v>
      </c>
      <c r="BX42" s="10">
        <f t="shared" si="88"/>
        <v>3.25</v>
      </c>
    </row>
    <row r="43" spans="1:76" x14ac:dyDescent="0.25">
      <c r="A43" s="16" t="s">
        <v>18</v>
      </c>
      <c r="B43" s="16" t="s">
        <v>185</v>
      </c>
      <c r="C43" s="15" t="s">
        <v>199</v>
      </c>
      <c r="D43" s="9" t="s">
        <v>78</v>
      </c>
      <c r="E43" s="12">
        <v>20</v>
      </c>
      <c r="F43" s="11">
        <v>235</v>
      </c>
      <c r="G43" s="13">
        <f t="shared" si="53"/>
        <v>182.6</v>
      </c>
      <c r="H43" s="13">
        <f t="shared" si="54"/>
        <v>3652</v>
      </c>
      <c r="I43" s="10">
        <v>13.5</v>
      </c>
      <c r="J43" s="13">
        <v>0</v>
      </c>
      <c r="K43" s="13">
        <v>12.95</v>
      </c>
      <c r="L43" s="13">
        <v>0</v>
      </c>
      <c r="M43" s="13">
        <f t="shared" si="55"/>
        <v>12.95</v>
      </c>
      <c r="N43" s="10">
        <f t="shared" ref="N43:N65" si="89">I43+J43-K43+L43</f>
        <v>0.55000000000000071</v>
      </c>
      <c r="O43" s="14">
        <v>0</v>
      </c>
      <c r="P43" s="14"/>
      <c r="Q43" s="14">
        <f t="shared" si="67"/>
        <v>0</v>
      </c>
      <c r="R43" s="10">
        <f t="shared" si="68"/>
        <v>0.55000000000000071</v>
      </c>
      <c r="S43" s="10">
        <f t="shared" si="69"/>
        <v>0.55000000000000071</v>
      </c>
      <c r="T43" s="13">
        <v>0</v>
      </c>
      <c r="U43" s="13">
        <v>0</v>
      </c>
      <c r="V43" s="13">
        <v>0</v>
      </c>
      <c r="W43" s="13">
        <f t="shared" si="56"/>
        <v>0</v>
      </c>
      <c r="X43" s="10">
        <f t="shared" ref="X43:X65" si="90">S43+T43-U43+V43</f>
        <v>0.55000000000000071</v>
      </c>
      <c r="Y43" s="14">
        <f t="shared" si="70"/>
        <v>0</v>
      </c>
      <c r="Z43" s="14"/>
      <c r="AA43" s="14">
        <f t="shared" si="71"/>
        <v>0</v>
      </c>
      <c r="AB43" s="10">
        <f t="shared" si="72"/>
        <v>0.55000000000000071</v>
      </c>
      <c r="AC43" s="10">
        <f t="shared" si="73"/>
        <v>0.55000000000000071</v>
      </c>
      <c r="AD43" s="10">
        <v>0</v>
      </c>
      <c r="AE43" s="13">
        <v>0.05</v>
      </c>
      <c r="AF43" s="13">
        <v>0</v>
      </c>
      <c r="AG43" s="13">
        <f t="shared" si="57"/>
        <v>0.05</v>
      </c>
      <c r="AH43" s="10">
        <f t="shared" si="74"/>
        <v>0.50000000000000067</v>
      </c>
      <c r="AI43" s="10">
        <v>0</v>
      </c>
      <c r="AJ43" s="10">
        <f t="shared" si="75"/>
        <v>0.50000000000000067</v>
      </c>
      <c r="AK43" s="10">
        <f t="shared" si="76"/>
        <v>0.50000000000000067</v>
      </c>
      <c r="AL43" s="10">
        <v>0</v>
      </c>
      <c r="AM43" s="10">
        <v>0</v>
      </c>
      <c r="AN43" s="10">
        <v>0</v>
      </c>
      <c r="AO43" s="10">
        <f t="shared" si="58"/>
        <v>0</v>
      </c>
      <c r="AP43" s="10">
        <f t="shared" si="77"/>
        <v>0.50000000000000067</v>
      </c>
      <c r="AQ43" s="10">
        <f t="shared" si="78"/>
        <v>0</v>
      </c>
      <c r="AR43" s="10">
        <v>0</v>
      </c>
      <c r="AS43" s="10">
        <f t="shared" si="79"/>
        <v>0.50000000000000067</v>
      </c>
      <c r="AT43" s="10">
        <f t="shared" si="80"/>
        <v>0.50000000000000067</v>
      </c>
      <c r="AU43" s="10">
        <v>0</v>
      </c>
      <c r="AV43" s="10">
        <v>0</v>
      </c>
      <c r="AW43" s="10">
        <v>0</v>
      </c>
      <c r="AX43" s="10">
        <f t="shared" si="59"/>
        <v>0</v>
      </c>
      <c r="AY43" s="10">
        <f t="shared" si="81"/>
        <v>0.50000000000000067</v>
      </c>
      <c r="AZ43" s="10">
        <f t="shared" si="82"/>
        <v>0</v>
      </c>
      <c r="BA43" s="10">
        <f t="shared" si="83"/>
        <v>0.50000000000000067</v>
      </c>
      <c r="BB43" s="10">
        <f t="shared" si="84"/>
        <v>0.50000000000000067</v>
      </c>
      <c r="BC43" s="10">
        <v>0</v>
      </c>
      <c r="BD43" s="10">
        <v>0</v>
      </c>
      <c r="BE43" s="10">
        <v>0</v>
      </c>
      <c r="BF43" s="10">
        <f t="shared" si="48"/>
        <v>0</v>
      </c>
      <c r="BG43" s="10">
        <f t="shared" si="85"/>
        <v>0.50000000000000067</v>
      </c>
      <c r="BH43" s="10">
        <f t="shared" si="86"/>
        <v>0</v>
      </c>
      <c r="BI43" s="10">
        <f t="shared" si="87"/>
        <v>0.50000000000000067</v>
      </c>
      <c r="BJ43" s="20">
        <f t="shared" si="60"/>
        <v>0.50000000000000067</v>
      </c>
      <c r="BK43" s="13">
        <v>0</v>
      </c>
      <c r="BL43" s="13">
        <v>0</v>
      </c>
      <c r="BM43" s="13">
        <v>0</v>
      </c>
      <c r="BN43" s="13">
        <f t="shared" si="61"/>
        <v>0</v>
      </c>
      <c r="BO43" s="10">
        <f t="shared" si="62"/>
        <v>0.50000000000000067</v>
      </c>
      <c r="BP43" s="13">
        <v>0</v>
      </c>
      <c r="BQ43" s="13">
        <v>0</v>
      </c>
      <c r="BR43" s="13">
        <f t="shared" si="63"/>
        <v>0</v>
      </c>
      <c r="BS43" s="10">
        <f t="shared" si="64"/>
        <v>0.50000000000000067</v>
      </c>
      <c r="BV43" s="10">
        <f t="shared" si="65"/>
        <v>13</v>
      </c>
      <c r="BW43" s="10">
        <f t="shared" si="66"/>
        <v>0</v>
      </c>
      <c r="BX43" s="10">
        <f t="shared" si="88"/>
        <v>13</v>
      </c>
    </row>
    <row r="44" spans="1:76" x14ac:dyDescent="0.25">
      <c r="A44" s="16" t="s">
        <v>20</v>
      </c>
      <c r="B44" s="16" t="s">
        <v>223</v>
      </c>
      <c r="C44" s="15" t="s">
        <v>140</v>
      </c>
      <c r="D44" s="9" t="s">
        <v>80</v>
      </c>
      <c r="E44" s="12">
        <v>18</v>
      </c>
      <c r="F44" s="11">
        <v>240</v>
      </c>
      <c r="G44" s="13">
        <f t="shared" si="53"/>
        <v>186.48</v>
      </c>
      <c r="H44" s="13">
        <f t="shared" si="54"/>
        <v>3356.64</v>
      </c>
      <c r="I44" s="10">
        <v>30</v>
      </c>
      <c r="J44" s="13">
        <v>25</v>
      </c>
      <c r="K44" s="13">
        <v>55</v>
      </c>
      <c r="L44" s="13">
        <v>0</v>
      </c>
      <c r="M44" s="13">
        <f t="shared" si="55"/>
        <v>55</v>
      </c>
      <c r="N44" s="10">
        <f t="shared" si="89"/>
        <v>0</v>
      </c>
      <c r="O44" s="14">
        <v>200</v>
      </c>
      <c r="P44" s="14"/>
      <c r="Q44" s="14">
        <f t="shared" si="67"/>
        <v>200</v>
      </c>
      <c r="R44" s="10">
        <f t="shared" si="68"/>
        <v>200</v>
      </c>
      <c r="S44" s="10">
        <f t="shared" si="69"/>
        <v>0</v>
      </c>
      <c r="T44" s="13">
        <v>100</v>
      </c>
      <c r="U44" s="13">
        <v>100</v>
      </c>
      <c r="V44" s="13">
        <v>0</v>
      </c>
      <c r="W44" s="13">
        <f t="shared" si="56"/>
        <v>100</v>
      </c>
      <c r="X44" s="10">
        <f t="shared" si="90"/>
        <v>0</v>
      </c>
      <c r="Y44" s="14">
        <f t="shared" si="70"/>
        <v>100</v>
      </c>
      <c r="Z44" s="14">
        <v>325</v>
      </c>
      <c r="AA44" s="14">
        <f t="shared" si="71"/>
        <v>425</v>
      </c>
      <c r="AB44" s="10">
        <f t="shared" si="72"/>
        <v>425</v>
      </c>
      <c r="AC44" s="10">
        <f t="shared" si="73"/>
        <v>0</v>
      </c>
      <c r="AD44" s="10">
        <v>100</v>
      </c>
      <c r="AE44" s="13">
        <v>0.28000000000000003</v>
      </c>
      <c r="AF44" s="13">
        <v>0</v>
      </c>
      <c r="AG44" s="13">
        <f t="shared" si="57"/>
        <v>0.28000000000000003</v>
      </c>
      <c r="AH44" s="10">
        <f t="shared" si="74"/>
        <v>99.72</v>
      </c>
      <c r="AI44" s="10">
        <v>325</v>
      </c>
      <c r="AJ44" s="10">
        <f t="shared" si="75"/>
        <v>424.72</v>
      </c>
      <c r="AK44" s="10">
        <f t="shared" si="76"/>
        <v>99.72</v>
      </c>
      <c r="AL44" s="10">
        <v>200</v>
      </c>
      <c r="AM44" s="10">
        <v>26.06</v>
      </c>
      <c r="AN44" s="10">
        <v>0</v>
      </c>
      <c r="AO44" s="10">
        <f t="shared" si="58"/>
        <v>26.06</v>
      </c>
      <c r="AP44" s="10">
        <f t="shared" si="77"/>
        <v>273.66000000000003</v>
      </c>
      <c r="AQ44" s="10">
        <f t="shared" si="78"/>
        <v>125</v>
      </c>
      <c r="AR44" s="10">
        <v>0</v>
      </c>
      <c r="AS44" s="10">
        <f t="shared" si="79"/>
        <v>398.66</v>
      </c>
      <c r="AT44" s="10">
        <f t="shared" si="80"/>
        <v>273.66000000000003</v>
      </c>
      <c r="AU44" s="10">
        <v>125</v>
      </c>
      <c r="AV44" s="10">
        <v>10</v>
      </c>
      <c r="AW44" s="10">
        <v>0</v>
      </c>
      <c r="AX44" s="10">
        <f t="shared" si="59"/>
        <v>10</v>
      </c>
      <c r="AY44" s="10">
        <f t="shared" si="81"/>
        <v>388.66</v>
      </c>
      <c r="AZ44" s="10">
        <f t="shared" si="82"/>
        <v>0</v>
      </c>
      <c r="BA44" s="10">
        <f t="shared" si="83"/>
        <v>388.66</v>
      </c>
      <c r="BB44" s="10">
        <f t="shared" si="84"/>
        <v>388.66</v>
      </c>
      <c r="BC44" s="10">
        <v>0</v>
      </c>
      <c r="BD44" s="10">
        <v>1</v>
      </c>
      <c r="BE44" s="10">
        <v>0</v>
      </c>
      <c r="BF44" s="10">
        <f t="shared" si="48"/>
        <v>1</v>
      </c>
      <c r="BG44" s="10">
        <f t="shared" si="85"/>
        <v>387.66</v>
      </c>
      <c r="BH44" s="10">
        <f t="shared" si="86"/>
        <v>0</v>
      </c>
      <c r="BI44" s="10">
        <f t="shared" si="87"/>
        <v>387.66</v>
      </c>
      <c r="BJ44" s="20">
        <f t="shared" si="60"/>
        <v>387.66</v>
      </c>
      <c r="BK44" s="13">
        <v>0</v>
      </c>
      <c r="BL44" s="13">
        <v>31</v>
      </c>
      <c r="BM44" s="13">
        <v>0</v>
      </c>
      <c r="BN44" s="13">
        <f t="shared" si="61"/>
        <v>31</v>
      </c>
      <c r="BO44" s="10">
        <f t="shared" si="62"/>
        <v>356.66</v>
      </c>
      <c r="BP44" s="13">
        <v>0</v>
      </c>
      <c r="BQ44" s="13">
        <v>0</v>
      </c>
      <c r="BR44" s="13">
        <f t="shared" si="63"/>
        <v>0</v>
      </c>
      <c r="BS44" s="10">
        <f t="shared" si="64"/>
        <v>356.66</v>
      </c>
      <c r="BV44" s="10">
        <f t="shared" si="65"/>
        <v>222.34</v>
      </c>
      <c r="BW44" s="10">
        <f t="shared" si="66"/>
        <v>0</v>
      </c>
      <c r="BX44" s="10">
        <f t="shared" si="88"/>
        <v>222.34</v>
      </c>
    </row>
    <row r="45" spans="1:76" x14ac:dyDescent="0.25">
      <c r="A45" s="16" t="s">
        <v>43</v>
      </c>
      <c r="B45" s="16" t="s">
        <v>224</v>
      </c>
      <c r="C45" s="15" t="s">
        <v>140</v>
      </c>
      <c r="D45" s="9" t="s">
        <v>103</v>
      </c>
      <c r="E45" s="12">
        <v>18</v>
      </c>
      <c r="F45" s="11">
        <v>240</v>
      </c>
      <c r="G45" s="13">
        <f t="shared" si="53"/>
        <v>186.48</v>
      </c>
      <c r="H45" s="13">
        <f t="shared" si="54"/>
        <v>3356.64</v>
      </c>
      <c r="I45" s="10">
        <v>0</v>
      </c>
      <c r="J45" s="13">
        <v>40</v>
      </c>
      <c r="K45" s="13">
        <v>40</v>
      </c>
      <c r="L45" s="13">
        <v>0</v>
      </c>
      <c r="M45" s="13">
        <f t="shared" si="55"/>
        <v>40</v>
      </c>
      <c r="N45" s="10">
        <f t="shared" si="89"/>
        <v>0</v>
      </c>
      <c r="O45" s="14">
        <v>100</v>
      </c>
      <c r="P45" s="14">
        <v>10</v>
      </c>
      <c r="Q45" s="14">
        <f t="shared" si="67"/>
        <v>110</v>
      </c>
      <c r="R45" s="10">
        <f t="shared" si="68"/>
        <v>110</v>
      </c>
      <c r="S45" s="10">
        <f t="shared" si="69"/>
        <v>0</v>
      </c>
      <c r="T45" s="13">
        <v>60</v>
      </c>
      <c r="U45" s="13">
        <v>60</v>
      </c>
      <c r="V45" s="13">
        <v>0</v>
      </c>
      <c r="W45" s="13">
        <f t="shared" si="56"/>
        <v>60</v>
      </c>
      <c r="X45" s="10">
        <f t="shared" si="90"/>
        <v>0</v>
      </c>
      <c r="Y45" s="14">
        <f t="shared" si="70"/>
        <v>50</v>
      </c>
      <c r="Z45" s="14">
        <v>275</v>
      </c>
      <c r="AA45" s="14">
        <f t="shared" si="71"/>
        <v>325</v>
      </c>
      <c r="AB45" s="10">
        <f t="shared" si="72"/>
        <v>325</v>
      </c>
      <c r="AC45" s="10">
        <f t="shared" si="73"/>
        <v>0</v>
      </c>
      <c r="AD45" s="10">
        <v>50</v>
      </c>
      <c r="AE45" s="13">
        <v>1.28</v>
      </c>
      <c r="AF45" s="13">
        <v>0</v>
      </c>
      <c r="AG45" s="13">
        <f t="shared" si="57"/>
        <v>1.28</v>
      </c>
      <c r="AH45" s="10">
        <f t="shared" si="74"/>
        <v>48.72</v>
      </c>
      <c r="AI45" s="10">
        <v>275</v>
      </c>
      <c r="AJ45" s="10">
        <f t="shared" si="75"/>
        <v>323.72000000000003</v>
      </c>
      <c r="AK45" s="10">
        <f t="shared" si="76"/>
        <v>48.72</v>
      </c>
      <c r="AL45" s="10">
        <v>150</v>
      </c>
      <c r="AM45" s="10">
        <v>15.06</v>
      </c>
      <c r="AN45" s="10">
        <v>0</v>
      </c>
      <c r="AO45" s="10">
        <f t="shared" si="58"/>
        <v>15.06</v>
      </c>
      <c r="AP45" s="10">
        <f t="shared" si="77"/>
        <v>183.66</v>
      </c>
      <c r="AQ45" s="10">
        <f t="shared" si="78"/>
        <v>125</v>
      </c>
      <c r="AR45" s="10">
        <v>0</v>
      </c>
      <c r="AS45" s="10">
        <f t="shared" si="79"/>
        <v>308.65999999999997</v>
      </c>
      <c r="AT45" s="10">
        <f t="shared" si="80"/>
        <v>183.66</v>
      </c>
      <c r="AU45" s="10">
        <v>125</v>
      </c>
      <c r="AV45" s="10">
        <v>31</v>
      </c>
      <c r="AW45" s="10">
        <v>0</v>
      </c>
      <c r="AX45" s="10">
        <f t="shared" si="59"/>
        <v>31</v>
      </c>
      <c r="AY45" s="10">
        <f t="shared" si="81"/>
        <v>277.65999999999997</v>
      </c>
      <c r="AZ45" s="10">
        <f t="shared" si="82"/>
        <v>0</v>
      </c>
      <c r="BA45" s="10">
        <f t="shared" si="83"/>
        <v>277.65999999999997</v>
      </c>
      <c r="BB45" s="10">
        <f t="shared" si="84"/>
        <v>277.65999999999997</v>
      </c>
      <c r="BC45" s="10">
        <v>0</v>
      </c>
      <c r="BD45" s="10">
        <v>2.2799999999999998</v>
      </c>
      <c r="BE45" s="10">
        <v>1</v>
      </c>
      <c r="BF45" s="10">
        <f t="shared" si="48"/>
        <v>1.2799999999999998</v>
      </c>
      <c r="BG45" s="10">
        <f t="shared" si="85"/>
        <v>276.38</v>
      </c>
      <c r="BH45" s="10">
        <f t="shared" si="86"/>
        <v>0</v>
      </c>
      <c r="BI45" s="10">
        <f t="shared" si="87"/>
        <v>276.38</v>
      </c>
      <c r="BJ45" s="20">
        <f t="shared" si="60"/>
        <v>276.38</v>
      </c>
      <c r="BK45" s="13">
        <v>0</v>
      </c>
      <c r="BL45" s="13">
        <v>31.11</v>
      </c>
      <c r="BM45" s="13">
        <v>0.28000000000000003</v>
      </c>
      <c r="BN45" s="13">
        <f t="shared" si="61"/>
        <v>30.83</v>
      </c>
      <c r="BO45" s="10">
        <f t="shared" si="62"/>
        <v>245.55</v>
      </c>
      <c r="BP45" s="13">
        <v>0</v>
      </c>
      <c r="BQ45" s="13">
        <v>0</v>
      </c>
      <c r="BR45" s="13">
        <f t="shared" si="63"/>
        <v>0</v>
      </c>
      <c r="BS45" s="10">
        <f t="shared" si="64"/>
        <v>245.55</v>
      </c>
      <c r="BV45" s="10">
        <f t="shared" si="65"/>
        <v>178.45</v>
      </c>
      <c r="BW45" s="10">
        <f t="shared" si="66"/>
        <v>0.28000000000000003</v>
      </c>
      <c r="BX45" s="10">
        <f t="shared" si="88"/>
        <v>178.17</v>
      </c>
    </row>
    <row r="46" spans="1:76" x14ac:dyDescent="0.25">
      <c r="A46" s="16" t="s">
        <v>41</v>
      </c>
      <c r="B46" s="16" t="s">
        <v>225</v>
      </c>
      <c r="C46" s="15" t="s">
        <v>140</v>
      </c>
      <c r="D46" s="9" t="s">
        <v>101</v>
      </c>
      <c r="E46" s="12">
        <v>18</v>
      </c>
      <c r="F46" s="11">
        <v>240</v>
      </c>
      <c r="G46" s="13">
        <f t="shared" si="53"/>
        <v>186.48</v>
      </c>
      <c r="H46" s="13">
        <f t="shared" si="54"/>
        <v>3356.64</v>
      </c>
      <c r="I46" s="10">
        <v>0</v>
      </c>
      <c r="J46" s="13">
        <v>600</v>
      </c>
      <c r="K46" s="13">
        <v>600</v>
      </c>
      <c r="L46" s="13">
        <v>0</v>
      </c>
      <c r="M46" s="13">
        <f t="shared" si="55"/>
        <v>600</v>
      </c>
      <c r="N46" s="10">
        <f t="shared" si="89"/>
        <v>0</v>
      </c>
      <c r="O46" s="14">
        <v>500</v>
      </c>
      <c r="P46" s="14">
        <v>100</v>
      </c>
      <c r="Q46" s="14">
        <f t="shared" si="67"/>
        <v>600</v>
      </c>
      <c r="R46" s="10">
        <f t="shared" si="68"/>
        <v>600</v>
      </c>
      <c r="S46" s="10">
        <f t="shared" si="69"/>
        <v>0</v>
      </c>
      <c r="T46" s="13">
        <v>350</v>
      </c>
      <c r="U46" s="13">
        <v>350</v>
      </c>
      <c r="V46" s="13">
        <v>0</v>
      </c>
      <c r="W46" s="13">
        <f t="shared" si="56"/>
        <v>350</v>
      </c>
      <c r="X46" s="10">
        <f t="shared" si="90"/>
        <v>0</v>
      </c>
      <c r="Y46" s="14">
        <f t="shared" si="70"/>
        <v>250</v>
      </c>
      <c r="Z46" s="14">
        <v>850</v>
      </c>
      <c r="AA46" s="14">
        <f t="shared" si="71"/>
        <v>1100</v>
      </c>
      <c r="AB46" s="10">
        <f t="shared" si="72"/>
        <v>1100</v>
      </c>
      <c r="AC46" s="10">
        <f t="shared" si="73"/>
        <v>0</v>
      </c>
      <c r="AD46" s="10">
        <v>250</v>
      </c>
      <c r="AE46" s="13">
        <v>0.28000000000000003</v>
      </c>
      <c r="AF46" s="13">
        <v>0</v>
      </c>
      <c r="AG46" s="13">
        <f t="shared" si="57"/>
        <v>0.28000000000000003</v>
      </c>
      <c r="AH46" s="10">
        <f t="shared" si="74"/>
        <v>249.72</v>
      </c>
      <c r="AI46" s="10">
        <v>850</v>
      </c>
      <c r="AJ46" s="10">
        <f t="shared" si="75"/>
        <v>1099.72</v>
      </c>
      <c r="AK46" s="10">
        <f t="shared" si="76"/>
        <v>249.72</v>
      </c>
      <c r="AL46" s="10">
        <v>625</v>
      </c>
      <c r="AM46" s="10">
        <v>112.06</v>
      </c>
      <c r="AN46" s="10">
        <v>0</v>
      </c>
      <c r="AO46" s="10">
        <f t="shared" si="58"/>
        <v>112.06</v>
      </c>
      <c r="AP46" s="10">
        <f t="shared" si="77"/>
        <v>762.66000000000008</v>
      </c>
      <c r="AQ46" s="10">
        <f t="shared" si="78"/>
        <v>225</v>
      </c>
      <c r="AR46" s="10">
        <v>0</v>
      </c>
      <c r="AS46" s="10">
        <f t="shared" si="79"/>
        <v>987.66000000000008</v>
      </c>
      <c r="AT46" s="10">
        <f t="shared" si="80"/>
        <v>762.66000000000008</v>
      </c>
      <c r="AU46" s="10">
        <v>225</v>
      </c>
      <c r="AV46" s="10">
        <v>56</v>
      </c>
      <c r="AW46" s="10">
        <v>50</v>
      </c>
      <c r="AX46" s="10">
        <f t="shared" si="59"/>
        <v>6</v>
      </c>
      <c r="AY46" s="10">
        <f t="shared" si="81"/>
        <v>981.66000000000008</v>
      </c>
      <c r="AZ46" s="10">
        <f t="shared" si="82"/>
        <v>0</v>
      </c>
      <c r="BA46" s="10">
        <f t="shared" si="83"/>
        <v>981.66000000000008</v>
      </c>
      <c r="BB46" s="10">
        <f t="shared" si="84"/>
        <v>981.66000000000008</v>
      </c>
      <c r="BC46" s="10">
        <v>0</v>
      </c>
      <c r="BD46" s="10">
        <v>37.28</v>
      </c>
      <c r="BE46" s="10">
        <v>1</v>
      </c>
      <c r="BF46" s="10">
        <f t="shared" si="48"/>
        <v>36.28</v>
      </c>
      <c r="BG46" s="10">
        <f t="shared" si="85"/>
        <v>945.38000000000011</v>
      </c>
      <c r="BH46" s="10">
        <f t="shared" si="86"/>
        <v>0</v>
      </c>
      <c r="BI46" s="10">
        <f t="shared" si="87"/>
        <v>945.38000000000011</v>
      </c>
      <c r="BJ46" s="20">
        <f t="shared" si="60"/>
        <v>945.38000000000011</v>
      </c>
      <c r="BK46" s="13">
        <v>0</v>
      </c>
      <c r="BL46" s="13">
        <v>311.11</v>
      </c>
      <c r="BM46" s="13">
        <v>0.28000000000000003</v>
      </c>
      <c r="BN46" s="13">
        <f t="shared" si="61"/>
        <v>310.83000000000004</v>
      </c>
      <c r="BO46" s="10">
        <f t="shared" si="62"/>
        <v>634.55000000000007</v>
      </c>
      <c r="BP46" s="13">
        <v>0</v>
      </c>
      <c r="BQ46" s="13">
        <v>0</v>
      </c>
      <c r="BR46" s="13">
        <f t="shared" si="63"/>
        <v>0</v>
      </c>
      <c r="BS46" s="10">
        <f t="shared" si="64"/>
        <v>634.55000000000007</v>
      </c>
      <c r="BV46" s="10">
        <f t="shared" si="65"/>
        <v>1429.4499999999998</v>
      </c>
      <c r="BW46" s="10">
        <f t="shared" si="66"/>
        <v>50.28</v>
      </c>
      <c r="BX46" s="10">
        <f t="shared" si="88"/>
        <v>1379.1699999999998</v>
      </c>
    </row>
    <row r="47" spans="1:76" x14ac:dyDescent="0.25">
      <c r="A47" s="16" t="s">
        <v>42</v>
      </c>
      <c r="B47" s="16" t="s">
        <v>226</v>
      </c>
      <c r="C47" s="15" t="s">
        <v>140</v>
      </c>
      <c r="D47" s="9" t="s">
        <v>102</v>
      </c>
      <c r="E47" s="12">
        <v>18</v>
      </c>
      <c r="F47" s="11">
        <v>240</v>
      </c>
      <c r="G47" s="13">
        <f t="shared" si="53"/>
        <v>186.48</v>
      </c>
      <c r="H47" s="13">
        <f t="shared" si="54"/>
        <v>3356.64</v>
      </c>
      <c r="I47" s="10">
        <v>0</v>
      </c>
      <c r="J47" s="13">
        <v>25</v>
      </c>
      <c r="K47" s="13">
        <v>25</v>
      </c>
      <c r="L47" s="13">
        <v>0</v>
      </c>
      <c r="M47" s="13">
        <f t="shared" si="55"/>
        <v>25</v>
      </c>
      <c r="N47" s="10">
        <f t="shared" si="89"/>
        <v>0</v>
      </c>
      <c r="O47" s="14">
        <v>50</v>
      </c>
      <c r="P47" s="14"/>
      <c r="Q47" s="14">
        <f t="shared" si="67"/>
        <v>50</v>
      </c>
      <c r="R47" s="10">
        <f t="shared" si="68"/>
        <v>50</v>
      </c>
      <c r="S47" s="10">
        <f t="shared" si="69"/>
        <v>0</v>
      </c>
      <c r="T47" s="13">
        <v>25</v>
      </c>
      <c r="U47" s="13">
        <v>25</v>
      </c>
      <c r="V47" s="13">
        <v>0</v>
      </c>
      <c r="W47" s="13">
        <f t="shared" si="56"/>
        <v>25</v>
      </c>
      <c r="X47" s="10">
        <f t="shared" si="90"/>
        <v>0</v>
      </c>
      <c r="Y47" s="14">
        <f t="shared" si="70"/>
        <v>25</v>
      </c>
      <c r="Z47" s="14">
        <v>60</v>
      </c>
      <c r="AA47" s="14">
        <f t="shared" si="71"/>
        <v>85</v>
      </c>
      <c r="AB47" s="10">
        <f t="shared" si="72"/>
        <v>85</v>
      </c>
      <c r="AC47" s="10">
        <f t="shared" si="73"/>
        <v>0</v>
      </c>
      <c r="AD47" s="10">
        <v>25</v>
      </c>
      <c r="AE47" s="13">
        <v>0.28000000000000003</v>
      </c>
      <c r="AF47" s="13">
        <v>0</v>
      </c>
      <c r="AG47" s="13">
        <f t="shared" si="57"/>
        <v>0.28000000000000003</v>
      </c>
      <c r="AH47" s="10">
        <f t="shared" si="74"/>
        <v>24.72</v>
      </c>
      <c r="AI47" s="10">
        <v>60</v>
      </c>
      <c r="AJ47" s="10">
        <f t="shared" si="75"/>
        <v>84.72</v>
      </c>
      <c r="AK47" s="10">
        <f t="shared" si="76"/>
        <v>24.72</v>
      </c>
      <c r="AL47" s="10">
        <v>50</v>
      </c>
      <c r="AM47" s="10">
        <v>6.06</v>
      </c>
      <c r="AN47" s="10">
        <v>0</v>
      </c>
      <c r="AO47" s="10">
        <f t="shared" si="58"/>
        <v>6.06</v>
      </c>
      <c r="AP47" s="10">
        <f t="shared" si="77"/>
        <v>68.66</v>
      </c>
      <c r="AQ47" s="10">
        <f t="shared" si="78"/>
        <v>10</v>
      </c>
      <c r="AR47" s="10">
        <v>0</v>
      </c>
      <c r="AS47" s="10">
        <f t="shared" si="79"/>
        <v>78.66</v>
      </c>
      <c r="AT47" s="10">
        <f t="shared" si="80"/>
        <v>68.66</v>
      </c>
      <c r="AU47" s="10">
        <v>10</v>
      </c>
      <c r="AV47" s="10">
        <v>3</v>
      </c>
      <c r="AW47" s="10">
        <v>0</v>
      </c>
      <c r="AX47" s="10">
        <f t="shared" si="59"/>
        <v>3</v>
      </c>
      <c r="AY47" s="10">
        <f t="shared" si="81"/>
        <v>75.66</v>
      </c>
      <c r="AZ47" s="10">
        <f t="shared" si="82"/>
        <v>0</v>
      </c>
      <c r="BA47" s="10">
        <f t="shared" si="83"/>
        <v>75.66</v>
      </c>
      <c r="BB47" s="10">
        <f t="shared" si="84"/>
        <v>75.66</v>
      </c>
      <c r="BC47" s="10">
        <v>0</v>
      </c>
      <c r="BD47" s="10">
        <v>1</v>
      </c>
      <c r="BE47" s="10">
        <v>0</v>
      </c>
      <c r="BF47" s="10">
        <f t="shared" si="48"/>
        <v>1</v>
      </c>
      <c r="BG47" s="10">
        <f t="shared" si="85"/>
        <v>74.66</v>
      </c>
      <c r="BH47" s="10">
        <f t="shared" si="86"/>
        <v>0</v>
      </c>
      <c r="BI47" s="10">
        <f t="shared" si="87"/>
        <v>74.66</v>
      </c>
      <c r="BJ47" s="20">
        <f t="shared" si="60"/>
        <v>74.66</v>
      </c>
      <c r="BK47" s="13">
        <v>0</v>
      </c>
      <c r="BL47" s="13">
        <v>16.22</v>
      </c>
      <c r="BM47" s="13">
        <v>0</v>
      </c>
      <c r="BN47" s="13">
        <f t="shared" si="61"/>
        <v>16.22</v>
      </c>
      <c r="BO47" s="10">
        <f t="shared" si="62"/>
        <v>58.44</v>
      </c>
      <c r="BP47" s="13">
        <v>0</v>
      </c>
      <c r="BQ47" s="13">
        <v>0</v>
      </c>
      <c r="BR47" s="13">
        <f t="shared" si="63"/>
        <v>0</v>
      </c>
      <c r="BS47" s="10">
        <f t="shared" si="64"/>
        <v>58.44</v>
      </c>
      <c r="BV47" s="10">
        <f t="shared" si="65"/>
        <v>75.56</v>
      </c>
      <c r="BW47" s="10">
        <f t="shared" si="66"/>
        <v>0</v>
      </c>
      <c r="BX47" s="10">
        <f t="shared" si="88"/>
        <v>75.56</v>
      </c>
    </row>
    <row r="48" spans="1:76" x14ac:dyDescent="0.25">
      <c r="A48" s="16" t="s">
        <v>58</v>
      </c>
      <c r="B48" s="16" t="s">
        <v>186</v>
      </c>
      <c r="C48" s="15" t="s">
        <v>149</v>
      </c>
      <c r="D48" s="9" t="s">
        <v>118</v>
      </c>
      <c r="E48" s="12">
        <v>42</v>
      </c>
      <c r="F48" s="11">
        <v>100</v>
      </c>
      <c r="G48" s="13">
        <f t="shared" si="53"/>
        <v>77.7</v>
      </c>
      <c r="H48" s="13">
        <f t="shared" si="54"/>
        <v>3263.4</v>
      </c>
      <c r="I48" s="10">
        <v>58</v>
      </c>
      <c r="J48" s="13">
        <v>0</v>
      </c>
      <c r="K48" s="13">
        <v>62.57</v>
      </c>
      <c r="L48" s="13">
        <v>5</v>
      </c>
      <c r="M48" s="13">
        <f t="shared" si="55"/>
        <v>57.57</v>
      </c>
      <c r="N48" s="10">
        <f t="shared" si="89"/>
        <v>0.42999999999999972</v>
      </c>
      <c r="O48" s="14">
        <v>0</v>
      </c>
      <c r="P48" s="14"/>
      <c r="Q48" s="14">
        <f t="shared" si="67"/>
        <v>0</v>
      </c>
      <c r="R48" s="10">
        <f t="shared" si="68"/>
        <v>0.42999999999999972</v>
      </c>
      <c r="S48" s="10">
        <f t="shared" si="69"/>
        <v>0.42999999999999972</v>
      </c>
      <c r="T48" s="13">
        <v>0</v>
      </c>
      <c r="U48" s="13">
        <v>0</v>
      </c>
      <c r="V48" s="13">
        <v>1</v>
      </c>
      <c r="W48" s="13">
        <f t="shared" si="56"/>
        <v>-1</v>
      </c>
      <c r="X48" s="10">
        <f t="shared" si="90"/>
        <v>1.4299999999999997</v>
      </c>
      <c r="Y48" s="14">
        <f t="shared" si="70"/>
        <v>0</v>
      </c>
      <c r="Z48" s="14"/>
      <c r="AA48" s="14">
        <f t="shared" si="71"/>
        <v>0</v>
      </c>
      <c r="AB48" s="10">
        <f t="shared" si="72"/>
        <v>1.4299999999999997</v>
      </c>
      <c r="AC48" s="10">
        <f t="shared" si="73"/>
        <v>1.4299999999999997</v>
      </c>
      <c r="AD48" s="10">
        <v>0</v>
      </c>
      <c r="AE48" s="13">
        <v>8.1199999999999992</v>
      </c>
      <c r="AF48" s="13">
        <v>8.1199999999999992</v>
      </c>
      <c r="AG48" s="13">
        <f t="shared" si="57"/>
        <v>0</v>
      </c>
      <c r="AH48" s="10">
        <f t="shared" si="74"/>
        <v>1.4299999999999997</v>
      </c>
      <c r="AI48" s="10">
        <v>0</v>
      </c>
      <c r="AJ48" s="10">
        <f t="shared" si="75"/>
        <v>1.4299999999999997</v>
      </c>
      <c r="AK48" s="10">
        <f t="shared" si="76"/>
        <v>1.4299999999999997</v>
      </c>
      <c r="AL48" s="10">
        <v>0</v>
      </c>
      <c r="AM48" s="10">
        <v>0</v>
      </c>
      <c r="AN48" s="10">
        <v>0</v>
      </c>
      <c r="AO48" s="10">
        <f t="shared" si="58"/>
        <v>0</v>
      </c>
      <c r="AP48" s="10">
        <f t="shared" si="77"/>
        <v>1.4299999999999997</v>
      </c>
      <c r="AQ48" s="10">
        <f t="shared" si="78"/>
        <v>0</v>
      </c>
      <c r="AR48" s="10">
        <v>0</v>
      </c>
      <c r="AS48" s="10">
        <f t="shared" si="79"/>
        <v>1.4299999999999997</v>
      </c>
      <c r="AT48" s="10">
        <f t="shared" si="80"/>
        <v>1.4299999999999997</v>
      </c>
      <c r="AU48" s="10">
        <v>0</v>
      </c>
      <c r="AV48" s="10">
        <v>0</v>
      </c>
      <c r="AW48" s="10">
        <v>1.45</v>
      </c>
      <c r="AX48" s="10">
        <f t="shared" si="59"/>
        <v>-1.45</v>
      </c>
      <c r="AY48" s="10">
        <f t="shared" si="81"/>
        <v>2.88</v>
      </c>
      <c r="AZ48" s="10">
        <f t="shared" si="82"/>
        <v>0</v>
      </c>
      <c r="BA48" s="10">
        <f t="shared" si="83"/>
        <v>2.88</v>
      </c>
      <c r="BB48" s="10">
        <f t="shared" si="84"/>
        <v>2.88</v>
      </c>
      <c r="BC48" s="10">
        <v>0</v>
      </c>
      <c r="BD48" s="10">
        <v>9</v>
      </c>
      <c r="BE48" s="10">
        <v>9</v>
      </c>
      <c r="BF48" s="10">
        <f t="shared" si="48"/>
        <v>0</v>
      </c>
      <c r="BG48" s="10">
        <f t="shared" si="85"/>
        <v>2.88</v>
      </c>
      <c r="BH48" s="10">
        <f t="shared" si="86"/>
        <v>0</v>
      </c>
      <c r="BI48" s="10">
        <f t="shared" si="87"/>
        <v>2.88</v>
      </c>
      <c r="BJ48" s="20">
        <f t="shared" si="60"/>
        <v>2.88</v>
      </c>
      <c r="BK48" s="13">
        <v>0</v>
      </c>
      <c r="BL48" s="13">
        <v>0</v>
      </c>
      <c r="BM48" s="13">
        <v>1.83</v>
      </c>
      <c r="BN48" s="13">
        <f t="shared" si="61"/>
        <v>-1.83</v>
      </c>
      <c r="BO48" s="10">
        <f t="shared" si="62"/>
        <v>4.71</v>
      </c>
      <c r="BP48" s="13">
        <v>0</v>
      </c>
      <c r="BQ48" s="13">
        <v>0</v>
      </c>
      <c r="BR48" s="13">
        <f t="shared" si="63"/>
        <v>0</v>
      </c>
      <c r="BS48" s="10">
        <f t="shared" si="64"/>
        <v>4.71</v>
      </c>
      <c r="BV48" s="10">
        <f t="shared" si="65"/>
        <v>70.69</v>
      </c>
      <c r="BW48" s="10">
        <f t="shared" si="66"/>
        <v>17.399999999999999</v>
      </c>
      <c r="BX48" s="10">
        <f t="shared" si="88"/>
        <v>53.29</v>
      </c>
    </row>
    <row r="49" spans="1:76" x14ac:dyDescent="0.25">
      <c r="A49" s="16" t="s">
        <v>57</v>
      </c>
      <c r="B49" s="16" t="s">
        <v>187</v>
      </c>
      <c r="C49" s="15" t="s">
        <v>149</v>
      </c>
      <c r="D49" s="9" t="s">
        <v>117</v>
      </c>
      <c r="E49" s="12">
        <v>42</v>
      </c>
      <c r="F49" s="11">
        <v>100</v>
      </c>
      <c r="G49" s="13">
        <f t="shared" si="53"/>
        <v>77.7</v>
      </c>
      <c r="H49" s="13">
        <f t="shared" si="54"/>
        <v>3263.4</v>
      </c>
      <c r="I49" s="10">
        <v>67</v>
      </c>
      <c r="J49" s="13">
        <v>0</v>
      </c>
      <c r="K49" s="13">
        <v>71.569999999999993</v>
      </c>
      <c r="L49" s="13">
        <v>5</v>
      </c>
      <c r="M49" s="13">
        <f t="shared" si="55"/>
        <v>66.569999999999993</v>
      </c>
      <c r="N49" s="10">
        <f t="shared" si="89"/>
        <v>0.43000000000000682</v>
      </c>
      <c r="O49" s="14">
        <v>0</v>
      </c>
      <c r="P49" s="14"/>
      <c r="Q49" s="14">
        <f t="shared" si="67"/>
        <v>0</v>
      </c>
      <c r="R49" s="10">
        <f t="shared" si="68"/>
        <v>0.43000000000000682</v>
      </c>
      <c r="S49" s="10">
        <f t="shared" si="69"/>
        <v>0.43000000000000682</v>
      </c>
      <c r="T49" s="13">
        <v>0</v>
      </c>
      <c r="U49" s="13">
        <v>0</v>
      </c>
      <c r="V49" s="13"/>
      <c r="W49" s="13">
        <f t="shared" si="56"/>
        <v>0</v>
      </c>
      <c r="X49" s="10">
        <f t="shared" si="90"/>
        <v>0.43000000000000682</v>
      </c>
      <c r="Y49" s="14">
        <f t="shared" si="70"/>
        <v>0</v>
      </c>
      <c r="Z49" s="14"/>
      <c r="AA49" s="14">
        <f t="shared" si="71"/>
        <v>0</v>
      </c>
      <c r="AB49" s="10">
        <f t="shared" si="72"/>
        <v>0.43000000000000682</v>
      </c>
      <c r="AC49" s="10">
        <f t="shared" si="73"/>
        <v>0.43000000000000682</v>
      </c>
      <c r="AD49" s="10">
        <v>0</v>
      </c>
      <c r="AE49" s="13">
        <v>8.1199999999999992</v>
      </c>
      <c r="AF49" s="13">
        <v>8.1199999999999992</v>
      </c>
      <c r="AG49" s="13">
        <f t="shared" si="57"/>
        <v>0</v>
      </c>
      <c r="AH49" s="10">
        <f t="shared" si="74"/>
        <v>0.43000000000000682</v>
      </c>
      <c r="AI49" s="10">
        <v>0</v>
      </c>
      <c r="AJ49" s="10">
        <f t="shared" si="75"/>
        <v>0.43000000000000682</v>
      </c>
      <c r="AK49" s="10">
        <f t="shared" si="76"/>
        <v>0.43000000000000682</v>
      </c>
      <c r="AL49" s="10">
        <v>0</v>
      </c>
      <c r="AM49" s="10">
        <v>0</v>
      </c>
      <c r="AN49" s="10">
        <v>0</v>
      </c>
      <c r="AO49" s="10">
        <f t="shared" si="58"/>
        <v>0</v>
      </c>
      <c r="AP49" s="10">
        <f t="shared" si="77"/>
        <v>0.43000000000000682</v>
      </c>
      <c r="AQ49" s="10">
        <f t="shared" si="78"/>
        <v>0</v>
      </c>
      <c r="AR49" s="10">
        <v>0</v>
      </c>
      <c r="AS49" s="10">
        <f t="shared" si="79"/>
        <v>0.43000000000000682</v>
      </c>
      <c r="AT49" s="10">
        <f t="shared" si="80"/>
        <v>0.43000000000000682</v>
      </c>
      <c r="AU49" s="10">
        <v>0</v>
      </c>
      <c r="AV49" s="10">
        <v>0</v>
      </c>
      <c r="AW49" s="10">
        <v>2.76</v>
      </c>
      <c r="AX49" s="10">
        <f t="shared" si="59"/>
        <v>-2.76</v>
      </c>
      <c r="AY49" s="10">
        <f t="shared" si="81"/>
        <v>3.1900000000000066</v>
      </c>
      <c r="AZ49" s="10">
        <f t="shared" si="82"/>
        <v>0</v>
      </c>
      <c r="BA49" s="10">
        <f t="shared" si="83"/>
        <v>3.1900000000000066</v>
      </c>
      <c r="BB49" s="10">
        <f t="shared" si="84"/>
        <v>3.1900000000000066</v>
      </c>
      <c r="BC49" s="10">
        <v>0</v>
      </c>
      <c r="BD49" s="10">
        <v>4</v>
      </c>
      <c r="BE49" s="10">
        <v>4</v>
      </c>
      <c r="BF49" s="10">
        <f t="shared" si="48"/>
        <v>0</v>
      </c>
      <c r="BG49" s="10">
        <f t="shared" si="85"/>
        <v>3.1900000000000066</v>
      </c>
      <c r="BH49" s="10">
        <f t="shared" si="86"/>
        <v>0</v>
      </c>
      <c r="BI49" s="10">
        <f t="shared" si="87"/>
        <v>3.1900000000000066</v>
      </c>
      <c r="BJ49" s="20">
        <f t="shared" si="60"/>
        <v>3.1900000000000066</v>
      </c>
      <c r="BK49" s="13">
        <v>0</v>
      </c>
      <c r="BL49" s="13">
        <v>0</v>
      </c>
      <c r="BM49" s="13">
        <v>1.83</v>
      </c>
      <c r="BN49" s="13">
        <f t="shared" si="61"/>
        <v>-1.83</v>
      </c>
      <c r="BO49" s="10">
        <f t="shared" si="62"/>
        <v>5.0200000000000067</v>
      </c>
      <c r="BP49" s="13">
        <v>0</v>
      </c>
      <c r="BQ49" s="13">
        <v>0</v>
      </c>
      <c r="BR49" s="13">
        <f t="shared" si="63"/>
        <v>0</v>
      </c>
      <c r="BS49" s="10">
        <f t="shared" si="64"/>
        <v>5.0200000000000067</v>
      </c>
      <c r="BV49" s="10">
        <f t="shared" si="65"/>
        <v>79.69</v>
      </c>
      <c r="BW49" s="10">
        <f t="shared" si="66"/>
        <v>17.71</v>
      </c>
      <c r="BX49" s="10">
        <f t="shared" si="88"/>
        <v>61.98</v>
      </c>
    </row>
    <row r="50" spans="1:76" x14ac:dyDescent="0.25">
      <c r="A50" s="16" t="s">
        <v>49</v>
      </c>
      <c r="B50" s="16" t="s">
        <v>227</v>
      </c>
      <c r="C50" s="15" t="s">
        <v>142</v>
      </c>
      <c r="D50" s="9" t="s">
        <v>109</v>
      </c>
      <c r="E50" s="12">
        <v>600</v>
      </c>
      <c r="F50" s="11">
        <v>10</v>
      </c>
      <c r="G50" s="13">
        <f t="shared" si="53"/>
        <v>7.77</v>
      </c>
      <c r="H50" s="13">
        <f t="shared" si="54"/>
        <v>4662</v>
      </c>
      <c r="I50" s="10">
        <v>12</v>
      </c>
      <c r="J50" s="13">
        <v>10</v>
      </c>
      <c r="K50" s="13">
        <v>15</v>
      </c>
      <c r="L50" s="13">
        <v>0</v>
      </c>
      <c r="M50" s="13">
        <f t="shared" si="55"/>
        <v>15</v>
      </c>
      <c r="N50" s="10">
        <f t="shared" si="89"/>
        <v>7</v>
      </c>
      <c r="O50" s="14">
        <v>0</v>
      </c>
      <c r="P50" s="14"/>
      <c r="Q50" s="14">
        <f t="shared" si="67"/>
        <v>0</v>
      </c>
      <c r="R50" s="10">
        <f t="shared" si="68"/>
        <v>7</v>
      </c>
      <c r="S50" s="10">
        <f t="shared" si="69"/>
        <v>7</v>
      </c>
      <c r="T50" s="13">
        <v>0</v>
      </c>
      <c r="U50" s="13">
        <v>7</v>
      </c>
      <c r="V50" s="13">
        <v>0</v>
      </c>
      <c r="W50" s="13">
        <f t="shared" si="56"/>
        <v>7</v>
      </c>
      <c r="X50" s="10">
        <f t="shared" si="90"/>
        <v>0</v>
      </c>
      <c r="Y50" s="14">
        <f t="shared" si="70"/>
        <v>0</v>
      </c>
      <c r="Z50" s="14">
        <v>25</v>
      </c>
      <c r="AA50" s="14">
        <f t="shared" si="71"/>
        <v>25</v>
      </c>
      <c r="AB50" s="10">
        <f t="shared" si="72"/>
        <v>25</v>
      </c>
      <c r="AC50" s="10">
        <f t="shared" si="73"/>
        <v>0</v>
      </c>
      <c r="AD50" s="10">
        <v>0</v>
      </c>
      <c r="AE50" s="13">
        <v>0</v>
      </c>
      <c r="AF50" s="13">
        <v>0</v>
      </c>
      <c r="AG50" s="13">
        <f t="shared" si="57"/>
        <v>0</v>
      </c>
      <c r="AH50" s="10">
        <f t="shared" si="74"/>
        <v>0</v>
      </c>
      <c r="AI50" s="10">
        <v>25</v>
      </c>
      <c r="AJ50" s="10">
        <f t="shared" si="75"/>
        <v>25</v>
      </c>
      <c r="AK50" s="10">
        <f t="shared" si="76"/>
        <v>0</v>
      </c>
      <c r="AL50" s="10">
        <v>25</v>
      </c>
      <c r="AM50" s="10">
        <v>26</v>
      </c>
      <c r="AN50" s="10">
        <v>1</v>
      </c>
      <c r="AO50" s="10">
        <f t="shared" si="58"/>
        <v>25</v>
      </c>
      <c r="AP50" s="10">
        <f t="shared" si="77"/>
        <v>0</v>
      </c>
      <c r="AQ50" s="10">
        <f t="shared" si="78"/>
        <v>0</v>
      </c>
      <c r="AR50" s="10">
        <v>0</v>
      </c>
      <c r="AS50" s="10">
        <f t="shared" si="79"/>
        <v>0</v>
      </c>
      <c r="AT50" s="10">
        <f t="shared" si="80"/>
        <v>0</v>
      </c>
      <c r="AU50" s="10">
        <v>0</v>
      </c>
      <c r="AV50" s="10">
        <v>1.01</v>
      </c>
      <c r="AW50" s="10">
        <v>1.96</v>
      </c>
      <c r="AX50" s="10">
        <f t="shared" si="59"/>
        <v>-0.95</v>
      </c>
      <c r="AY50" s="10">
        <f t="shared" si="81"/>
        <v>0.95</v>
      </c>
      <c r="AZ50" s="10">
        <f t="shared" si="82"/>
        <v>0</v>
      </c>
      <c r="BA50" s="10">
        <f t="shared" si="83"/>
        <v>0.95</v>
      </c>
      <c r="BB50" s="10">
        <f t="shared" si="84"/>
        <v>0.95</v>
      </c>
      <c r="BC50" s="10">
        <v>0</v>
      </c>
      <c r="BD50" s="10">
        <v>0</v>
      </c>
      <c r="BE50" s="10">
        <v>0.8</v>
      </c>
      <c r="BF50" s="10">
        <f t="shared" si="48"/>
        <v>-0.8</v>
      </c>
      <c r="BG50" s="10">
        <f t="shared" si="85"/>
        <v>1.75</v>
      </c>
      <c r="BH50" s="10">
        <f t="shared" si="86"/>
        <v>0</v>
      </c>
      <c r="BI50" s="10">
        <f t="shared" si="87"/>
        <v>1.75</v>
      </c>
      <c r="BJ50" s="20">
        <f t="shared" si="60"/>
        <v>1.75</v>
      </c>
      <c r="BK50" s="13">
        <v>0</v>
      </c>
      <c r="BL50" s="13">
        <v>0</v>
      </c>
      <c r="BM50" s="13">
        <v>0</v>
      </c>
      <c r="BN50" s="13">
        <f t="shared" si="61"/>
        <v>0</v>
      </c>
      <c r="BO50" s="10">
        <f t="shared" si="62"/>
        <v>1.75</v>
      </c>
      <c r="BP50" s="13">
        <v>0</v>
      </c>
      <c r="BQ50" s="13">
        <v>25</v>
      </c>
      <c r="BR50" s="13">
        <f t="shared" si="63"/>
        <v>25</v>
      </c>
      <c r="BS50" s="10">
        <f t="shared" si="64"/>
        <v>26.75</v>
      </c>
      <c r="BV50" s="10">
        <f t="shared" si="65"/>
        <v>49.01</v>
      </c>
      <c r="BW50" s="10">
        <f t="shared" si="66"/>
        <v>2.96</v>
      </c>
      <c r="BX50" s="10">
        <f t="shared" si="88"/>
        <v>46.05</v>
      </c>
    </row>
    <row r="51" spans="1:76" x14ac:dyDescent="0.25">
      <c r="A51" s="16" t="s">
        <v>27</v>
      </c>
      <c r="B51" s="16" t="s">
        <v>228</v>
      </c>
      <c r="C51" s="15" t="s">
        <v>134</v>
      </c>
      <c r="D51" s="9" t="s">
        <v>87</v>
      </c>
      <c r="E51" s="12">
        <v>24</v>
      </c>
      <c r="F51" s="11">
        <v>275</v>
      </c>
      <c r="G51" s="13">
        <f t="shared" si="53"/>
        <v>213.68</v>
      </c>
      <c r="H51" s="13">
        <f t="shared" si="54"/>
        <v>5128.32</v>
      </c>
      <c r="I51" s="10">
        <v>8</v>
      </c>
      <c r="J51" s="13">
        <v>40</v>
      </c>
      <c r="K51" s="13">
        <v>27</v>
      </c>
      <c r="L51" s="13">
        <v>0</v>
      </c>
      <c r="M51" s="13">
        <f t="shared" si="55"/>
        <v>27</v>
      </c>
      <c r="N51" s="10">
        <f t="shared" si="89"/>
        <v>21</v>
      </c>
      <c r="O51" s="14">
        <v>0</v>
      </c>
      <c r="P51" s="14">
        <v>10</v>
      </c>
      <c r="Q51" s="14">
        <f t="shared" si="67"/>
        <v>10</v>
      </c>
      <c r="R51" s="10">
        <f t="shared" si="68"/>
        <v>31</v>
      </c>
      <c r="S51" s="10">
        <f t="shared" si="69"/>
        <v>21</v>
      </c>
      <c r="T51" s="13">
        <v>10</v>
      </c>
      <c r="U51" s="13">
        <v>10</v>
      </c>
      <c r="V51" s="13">
        <v>0</v>
      </c>
      <c r="W51" s="13">
        <f t="shared" si="56"/>
        <v>10</v>
      </c>
      <c r="X51" s="10">
        <f t="shared" si="90"/>
        <v>21</v>
      </c>
      <c r="Y51" s="14">
        <f t="shared" si="70"/>
        <v>0</v>
      </c>
      <c r="Z51" s="14">
        <v>25</v>
      </c>
      <c r="AA51" s="14">
        <f t="shared" si="71"/>
        <v>25</v>
      </c>
      <c r="AB51" s="10">
        <f t="shared" si="72"/>
        <v>46</v>
      </c>
      <c r="AC51" s="10">
        <f t="shared" si="73"/>
        <v>21</v>
      </c>
      <c r="AD51" s="10">
        <v>0</v>
      </c>
      <c r="AE51" s="13">
        <v>14.5</v>
      </c>
      <c r="AF51" s="13">
        <v>0</v>
      </c>
      <c r="AG51" s="13">
        <f t="shared" si="57"/>
        <v>14.5</v>
      </c>
      <c r="AH51" s="10">
        <f t="shared" si="74"/>
        <v>6.5</v>
      </c>
      <c r="AI51" s="10">
        <v>25</v>
      </c>
      <c r="AJ51" s="10">
        <f t="shared" si="75"/>
        <v>31.5</v>
      </c>
      <c r="AK51" s="10">
        <f t="shared" si="76"/>
        <v>6.5</v>
      </c>
      <c r="AL51" s="10">
        <v>25</v>
      </c>
      <c r="AM51" s="10">
        <v>30.42</v>
      </c>
      <c r="AN51" s="10">
        <v>0.96</v>
      </c>
      <c r="AO51" s="10">
        <f t="shared" si="58"/>
        <v>29.46</v>
      </c>
      <c r="AP51" s="10">
        <f t="shared" si="77"/>
        <v>2.0399999999999983</v>
      </c>
      <c r="AQ51" s="10">
        <f t="shared" si="78"/>
        <v>0</v>
      </c>
      <c r="AR51" s="10">
        <v>25</v>
      </c>
      <c r="AS51" s="10">
        <f t="shared" si="79"/>
        <v>27.04</v>
      </c>
      <c r="AT51" s="10">
        <f t="shared" si="80"/>
        <v>2.0399999999999983</v>
      </c>
      <c r="AU51" s="10">
        <v>0</v>
      </c>
      <c r="AV51" s="10">
        <v>0.04</v>
      </c>
      <c r="AW51" s="10">
        <v>3</v>
      </c>
      <c r="AX51" s="10">
        <f t="shared" si="59"/>
        <v>-2.96</v>
      </c>
      <c r="AY51" s="10">
        <f t="shared" si="81"/>
        <v>4.9999999999999982</v>
      </c>
      <c r="AZ51" s="10">
        <f t="shared" si="82"/>
        <v>25</v>
      </c>
      <c r="BA51" s="10">
        <f t="shared" si="83"/>
        <v>30</v>
      </c>
      <c r="BB51" s="10">
        <f t="shared" si="84"/>
        <v>4.9999999999999982</v>
      </c>
      <c r="BC51" s="10">
        <v>0</v>
      </c>
      <c r="BD51" s="10">
        <v>0</v>
      </c>
      <c r="BE51" s="10">
        <v>0</v>
      </c>
      <c r="BF51" s="10">
        <f t="shared" si="48"/>
        <v>0</v>
      </c>
      <c r="BG51" s="10">
        <f t="shared" si="85"/>
        <v>4.9999999999999982</v>
      </c>
      <c r="BH51" s="10">
        <f t="shared" si="86"/>
        <v>25</v>
      </c>
      <c r="BI51" s="10">
        <f t="shared" si="87"/>
        <v>30</v>
      </c>
      <c r="BJ51" s="20">
        <f t="shared" si="60"/>
        <v>4.9999999999999982</v>
      </c>
      <c r="BK51" s="13">
        <v>25</v>
      </c>
      <c r="BL51" s="13">
        <v>29.92</v>
      </c>
      <c r="BM51" s="13">
        <v>0.71</v>
      </c>
      <c r="BN51" s="13">
        <f t="shared" si="61"/>
        <v>29.21</v>
      </c>
      <c r="BO51" s="10">
        <f t="shared" si="62"/>
        <v>0.78999999999999915</v>
      </c>
      <c r="BP51" s="13">
        <v>0</v>
      </c>
      <c r="BQ51" s="13">
        <v>75</v>
      </c>
      <c r="BR51" s="13">
        <f t="shared" si="63"/>
        <v>75</v>
      </c>
      <c r="BS51" s="10">
        <f t="shared" si="64"/>
        <v>75.789999999999992</v>
      </c>
      <c r="BV51" s="10">
        <f t="shared" si="65"/>
        <v>111.88000000000001</v>
      </c>
      <c r="BW51" s="10">
        <f t="shared" si="66"/>
        <v>4.67</v>
      </c>
      <c r="BX51" s="10">
        <f t="shared" si="88"/>
        <v>107.21000000000001</v>
      </c>
    </row>
    <row r="52" spans="1:76" x14ac:dyDescent="0.25">
      <c r="A52" s="16" t="s">
        <v>29</v>
      </c>
      <c r="B52" s="16" t="s">
        <v>188</v>
      </c>
      <c r="C52" s="15" t="s">
        <v>134</v>
      </c>
      <c r="D52" s="9" t="s">
        <v>89</v>
      </c>
      <c r="E52" s="12">
        <v>24</v>
      </c>
      <c r="F52" s="11">
        <v>250</v>
      </c>
      <c r="G52" s="13">
        <f t="shared" si="53"/>
        <v>194.25</v>
      </c>
      <c r="H52" s="13">
        <f t="shared" si="54"/>
        <v>4662</v>
      </c>
      <c r="I52" s="10">
        <v>0.25</v>
      </c>
      <c r="J52" s="13">
        <v>85</v>
      </c>
      <c r="K52" s="13">
        <v>18</v>
      </c>
      <c r="L52" s="13">
        <v>0</v>
      </c>
      <c r="M52" s="13">
        <f t="shared" si="55"/>
        <v>18</v>
      </c>
      <c r="N52" s="10">
        <f t="shared" si="89"/>
        <v>67.25</v>
      </c>
      <c r="O52" s="14">
        <v>100</v>
      </c>
      <c r="P52" s="14">
        <v>15</v>
      </c>
      <c r="Q52" s="14">
        <f t="shared" si="67"/>
        <v>115</v>
      </c>
      <c r="R52" s="10">
        <f t="shared" si="68"/>
        <v>182.25</v>
      </c>
      <c r="S52" s="10">
        <f t="shared" si="69"/>
        <v>67.25</v>
      </c>
      <c r="T52" s="13">
        <v>15</v>
      </c>
      <c r="U52" s="13">
        <v>16</v>
      </c>
      <c r="V52" s="13">
        <v>0</v>
      </c>
      <c r="W52" s="13">
        <f t="shared" si="56"/>
        <v>16</v>
      </c>
      <c r="X52" s="10">
        <f t="shared" si="90"/>
        <v>66.25</v>
      </c>
      <c r="Y52" s="14">
        <f t="shared" si="70"/>
        <v>100</v>
      </c>
      <c r="Z52" s="14"/>
      <c r="AA52" s="14">
        <f t="shared" si="71"/>
        <v>100</v>
      </c>
      <c r="AB52" s="10">
        <f t="shared" si="72"/>
        <v>166.25</v>
      </c>
      <c r="AC52" s="10">
        <f t="shared" si="73"/>
        <v>66.25</v>
      </c>
      <c r="AD52" s="10">
        <v>100</v>
      </c>
      <c r="AE52" s="13">
        <v>0.28999999999999998</v>
      </c>
      <c r="AF52" s="13">
        <v>0</v>
      </c>
      <c r="AG52" s="13">
        <f t="shared" si="57"/>
        <v>0.28999999999999998</v>
      </c>
      <c r="AH52" s="10">
        <f t="shared" si="74"/>
        <v>165.96</v>
      </c>
      <c r="AI52" s="10">
        <v>0</v>
      </c>
      <c r="AJ52" s="10">
        <f t="shared" si="75"/>
        <v>165.96</v>
      </c>
      <c r="AK52" s="10">
        <f t="shared" si="76"/>
        <v>165.96</v>
      </c>
      <c r="AL52" s="10">
        <v>0</v>
      </c>
      <c r="AM52" s="10">
        <v>31.04</v>
      </c>
      <c r="AN52" s="10">
        <v>1.75</v>
      </c>
      <c r="AO52" s="10">
        <f t="shared" si="58"/>
        <v>29.29</v>
      </c>
      <c r="AP52" s="10">
        <f t="shared" si="77"/>
        <v>136.67000000000002</v>
      </c>
      <c r="AQ52" s="10">
        <f t="shared" si="78"/>
        <v>0</v>
      </c>
      <c r="AR52" s="10">
        <v>0</v>
      </c>
      <c r="AS52" s="10">
        <f t="shared" si="79"/>
        <v>136.67000000000002</v>
      </c>
      <c r="AT52" s="10">
        <f t="shared" si="80"/>
        <v>136.67000000000002</v>
      </c>
      <c r="AU52" s="10">
        <v>0.20999999999999996</v>
      </c>
      <c r="AV52" s="10">
        <v>30.42</v>
      </c>
      <c r="AW52" s="10">
        <v>1</v>
      </c>
      <c r="AX52" s="10">
        <f t="shared" si="59"/>
        <v>29.42</v>
      </c>
      <c r="AY52" s="10">
        <f t="shared" si="81"/>
        <v>107.46000000000002</v>
      </c>
      <c r="AZ52" s="10">
        <f t="shared" si="82"/>
        <v>0</v>
      </c>
      <c r="BA52" s="10">
        <f t="shared" si="83"/>
        <v>107.46000000000002</v>
      </c>
      <c r="BB52" s="10">
        <f t="shared" si="84"/>
        <v>107.46000000000002</v>
      </c>
      <c r="BC52" s="10">
        <v>0</v>
      </c>
      <c r="BD52" s="10">
        <v>17</v>
      </c>
      <c r="BE52" s="10">
        <v>0</v>
      </c>
      <c r="BF52" s="10">
        <f t="shared" si="48"/>
        <v>17</v>
      </c>
      <c r="BG52" s="10">
        <f t="shared" si="85"/>
        <v>90.460000000000022</v>
      </c>
      <c r="BH52" s="10">
        <f t="shared" si="86"/>
        <v>0</v>
      </c>
      <c r="BI52" s="10">
        <f t="shared" si="87"/>
        <v>90.460000000000022</v>
      </c>
      <c r="BJ52" s="20">
        <f t="shared" si="60"/>
        <v>90.460000000000022</v>
      </c>
      <c r="BK52" s="13">
        <v>0</v>
      </c>
      <c r="BL52" s="13">
        <v>21</v>
      </c>
      <c r="BM52" s="13">
        <v>14</v>
      </c>
      <c r="BN52" s="13">
        <f t="shared" si="61"/>
        <v>7</v>
      </c>
      <c r="BO52" s="10">
        <f t="shared" si="62"/>
        <v>83.460000000000022</v>
      </c>
      <c r="BP52" s="13">
        <v>0</v>
      </c>
      <c r="BQ52" s="13">
        <v>0</v>
      </c>
      <c r="BR52" s="13">
        <f t="shared" si="63"/>
        <v>0</v>
      </c>
      <c r="BS52" s="10">
        <f t="shared" si="64"/>
        <v>83.460000000000022</v>
      </c>
      <c r="BV52" s="10">
        <f t="shared" si="65"/>
        <v>116.75</v>
      </c>
      <c r="BW52" s="10">
        <f t="shared" si="66"/>
        <v>16.75</v>
      </c>
      <c r="BX52" s="10">
        <f t="shared" si="88"/>
        <v>100</v>
      </c>
    </row>
    <row r="53" spans="1:76" x14ac:dyDescent="0.25">
      <c r="A53" s="16" t="s">
        <v>40</v>
      </c>
      <c r="B53" s="16" t="s">
        <v>229</v>
      </c>
      <c r="C53" s="15" t="s">
        <v>147</v>
      </c>
      <c r="D53" s="9" t="s">
        <v>100</v>
      </c>
      <c r="E53" s="12">
        <v>70</v>
      </c>
      <c r="F53" s="11">
        <v>44</v>
      </c>
      <c r="G53" s="13">
        <f t="shared" si="53"/>
        <v>34.19</v>
      </c>
      <c r="H53" s="13">
        <f t="shared" si="54"/>
        <v>2393.2999999999997</v>
      </c>
      <c r="I53" s="10">
        <v>0</v>
      </c>
      <c r="J53" s="13">
        <v>40</v>
      </c>
      <c r="K53" s="13">
        <v>40</v>
      </c>
      <c r="L53" s="13">
        <v>0</v>
      </c>
      <c r="M53" s="13">
        <f t="shared" si="55"/>
        <v>40</v>
      </c>
      <c r="N53" s="10">
        <f t="shared" si="89"/>
        <v>0</v>
      </c>
      <c r="O53" s="14">
        <v>650</v>
      </c>
      <c r="P53" s="14">
        <v>10</v>
      </c>
      <c r="Q53" s="14">
        <f t="shared" si="67"/>
        <v>660</v>
      </c>
      <c r="R53" s="10">
        <f t="shared" si="68"/>
        <v>660</v>
      </c>
      <c r="S53" s="10">
        <f t="shared" si="69"/>
        <v>0</v>
      </c>
      <c r="T53" s="13">
        <v>660</v>
      </c>
      <c r="U53" s="13">
        <v>292</v>
      </c>
      <c r="V53" s="13">
        <v>0</v>
      </c>
      <c r="W53" s="13">
        <f t="shared" si="56"/>
        <v>292</v>
      </c>
      <c r="X53" s="10">
        <f t="shared" si="90"/>
        <v>368</v>
      </c>
      <c r="Y53" s="14">
        <f t="shared" si="70"/>
        <v>0</v>
      </c>
      <c r="Z53" s="14">
        <v>250</v>
      </c>
      <c r="AA53" s="14">
        <f t="shared" si="71"/>
        <v>250</v>
      </c>
      <c r="AB53" s="10">
        <f t="shared" si="72"/>
        <v>618</v>
      </c>
      <c r="AC53" s="10">
        <f t="shared" si="73"/>
        <v>368</v>
      </c>
      <c r="AD53" s="10">
        <v>0</v>
      </c>
      <c r="AE53" s="13">
        <v>95.01</v>
      </c>
      <c r="AF53" s="13">
        <v>0</v>
      </c>
      <c r="AG53" s="13">
        <f t="shared" si="57"/>
        <v>95.01</v>
      </c>
      <c r="AH53" s="10">
        <f t="shared" si="74"/>
        <v>272.99</v>
      </c>
      <c r="AI53" s="10">
        <v>250</v>
      </c>
      <c r="AJ53" s="10">
        <f t="shared" si="75"/>
        <v>522.99</v>
      </c>
      <c r="AK53" s="10">
        <f t="shared" si="76"/>
        <v>272.99</v>
      </c>
      <c r="AL53" s="10">
        <v>125</v>
      </c>
      <c r="AM53" s="10">
        <v>139.01</v>
      </c>
      <c r="AN53" s="10">
        <v>0</v>
      </c>
      <c r="AO53" s="10">
        <f t="shared" si="58"/>
        <v>139.01</v>
      </c>
      <c r="AP53" s="10">
        <f t="shared" si="77"/>
        <v>258.98</v>
      </c>
      <c r="AQ53" s="10">
        <f t="shared" si="78"/>
        <v>125</v>
      </c>
      <c r="AR53" s="10">
        <v>0</v>
      </c>
      <c r="AS53" s="10">
        <f t="shared" si="79"/>
        <v>383.98</v>
      </c>
      <c r="AT53" s="10">
        <f t="shared" si="80"/>
        <v>258.98</v>
      </c>
      <c r="AU53" s="10">
        <v>125</v>
      </c>
      <c r="AV53" s="10">
        <v>123</v>
      </c>
      <c r="AW53" s="10">
        <v>0.66</v>
      </c>
      <c r="AX53" s="10">
        <f t="shared" si="59"/>
        <v>122.34</v>
      </c>
      <c r="AY53" s="10">
        <f t="shared" si="81"/>
        <v>261.64000000000004</v>
      </c>
      <c r="AZ53" s="10">
        <f t="shared" si="82"/>
        <v>0</v>
      </c>
      <c r="BA53" s="10">
        <f t="shared" si="83"/>
        <v>261.64000000000004</v>
      </c>
      <c r="BB53" s="10">
        <f t="shared" si="84"/>
        <v>261.64000000000004</v>
      </c>
      <c r="BC53" s="10">
        <v>0</v>
      </c>
      <c r="BD53" s="10">
        <v>97</v>
      </c>
      <c r="BE53" s="10">
        <v>10.98</v>
      </c>
      <c r="BF53" s="10">
        <f t="shared" si="48"/>
        <v>86.02</v>
      </c>
      <c r="BG53" s="10">
        <f t="shared" si="85"/>
        <v>175.62000000000003</v>
      </c>
      <c r="BH53" s="10">
        <f t="shared" si="86"/>
        <v>0</v>
      </c>
      <c r="BI53" s="10">
        <f t="shared" si="87"/>
        <v>175.62000000000003</v>
      </c>
      <c r="BJ53" s="20">
        <f t="shared" si="60"/>
        <v>175.62000000000003</v>
      </c>
      <c r="BK53" s="13">
        <v>0</v>
      </c>
      <c r="BL53" s="13">
        <v>132</v>
      </c>
      <c r="BM53" s="13">
        <v>14</v>
      </c>
      <c r="BN53" s="13">
        <f t="shared" si="61"/>
        <v>118</v>
      </c>
      <c r="BO53" s="10">
        <f t="shared" si="62"/>
        <v>57.620000000000033</v>
      </c>
      <c r="BP53" s="13">
        <v>0</v>
      </c>
      <c r="BQ53" s="13">
        <v>200</v>
      </c>
      <c r="BR53" s="13">
        <f t="shared" si="63"/>
        <v>200</v>
      </c>
      <c r="BS53" s="10">
        <f t="shared" si="64"/>
        <v>257.62</v>
      </c>
      <c r="BV53" s="10">
        <f t="shared" si="65"/>
        <v>821.02</v>
      </c>
      <c r="BW53" s="10">
        <f t="shared" si="66"/>
        <v>14.66</v>
      </c>
      <c r="BX53" s="10">
        <f t="shared" si="88"/>
        <v>806.36</v>
      </c>
    </row>
    <row r="54" spans="1:76" x14ac:dyDescent="0.25">
      <c r="A54" s="16" t="s">
        <v>51</v>
      </c>
      <c r="B54" s="16" t="s">
        <v>230</v>
      </c>
      <c r="C54" s="15" t="s">
        <v>148</v>
      </c>
      <c r="D54" s="9" t="s">
        <v>111</v>
      </c>
      <c r="E54" s="12">
        <v>24</v>
      </c>
      <c r="F54" s="11">
        <v>190</v>
      </c>
      <c r="G54" s="13">
        <f t="shared" si="53"/>
        <v>147.63</v>
      </c>
      <c r="H54" s="13">
        <f t="shared" si="54"/>
        <v>3543.12</v>
      </c>
      <c r="I54" s="10">
        <v>12</v>
      </c>
      <c r="J54" s="13">
        <v>85</v>
      </c>
      <c r="K54" s="13">
        <v>36</v>
      </c>
      <c r="L54" s="13">
        <v>0</v>
      </c>
      <c r="M54" s="13">
        <f t="shared" si="55"/>
        <v>36</v>
      </c>
      <c r="N54" s="10">
        <f t="shared" si="89"/>
        <v>61</v>
      </c>
      <c r="O54" s="14">
        <v>0</v>
      </c>
      <c r="P54" s="14">
        <v>15</v>
      </c>
      <c r="Q54" s="14">
        <f t="shared" si="67"/>
        <v>15</v>
      </c>
      <c r="R54" s="10">
        <f t="shared" si="68"/>
        <v>76</v>
      </c>
      <c r="S54" s="10">
        <f t="shared" si="69"/>
        <v>61</v>
      </c>
      <c r="T54" s="13">
        <v>15</v>
      </c>
      <c r="U54" s="13">
        <v>17</v>
      </c>
      <c r="V54" s="13">
        <v>0</v>
      </c>
      <c r="W54" s="13">
        <f t="shared" si="56"/>
        <v>17</v>
      </c>
      <c r="X54" s="10">
        <f t="shared" si="90"/>
        <v>59</v>
      </c>
      <c r="Y54" s="14">
        <f t="shared" si="70"/>
        <v>0</v>
      </c>
      <c r="Z54" s="14"/>
      <c r="AA54" s="14">
        <f t="shared" si="71"/>
        <v>0</v>
      </c>
      <c r="AB54" s="10">
        <f t="shared" si="72"/>
        <v>59</v>
      </c>
      <c r="AC54" s="10">
        <f t="shared" si="73"/>
        <v>59</v>
      </c>
      <c r="AD54" s="10">
        <v>0</v>
      </c>
      <c r="AE54" s="13">
        <v>9</v>
      </c>
      <c r="AF54" s="13">
        <v>0</v>
      </c>
      <c r="AG54" s="13">
        <f t="shared" si="57"/>
        <v>9</v>
      </c>
      <c r="AH54" s="10">
        <f t="shared" si="74"/>
        <v>50</v>
      </c>
      <c r="AI54" s="10">
        <v>0</v>
      </c>
      <c r="AJ54" s="10">
        <f t="shared" si="75"/>
        <v>50</v>
      </c>
      <c r="AK54" s="10">
        <f t="shared" si="76"/>
        <v>50</v>
      </c>
      <c r="AL54" s="10">
        <v>0</v>
      </c>
      <c r="AM54" s="10">
        <v>43.71</v>
      </c>
      <c r="AN54" s="10">
        <v>0.75</v>
      </c>
      <c r="AO54" s="10">
        <f t="shared" si="58"/>
        <v>42.96</v>
      </c>
      <c r="AP54" s="10">
        <f t="shared" si="77"/>
        <v>7.0399999999999991</v>
      </c>
      <c r="AQ54" s="10">
        <f t="shared" si="78"/>
        <v>0</v>
      </c>
      <c r="AR54" s="10">
        <v>25</v>
      </c>
      <c r="AS54" s="10">
        <f t="shared" si="79"/>
        <v>32.04</v>
      </c>
      <c r="AT54" s="10">
        <f t="shared" si="80"/>
        <v>7.0399999999999991</v>
      </c>
      <c r="AU54" s="10">
        <v>1.71</v>
      </c>
      <c r="AV54" s="10">
        <v>7.71</v>
      </c>
      <c r="AW54" s="10">
        <v>0</v>
      </c>
      <c r="AX54" s="10">
        <f t="shared" si="59"/>
        <v>7.71</v>
      </c>
      <c r="AY54" s="10">
        <f t="shared" si="81"/>
        <v>1.04</v>
      </c>
      <c r="AZ54" s="10">
        <f t="shared" si="82"/>
        <v>25</v>
      </c>
      <c r="BA54" s="10">
        <f t="shared" si="83"/>
        <v>26.04</v>
      </c>
      <c r="BB54" s="10">
        <f t="shared" si="84"/>
        <v>1.04</v>
      </c>
      <c r="BC54" s="10">
        <v>0</v>
      </c>
      <c r="BD54" s="10">
        <v>0.42</v>
      </c>
      <c r="BE54" s="10">
        <v>0</v>
      </c>
      <c r="BF54" s="10">
        <f t="shared" si="48"/>
        <v>0.42</v>
      </c>
      <c r="BG54" s="10">
        <f t="shared" si="85"/>
        <v>0.62000000000000011</v>
      </c>
      <c r="BH54" s="10">
        <f t="shared" si="86"/>
        <v>25</v>
      </c>
      <c r="BI54" s="10">
        <f t="shared" si="87"/>
        <v>25.62</v>
      </c>
      <c r="BJ54" s="20">
        <f t="shared" si="60"/>
        <v>0.62000000000000011</v>
      </c>
      <c r="BK54" s="13">
        <v>25</v>
      </c>
      <c r="BL54" s="13">
        <v>25.92</v>
      </c>
      <c r="BM54" s="13">
        <v>0.92</v>
      </c>
      <c r="BN54" s="13">
        <f t="shared" si="61"/>
        <v>25</v>
      </c>
      <c r="BO54" s="10">
        <f t="shared" si="62"/>
        <v>0.62000000000000099</v>
      </c>
      <c r="BP54" s="13">
        <v>60</v>
      </c>
      <c r="BQ54" s="13">
        <v>150</v>
      </c>
      <c r="BR54" s="13">
        <f t="shared" si="63"/>
        <v>210</v>
      </c>
      <c r="BS54" s="10">
        <f t="shared" si="64"/>
        <v>210.62</v>
      </c>
      <c r="BV54" s="10">
        <f t="shared" si="65"/>
        <v>139.34</v>
      </c>
      <c r="BW54" s="10">
        <f t="shared" si="66"/>
        <v>1.67</v>
      </c>
      <c r="BX54" s="10">
        <f t="shared" si="88"/>
        <v>137.67000000000002</v>
      </c>
    </row>
    <row r="55" spans="1:76" x14ac:dyDescent="0.25">
      <c r="A55" s="16" t="s">
        <v>25</v>
      </c>
      <c r="B55" s="16" t="s">
        <v>231</v>
      </c>
      <c r="C55" s="15" t="s">
        <v>142</v>
      </c>
      <c r="D55" s="9" t="s">
        <v>85</v>
      </c>
      <c r="E55" s="12">
        <v>240</v>
      </c>
      <c r="F55" s="11">
        <v>25</v>
      </c>
      <c r="G55" s="13">
        <f t="shared" si="53"/>
        <v>19.43</v>
      </c>
      <c r="H55" s="13">
        <f t="shared" si="54"/>
        <v>4663.2</v>
      </c>
      <c r="I55" s="10">
        <v>10.83</v>
      </c>
      <c r="J55" s="13">
        <v>25</v>
      </c>
      <c r="K55" s="13">
        <v>10</v>
      </c>
      <c r="L55" s="13">
        <v>0</v>
      </c>
      <c r="M55" s="13">
        <f t="shared" si="55"/>
        <v>10</v>
      </c>
      <c r="N55" s="10">
        <f t="shared" si="89"/>
        <v>25.83</v>
      </c>
      <c r="O55" s="14">
        <v>0</v>
      </c>
      <c r="P55" s="14"/>
      <c r="Q55" s="14">
        <f t="shared" si="67"/>
        <v>0</v>
      </c>
      <c r="R55" s="10">
        <f t="shared" si="68"/>
        <v>25.83</v>
      </c>
      <c r="S55" s="10">
        <f t="shared" si="69"/>
        <v>25.83</v>
      </c>
      <c r="T55" s="13">
        <v>0</v>
      </c>
      <c r="U55" s="13">
        <v>7</v>
      </c>
      <c r="V55" s="13">
        <v>0</v>
      </c>
      <c r="W55" s="13">
        <f t="shared" si="56"/>
        <v>7</v>
      </c>
      <c r="X55" s="10">
        <f t="shared" si="90"/>
        <v>18.829999999999998</v>
      </c>
      <c r="Y55" s="14">
        <f t="shared" si="70"/>
        <v>0</v>
      </c>
      <c r="Z55" s="14"/>
      <c r="AA55" s="14">
        <f t="shared" si="71"/>
        <v>0</v>
      </c>
      <c r="AB55" s="10">
        <f t="shared" si="72"/>
        <v>18.829999999999998</v>
      </c>
      <c r="AC55" s="10">
        <f t="shared" si="73"/>
        <v>18.829999999999998</v>
      </c>
      <c r="AD55" s="10">
        <v>0</v>
      </c>
      <c r="AE55" s="13">
        <v>1</v>
      </c>
      <c r="AF55" s="13">
        <v>0</v>
      </c>
      <c r="AG55" s="13">
        <f t="shared" si="57"/>
        <v>1</v>
      </c>
      <c r="AH55" s="10">
        <f t="shared" si="74"/>
        <v>17.829999999999998</v>
      </c>
      <c r="AI55" s="10">
        <v>0</v>
      </c>
      <c r="AJ55" s="10">
        <f t="shared" si="75"/>
        <v>17.829999999999998</v>
      </c>
      <c r="AK55" s="10">
        <f t="shared" si="76"/>
        <v>17.829999999999998</v>
      </c>
      <c r="AL55" s="10">
        <v>0</v>
      </c>
      <c r="AM55" s="10">
        <v>12</v>
      </c>
      <c r="AN55" s="10">
        <v>0</v>
      </c>
      <c r="AO55" s="10">
        <f t="shared" si="58"/>
        <v>12</v>
      </c>
      <c r="AP55" s="10">
        <f t="shared" si="77"/>
        <v>5.8299999999999983</v>
      </c>
      <c r="AQ55" s="10">
        <f t="shared" si="78"/>
        <v>0</v>
      </c>
      <c r="AR55" s="10">
        <v>0</v>
      </c>
      <c r="AS55" s="10">
        <f t="shared" si="79"/>
        <v>5.8299999999999983</v>
      </c>
      <c r="AT55" s="10">
        <f t="shared" si="80"/>
        <v>5.8299999999999983</v>
      </c>
      <c r="AU55" s="10">
        <v>0</v>
      </c>
      <c r="AV55" s="10">
        <v>5</v>
      </c>
      <c r="AW55" s="10">
        <v>0</v>
      </c>
      <c r="AX55" s="10">
        <f t="shared" si="59"/>
        <v>5</v>
      </c>
      <c r="AY55" s="10">
        <f t="shared" si="81"/>
        <v>0.82999999999999829</v>
      </c>
      <c r="AZ55" s="10">
        <f t="shared" si="82"/>
        <v>0</v>
      </c>
      <c r="BA55" s="10">
        <f t="shared" si="83"/>
        <v>0.82999999999999829</v>
      </c>
      <c r="BB55" s="10">
        <f t="shared" si="84"/>
        <v>0.82999999999999829</v>
      </c>
      <c r="BC55" s="10">
        <v>0</v>
      </c>
      <c r="BD55" s="10">
        <v>0</v>
      </c>
      <c r="BE55" s="10">
        <v>0</v>
      </c>
      <c r="BF55" s="10">
        <f t="shared" si="48"/>
        <v>0</v>
      </c>
      <c r="BG55" s="10">
        <f t="shared" si="85"/>
        <v>0.82999999999999829</v>
      </c>
      <c r="BH55" s="10">
        <f t="shared" si="86"/>
        <v>0</v>
      </c>
      <c r="BI55" s="10">
        <f t="shared" si="87"/>
        <v>0.82999999999999829</v>
      </c>
      <c r="BJ55" s="20">
        <f t="shared" si="60"/>
        <v>0.82999999999999829</v>
      </c>
      <c r="BK55" s="13">
        <v>0</v>
      </c>
      <c r="BL55" s="13">
        <v>0</v>
      </c>
      <c r="BM55" s="13">
        <v>0</v>
      </c>
      <c r="BN55" s="13">
        <f t="shared" si="61"/>
        <v>0</v>
      </c>
      <c r="BO55" s="10">
        <f t="shared" si="62"/>
        <v>0.82999999999999829</v>
      </c>
      <c r="BP55" s="13">
        <v>0</v>
      </c>
      <c r="BQ55" s="13">
        <v>25</v>
      </c>
      <c r="BR55" s="13">
        <f t="shared" si="63"/>
        <v>25</v>
      </c>
      <c r="BS55" s="10">
        <f t="shared" si="64"/>
        <v>25.83</v>
      </c>
      <c r="BV55" s="10">
        <f t="shared" si="65"/>
        <v>35</v>
      </c>
      <c r="BW55" s="10">
        <f t="shared" si="66"/>
        <v>0</v>
      </c>
      <c r="BX55" s="10">
        <f t="shared" si="88"/>
        <v>35</v>
      </c>
    </row>
    <row r="56" spans="1:76" x14ac:dyDescent="0.25">
      <c r="A56" s="16" t="s">
        <v>39</v>
      </c>
      <c r="B56" s="16" t="s">
        <v>189</v>
      </c>
      <c r="C56" s="15" t="s">
        <v>146</v>
      </c>
      <c r="D56" s="9" t="s">
        <v>99</v>
      </c>
      <c r="E56" s="12">
        <v>50</v>
      </c>
      <c r="F56" s="11">
        <v>120</v>
      </c>
      <c r="G56" s="13">
        <f t="shared" si="53"/>
        <v>93.24</v>
      </c>
      <c r="H56" s="13">
        <f t="shared" si="54"/>
        <v>4662</v>
      </c>
      <c r="I56" s="10">
        <v>0</v>
      </c>
      <c r="J56" s="13">
        <v>25</v>
      </c>
      <c r="K56" s="13">
        <v>25</v>
      </c>
      <c r="L56" s="13">
        <v>0</v>
      </c>
      <c r="M56" s="13">
        <f t="shared" si="55"/>
        <v>25</v>
      </c>
      <c r="N56" s="10">
        <f t="shared" si="89"/>
        <v>0</v>
      </c>
      <c r="O56" s="14">
        <v>0</v>
      </c>
      <c r="P56" s="14"/>
      <c r="Q56" s="14">
        <f t="shared" si="67"/>
        <v>0</v>
      </c>
      <c r="R56" s="10">
        <f t="shared" si="68"/>
        <v>0</v>
      </c>
      <c r="S56" s="10">
        <f t="shared" si="69"/>
        <v>0</v>
      </c>
      <c r="T56" s="13">
        <v>0</v>
      </c>
      <c r="U56" s="13">
        <v>0</v>
      </c>
      <c r="V56" s="13">
        <v>0</v>
      </c>
      <c r="W56" s="13">
        <f t="shared" si="56"/>
        <v>0</v>
      </c>
      <c r="X56" s="10">
        <f t="shared" si="90"/>
        <v>0</v>
      </c>
      <c r="Y56" s="14">
        <f t="shared" si="70"/>
        <v>0</v>
      </c>
      <c r="Z56" s="14">
        <v>125</v>
      </c>
      <c r="AA56" s="14">
        <f t="shared" si="71"/>
        <v>125</v>
      </c>
      <c r="AB56" s="10">
        <f t="shared" si="72"/>
        <v>125</v>
      </c>
      <c r="AC56" s="10">
        <f t="shared" si="73"/>
        <v>0</v>
      </c>
      <c r="AD56" s="10">
        <v>0</v>
      </c>
      <c r="AE56" s="13">
        <v>0</v>
      </c>
      <c r="AF56" s="13">
        <v>0</v>
      </c>
      <c r="AG56" s="13">
        <f t="shared" si="57"/>
        <v>0</v>
      </c>
      <c r="AH56" s="10">
        <f t="shared" si="74"/>
        <v>0</v>
      </c>
      <c r="AI56" s="10">
        <v>125</v>
      </c>
      <c r="AJ56" s="10">
        <f t="shared" si="75"/>
        <v>125</v>
      </c>
      <c r="AK56" s="10">
        <f t="shared" si="76"/>
        <v>0</v>
      </c>
      <c r="AL56" s="10">
        <v>125</v>
      </c>
      <c r="AM56" s="10">
        <v>113</v>
      </c>
      <c r="AN56" s="10">
        <v>0</v>
      </c>
      <c r="AO56" s="10">
        <f t="shared" si="58"/>
        <v>113</v>
      </c>
      <c r="AP56" s="10">
        <f t="shared" si="77"/>
        <v>12</v>
      </c>
      <c r="AQ56" s="10">
        <f t="shared" si="78"/>
        <v>0</v>
      </c>
      <c r="AR56" s="10">
        <v>300</v>
      </c>
      <c r="AS56" s="10">
        <f t="shared" si="79"/>
        <v>312</v>
      </c>
      <c r="AT56" s="10">
        <f t="shared" si="80"/>
        <v>12</v>
      </c>
      <c r="AU56" s="10">
        <v>0</v>
      </c>
      <c r="AV56" s="10">
        <v>42.04</v>
      </c>
      <c r="AW56" s="10">
        <v>31</v>
      </c>
      <c r="AX56" s="10">
        <f t="shared" si="59"/>
        <v>11.04</v>
      </c>
      <c r="AY56" s="10">
        <f t="shared" si="81"/>
        <v>0.96000000000000085</v>
      </c>
      <c r="AZ56" s="10">
        <f t="shared" si="82"/>
        <v>300</v>
      </c>
      <c r="BA56" s="10">
        <f t="shared" si="83"/>
        <v>300.95999999999998</v>
      </c>
      <c r="BB56" s="10">
        <f t="shared" si="84"/>
        <v>0.96000000000000085</v>
      </c>
      <c r="BC56" s="10">
        <v>150</v>
      </c>
      <c r="BD56" s="10">
        <v>26</v>
      </c>
      <c r="BE56" s="10">
        <v>0</v>
      </c>
      <c r="BF56" s="10">
        <f t="shared" si="48"/>
        <v>26</v>
      </c>
      <c r="BG56" s="10">
        <f t="shared" si="85"/>
        <v>124.96000000000001</v>
      </c>
      <c r="BH56" s="10">
        <f t="shared" si="86"/>
        <v>150</v>
      </c>
      <c r="BI56" s="10">
        <f t="shared" si="87"/>
        <v>274.96000000000004</v>
      </c>
      <c r="BJ56" s="20">
        <f t="shared" si="60"/>
        <v>124.96000000000001</v>
      </c>
      <c r="BK56" s="13">
        <v>150</v>
      </c>
      <c r="BL56" s="13">
        <v>39</v>
      </c>
      <c r="BM56" s="13">
        <v>0</v>
      </c>
      <c r="BN56" s="13">
        <f t="shared" si="61"/>
        <v>39</v>
      </c>
      <c r="BO56" s="10">
        <f t="shared" si="62"/>
        <v>235.96000000000004</v>
      </c>
      <c r="BP56" s="13">
        <v>0</v>
      </c>
      <c r="BQ56" s="13">
        <v>0</v>
      </c>
      <c r="BR56" s="13">
        <f t="shared" si="63"/>
        <v>0</v>
      </c>
      <c r="BS56" s="10">
        <f t="shared" si="64"/>
        <v>235.96000000000004</v>
      </c>
      <c r="BV56" s="10">
        <f t="shared" si="65"/>
        <v>219.04</v>
      </c>
      <c r="BW56" s="10">
        <f t="shared" si="66"/>
        <v>31</v>
      </c>
      <c r="BX56" s="10">
        <f t="shared" si="88"/>
        <v>188.04</v>
      </c>
    </row>
    <row r="57" spans="1:76" x14ac:dyDescent="0.25">
      <c r="A57" s="16" t="s">
        <v>28</v>
      </c>
      <c r="B57" s="16" t="s">
        <v>190</v>
      </c>
      <c r="C57" s="15" t="s">
        <v>201</v>
      </c>
      <c r="D57" s="9" t="s">
        <v>88</v>
      </c>
      <c r="E57" s="12">
        <v>40</v>
      </c>
      <c r="F57" s="11">
        <v>110</v>
      </c>
      <c r="G57" s="13">
        <f t="shared" si="53"/>
        <v>85.47</v>
      </c>
      <c r="H57" s="13">
        <f t="shared" si="54"/>
        <v>3418.8</v>
      </c>
      <c r="I57" s="10">
        <v>11</v>
      </c>
      <c r="J57" s="13">
        <v>0</v>
      </c>
      <c r="K57" s="13">
        <v>11</v>
      </c>
      <c r="L57" s="13">
        <v>0</v>
      </c>
      <c r="M57" s="13">
        <f t="shared" si="55"/>
        <v>11</v>
      </c>
      <c r="N57" s="10">
        <f t="shared" si="89"/>
        <v>0</v>
      </c>
      <c r="O57" s="14">
        <v>0</v>
      </c>
      <c r="P57" s="14"/>
      <c r="Q57" s="14">
        <f t="shared" si="67"/>
        <v>0</v>
      </c>
      <c r="R57" s="10">
        <f t="shared" si="68"/>
        <v>0</v>
      </c>
      <c r="S57" s="10">
        <f t="shared" si="69"/>
        <v>0</v>
      </c>
      <c r="T57" s="13">
        <v>0</v>
      </c>
      <c r="U57" s="13">
        <v>0</v>
      </c>
      <c r="V57" s="13">
        <v>0</v>
      </c>
      <c r="W57" s="13">
        <f t="shared" si="56"/>
        <v>0</v>
      </c>
      <c r="X57" s="10">
        <f t="shared" si="90"/>
        <v>0</v>
      </c>
      <c r="Y57" s="14">
        <f t="shared" si="70"/>
        <v>0</v>
      </c>
      <c r="Z57" s="14"/>
      <c r="AA57" s="14">
        <f t="shared" si="71"/>
        <v>0</v>
      </c>
      <c r="AB57" s="10">
        <f t="shared" si="72"/>
        <v>0</v>
      </c>
      <c r="AC57" s="10">
        <f t="shared" si="73"/>
        <v>0</v>
      </c>
      <c r="AD57" s="10">
        <v>0</v>
      </c>
      <c r="AE57" s="13">
        <v>0</v>
      </c>
      <c r="AF57" s="13">
        <v>0</v>
      </c>
      <c r="AG57" s="13">
        <f t="shared" si="57"/>
        <v>0</v>
      </c>
      <c r="AH57" s="10">
        <f t="shared" si="74"/>
        <v>0</v>
      </c>
      <c r="AI57" s="10">
        <v>0</v>
      </c>
      <c r="AJ57" s="10">
        <f t="shared" si="75"/>
        <v>0</v>
      </c>
      <c r="AK57" s="10">
        <f t="shared" si="76"/>
        <v>0</v>
      </c>
      <c r="AL57" s="10">
        <v>0</v>
      </c>
      <c r="AM57" s="10">
        <v>0</v>
      </c>
      <c r="AN57" s="10">
        <v>0</v>
      </c>
      <c r="AO57" s="10">
        <f t="shared" si="58"/>
        <v>0</v>
      </c>
      <c r="AP57" s="10">
        <f t="shared" si="77"/>
        <v>0</v>
      </c>
      <c r="AQ57" s="10">
        <f t="shared" si="78"/>
        <v>0</v>
      </c>
      <c r="AR57" s="10">
        <v>0</v>
      </c>
      <c r="AS57" s="10">
        <f t="shared" si="79"/>
        <v>0</v>
      </c>
      <c r="AT57" s="10">
        <f t="shared" si="80"/>
        <v>0</v>
      </c>
      <c r="AU57" s="10">
        <v>2.33</v>
      </c>
      <c r="AV57" s="10">
        <v>2.33</v>
      </c>
      <c r="AW57" s="10">
        <v>0</v>
      </c>
      <c r="AX57" s="10">
        <f t="shared" si="59"/>
        <v>2.33</v>
      </c>
      <c r="AY57" s="10">
        <f t="shared" si="81"/>
        <v>0</v>
      </c>
      <c r="AZ57" s="10">
        <f t="shared" si="82"/>
        <v>0</v>
      </c>
      <c r="BA57" s="10">
        <f t="shared" si="83"/>
        <v>0</v>
      </c>
      <c r="BB57" s="10">
        <f t="shared" si="84"/>
        <v>0</v>
      </c>
      <c r="BC57" s="10">
        <v>0</v>
      </c>
      <c r="BD57" s="10">
        <v>0</v>
      </c>
      <c r="BE57" s="10">
        <v>0</v>
      </c>
      <c r="BF57" s="10">
        <f t="shared" si="48"/>
        <v>0</v>
      </c>
      <c r="BG57" s="10">
        <f t="shared" si="85"/>
        <v>0</v>
      </c>
      <c r="BH57" s="10">
        <f t="shared" si="86"/>
        <v>0</v>
      </c>
      <c r="BI57" s="10">
        <f t="shared" si="87"/>
        <v>0</v>
      </c>
      <c r="BJ57" s="20">
        <f t="shared" si="60"/>
        <v>0</v>
      </c>
      <c r="BK57" s="13">
        <v>0</v>
      </c>
      <c r="BL57" s="13">
        <v>0</v>
      </c>
      <c r="BM57" s="13">
        <v>0</v>
      </c>
      <c r="BN57" s="13">
        <f t="shared" si="61"/>
        <v>0</v>
      </c>
      <c r="BO57" s="10">
        <f t="shared" si="62"/>
        <v>0</v>
      </c>
      <c r="BP57" s="13">
        <v>0</v>
      </c>
      <c r="BQ57" s="13">
        <v>0</v>
      </c>
      <c r="BR57" s="13">
        <f t="shared" si="63"/>
        <v>0</v>
      </c>
      <c r="BS57" s="10">
        <f t="shared" si="64"/>
        <v>0</v>
      </c>
      <c r="BV57" s="10">
        <f t="shared" si="65"/>
        <v>13.33</v>
      </c>
      <c r="BW57" s="10">
        <f t="shared" si="66"/>
        <v>0</v>
      </c>
      <c r="BX57" s="10">
        <f t="shared" si="88"/>
        <v>13.33</v>
      </c>
    </row>
    <row r="58" spans="1:76" x14ac:dyDescent="0.25">
      <c r="A58" s="16" t="s">
        <v>24</v>
      </c>
      <c r="B58" s="16" t="s">
        <v>191</v>
      </c>
      <c r="C58" s="15" t="s">
        <v>134</v>
      </c>
      <c r="D58" s="9" t="s">
        <v>84</v>
      </c>
      <c r="E58" s="12">
        <v>24</v>
      </c>
      <c r="F58" s="11">
        <v>250</v>
      </c>
      <c r="G58" s="13">
        <f t="shared" si="53"/>
        <v>194.25</v>
      </c>
      <c r="H58" s="13">
        <f t="shared" si="54"/>
        <v>4662</v>
      </c>
      <c r="I58" s="10">
        <v>126.46</v>
      </c>
      <c r="J58" s="13">
        <v>0</v>
      </c>
      <c r="K58" s="13">
        <v>2</v>
      </c>
      <c r="L58" s="13">
        <v>0</v>
      </c>
      <c r="M58" s="13">
        <f t="shared" si="55"/>
        <v>2</v>
      </c>
      <c r="N58" s="10">
        <f t="shared" si="89"/>
        <v>124.46</v>
      </c>
      <c r="O58" s="14">
        <v>0</v>
      </c>
      <c r="P58" s="14"/>
      <c r="Q58" s="14">
        <f t="shared" si="67"/>
        <v>0</v>
      </c>
      <c r="R58" s="10">
        <f t="shared" si="68"/>
        <v>124.46</v>
      </c>
      <c r="S58" s="10">
        <f t="shared" si="69"/>
        <v>124.46</v>
      </c>
      <c r="T58" s="13">
        <v>0</v>
      </c>
      <c r="U58" s="13">
        <v>0</v>
      </c>
      <c r="V58" s="13">
        <v>0</v>
      </c>
      <c r="W58" s="13">
        <f t="shared" si="56"/>
        <v>0</v>
      </c>
      <c r="X58" s="10">
        <f t="shared" si="90"/>
        <v>124.46</v>
      </c>
      <c r="Y58" s="14">
        <f t="shared" si="70"/>
        <v>0</v>
      </c>
      <c r="Z58" s="14"/>
      <c r="AA58" s="14">
        <f t="shared" si="71"/>
        <v>0</v>
      </c>
      <c r="AB58" s="10">
        <f t="shared" si="72"/>
        <v>124.46</v>
      </c>
      <c r="AC58" s="10">
        <f t="shared" si="73"/>
        <v>124.46</v>
      </c>
      <c r="AD58" s="10">
        <v>0</v>
      </c>
      <c r="AE58" s="13">
        <v>0.04</v>
      </c>
      <c r="AF58" s="13">
        <v>0</v>
      </c>
      <c r="AG58" s="13">
        <f t="shared" si="57"/>
        <v>0.04</v>
      </c>
      <c r="AH58" s="10">
        <f t="shared" si="74"/>
        <v>124.41999999999999</v>
      </c>
      <c r="AI58" s="10">
        <v>0</v>
      </c>
      <c r="AJ58" s="10">
        <f t="shared" si="75"/>
        <v>124.41999999999999</v>
      </c>
      <c r="AK58" s="10">
        <f t="shared" si="76"/>
        <v>124.41999999999999</v>
      </c>
      <c r="AL58" s="10">
        <v>0</v>
      </c>
      <c r="AM58" s="10">
        <v>0</v>
      </c>
      <c r="AN58" s="10">
        <v>0</v>
      </c>
      <c r="AO58" s="10">
        <f t="shared" si="58"/>
        <v>0</v>
      </c>
      <c r="AP58" s="10">
        <f t="shared" si="77"/>
        <v>124.41999999999999</v>
      </c>
      <c r="AQ58" s="10">
        <f t="shared" si="78"/>
        <v>0</v>
      </c>
      <c r="AR58" s="10">
        <v>0</v>
      </c>
      <c r="AS58" s="10">
        <f t="shared" si="79"/>
        <v>124.41999999999999</v>
      </c>
      <c r="AT58" s="10">
        <f t="shared" si="80"/>
        <v>124.41999999999999</v>
      </c>
      <c r="AU58" s="10">
        <v>0</v>
      </c>
      <c r="AV58" s="10">
        <v>0</v>
      </c>
      <c r="AW58" s="10">
        <v>0</v>
      </c>
      <c r="AX58" s="10">
        <f t="shared" si="59"/>
        <v>0</v>
      </c>
      <c r="AY58" s="10">
        <f t="shared" si="81"/>
        <v>124.41999999999999</v>
      </c>
      <c r="AZ58" s="10">
        <f t="shared" si="82"/>
        <v>0</v>
      </c>
      <c r="BA58" s="10">
        <f t="shared" si="83"/>
        <v>124.41999999999999</v>
      </c>
      <c r="BB58" s="10">
        <f t="shared" si="84"/>
        <v>124.41999999999999</v>
      </c>
      <c r="BC58" s="10">
        <v>0</v>
      </c>
      <c r="BD58" s="10">
        <v>0</v>
      </c>
      <c r="BE58" s="10">
        <v>0</v>
      </c>
      <c r="BF58" s="10">
        <f t="shared" si="48"/>
        <v>0</v>
      </c>
      <c r="BG58" s="10">
        <f t="shared" si="85"/>
        <v>124.41999999999999</v>
      </c>
      <c r="BH58" s="10">
        <f t="shared" si="86"/>
        <v>0</v>
      </c>
      <c r="BI58" s="10">
        <f t="shared" si="87"/>
        <v>124.41999999999999</v>
      </c>
      <c r="BJ58" s="20">
        <f t="shared" si="60"/>
        <v>124.41999999999999</v>
      </c>
      <c r="BK58" s="13">
        <v>0</v>
      </c>
      <c r="BL58" s="13">
        <v>0</v>
      </c>
      <c r="BM58" s="13">
        <v>0</v>
      </c>
      <c r="BN58" s="13">
        <f t="shared" si="61"/>
        <v>0</v>
      </c>
      <c r="BO58" s="10">
        <f t="shared" si="62"/>
        <v>124.41999999999999</v>
      </c>
      <c r="BP58" s="13">
        <v>0</v>
      </c>
      <c r="BQ58" s="13">
        <v>0</v>
      </c>
      <c r="BR58" s="13">
        <f t="shared" si="63"/>
        <v>0</v>
      </c>
      <c r="BS58" s="10">
        <f t="shared" si="64"/>
        <v>124.41999999999999</v>
      </c>
      <c r="BV58" s="10">
        <f t="shared" si="65"/>
        <v>2.04</v>
      </c>
      <c r="BW58" s="10">
        <f t="shared" si="66"/>
        <v>0</v>
      </c>
      <c r="BX58" s="10">
        <f t="shared" si="88"/>
        <v>2.04</v>
      </c>
    </row>
    <row r="59" spans="1:76" x14ac:dyDescent="0.25">
      <c r="A59" s="16" t="s">
        <v>48</v>
      </c>
      <c r="B59" s="16" t="s">
        <v>192</v>
      </c>
      <c r="C59" s="15" t="s">
        <v>198</v>
      </c>
      <c r="D59" s="9" t="s">
        <v>108</v>
      </c>
      <c r="E59" s="12">
        <v>20</v>
      </c>
      <c r="F59" s="11">
        <v>275</v>
      </c>
      <c r="G59" s="13">
        <f t="shared" si="53"/>
        <v>213.68</v>
      </c>
      <c r="H59" s="13">
        <f t="shared" si="54"/>
        <v>4273.6000000000004</v>
      </c>
      <c r="I59" s="10">
        <v>0</v>
      </c>
      <c r="J59" s="13">
        <v>50</v>
      </c>
      <c r="K59" s="13">
        <v>2</v>
      </c>
      <c r="L59" s="13">
        <v>0</v>
      </c>
      <c r="M59" s="13">
        <f t="shared" si="55"/>
        <v>2</v>
      </c>
      <c r="N59" s="10">
        <f t="shared" si="89"/>
        <v>48</v>
      </c>
      <c r="O59" s="14">
        <v>0</v>
      </c>
      <c r="P59" s="14"/>
      <c r="Q59" s="14">
        <f t="shared" si="67"/>
        <v>0</v>
      </c>
      <c r="R59" s="10">
        <f t="shared" si="68"/>
        <v>48</v>
      </c>
      <c r="S59" s="10">
        <f t="shared" si="69"/>
        <v>48</v>
      </c>
      <c r="T59" s="13">
        <v>0</v>
      </c>
      <c r="U59" s="13">
        <v>3</v>
      </c>
      <c r="V59" s="13">
        <v>0</v>
      </c>
      <c r="W59" s="13">
        <f t="shared" si="56"/>
        <v>3</v>
      </c>
      <c r="X59" s="10">
        <f t="shared" si="90"/>
        <v>45</v>
      </c>
      <c r="Y59" s="14">
        <f t="shared" si="70"/>
        <v>0</v>
      </c>
      <c r="Z59" s="14"/>
      <c r="AA59" s="14">
        <f t="shared" si="71"/>
        <v>0</v>
      </c>
      <c r="AB59" s="10">
        <f t="shared" si="72"/>
        <v>45</v>
      </c>
      <c r="AC59" s="10">
        <f t="shared" si="73"/>
        <v>45</v>
      </c>
      <c r="AD59" s="10">
        <v>0</v>
      </c>
      <c r="AE59" s="13">
        <v>10.3</v>
      </c>
      <c r="AF59" s="13">
        <v>0</v>
      </c>
      <c r="AG59" s="13">
        <f t="shared" si="57"/>
        <v>10.3</v>
      </c>
      <c r="AH59" s="10">
        <f t="shared" si="74"/>
        <v>34.700000000000003</v>
      </c>
      <c r="AI59" s="10">
        <v>0</v>
      </c>
      <c r="AJ59" s="10">
        <f t="shared" si="75"/>
        <v>34.700000000000003</v>
      </c>
      <c r="AK59" s="10">
        <f t="shared" si="76"/>
        <v>34.700000000000003</v>
      </c>
      <c r="AL59" s="10">
        <v>0</v>
      </c>
      <c r="AM59" s="10">
        <v>18.55</v>
      </c>
      <c r="AN59" s="10">
        <v>0</v>
      </c>
      <c r="AO59" s="10">
        <f t="shared" si="58"/>
        <v>18.55</v>
      </c>
      <c r="AP59" s="10">
        <f t="shared" si="77"/>
        <v>16.150000000000002</v>
      </c>
      <c r="AQ59" s="10">
        <f t="shared" si="78"/>
        <v>0</v>
      </c>
      <c r="AR59" s="10">
        <v>0</v>
      </c>
      <c r="AS59" s="10">
        <f t="shared" si="79"/>
        <v>16.150000000000002</v>
      </c>
      <c r="AT59" s="10">
        <f t="shared" si="80"/>
        <v>16.150000000000002</v>
      </c>
      <c r="AU59" s="10">
        <v>0</v>
      </c>
      <c r="AV59" s="10">
        <v>2</v>
      </c>
      <c r="AW59" s="10">
        <v>0</v>
      </c>
      <c r="AX59" s="10">
        <f t="shared" si="59"/>
        <v>2</v>
      </c>
      <c r="AY59" s="10">
        <f t="shared" si="81"/>
        <v>14.150000000000002</v>
      </c>
      <c r="AZ59" s="10">
        <f t="shared" si="82"/>
        <v>0</v>
      </c>
      <c r="BA59" s="10">
        <f t="shared" si="83"/>
        <v>14.150000000000002</v>
      </c>
      <c r="BB59" s="10">
        <f t="shared" si="84"/>
        <v>14.150000000000002</v>
      </c>
      <c r="BC59" s="10">
        <v>0</v>
      </c>
      <c r="BD59" s="10">
        <v>13</v>
      </c>
      <c r="BE59" s="10">
        <v>0.7</v>
      </c>
      <c r="BF59" s="10">
        <f t="shared" si="48"/>
        <v>12.3</v>
      </c>
      <c r="BG59" s="10">
        <f t="shared" si="85"/>
        <v>1.8500000000000021</v>
      </c>
      <c r="BH59" s="10">
        <f t="shared" si="86"/>
        <v>0</v>
      </c>
      <c r="BI59" s="10">
        <f t="shared" si="87"/>
        <v>1.8500000000000021</v>
      </c>
      <c r="BJ59" s="20">
        <f t="shared" si="60"/>
        <v>1.8500000000000021</v>
      </c>
      <c r="BK59" s="13">
        <v>0</v>
      </c>
      <c r="BL59" s="13">
        <v>14</v>
      </c>
      <c r="BM59" s="13">
        <v>14</v>
      </c>
      <c r="BN59" s="13">
        <f t="shared" si="61"/>
        <v>0</v>
      </c>
      <c r="BO59" s="10">
        <f t="shared" si="62"/>
        <v>1.8500000000000021</v>
      </c>
      <c r="BP59" s="13">
        <v>0</v>
      </c>
      <c r="BQ59" s="13">
        <v>50</v>
      </c>
      <c r="BR59" s="13">
        <f t="shared" si="63"/>
        <v>50</v>
      </c>
      <c r="BS59" s="10">
        <f t="shared" si="64"/>
        <v>51.85</v>
      </c>
      <c r="BV59" s="10">
        <f t="shared" si="65"/>
        <v>49.85</v>
      </c>
      <c r="BW59" s="10">
        <f t="shared" si="66"/>
        <v>14</v>
      </c>
      <c r="BX59" s="10">
        <f t="shared" si="88"/>
        <v>35.85</v>
      </c>
    </row>
    <row r="60" spans="1:76" x14ac:dyDescent="0.25">
      <c r="A60" s="16" t="s">
        <v>50</v>
      </c>
      <c r="B60" s="16" t="s">
        <v>232</v>
      </c>
      <c r="C60" s="15" t="s">
        <v>198</v>
      </c>
      <c r="D60" s="9" t="s">
        <v>110</v>
      </c>
      <c r="E60" s="12">
        <v>20</v>
      </c>
      <c r="F60" s="11">
        <v>325</v>
      </c>
      <c r="G60" s="13">
        <f t="shared" si="53"/>
        <v>252.53</v>
      </c>
      <c r="H60" s="13">
        <f t="shared" si="54"/>
        <v>5050.6000000000004</v>
      </c>
      <c r="I60" s="10">
        <v>0</v>
      </c>
      <c r="J60" s="13">
        <v>45</v>
      </c>
      <c r="K60" s="13">
        <v>26</v>
      </c>
      <c r="L60" s="13">
        <v>0</v>
      </c>
      <c r="M60" s="13">
        <f t="shared" si="55"/>
        <v>26</v>
      </c>
      <c r="N60" s="10">
        <f t="shared" si="89"/>
        <v>19</v>
      </c>
      <c r="O60" s="14">
        <v>0</v>
      </c>
      <c r="P60" s="14">
        <v>5</v>
      </c>
      <c r="Q60" s="14">
        <f t="shared" si="67"/>
        <v>5</v>
      </c>
      <c r="R60" s="10">
        <f t="shared" si="68"/>
        <v>24</v>
      </c>
      <c r="S60" s="10">
        <f t="shared" si="69"/>
        <v>19</v>
      </c>
      <c r="T60" s="13">
        <v>5</v>
      </c>
      <c r="U60" s="13">
        <v>10.1</v>
      </c>
      <c r="V60" s="13">
        <v>0</v>
      </c>
      <c r="W60" s="13">
        <f t="shared" si="56"/>
        <v>10.1</v>
      </c>
      <c r="X60" s="10">
        <f t="shared" si="90"/>
        <v>13.9</v>
      </c>
      <c r="Y60" s="14">
        <f t="shared" si="70"/>
        <v>0</v>
      </c>
      <c r="Z60" s="14"/>
      <c r="AA60" s="14">
        <f t="shared" si="71"/>
        <v>0</v>
      </c>
      <c r="AB60" s="10">
        <f t="shared" si="72"/>
        <v>13.9</v>
      </c>
      <c r="AC60" s="10">
        <f t="shared" si="73"/>
        <v>13.9</v>
      </c>
      <c r="AD60" s="10">
        <v>0</v>
      </c>
      <c r="AE60" s="13">
        <v>6.3</v>
      </c>
      <c r="AF60" s="13">
        <v>0</v>
      </c>
      <c r="AG60" s="13">
        <f t="shared" si="57"/>
        <v>6.3</v>
      </c>
      <c r="AH60" s="10">
        <f t="shared" si="74"/>
        <v>7.6000000000000005</v>
      </c>
      <c r="AI60" s="10">
        <v>0</v>
      </c>
      <c r="AJ60" s="10">
        <f t="shared" si="75"/>
        <v>7.6000000000000005</v>
      </c>
      <c r="AK60" s="10">
        <f t="shared" si="76"/>
        <v>7.6000000000000005</v>
      </c>
      <c r="AL60" s="10">
        <v>0</v>
      </c>
      <c r="AM60" s="10">
        <v>7</v>
      </c>
      <c r="AN60" s="10">
        <v>0</v>
      </c>
      <c r="AO60" s="10">
        <f t="shared" si="58"/>
        <v>7</v>
      </c>
      <c r="AP60" s="10">
        <f t="shared" si="77"/>
        <v>0.60000000000000053</v>
      </c>
      <c r="AQ60" s="10">
        <f t="shared" si="78"/>
        <v>0</v>
      </c>
      <c r="AR60" s="10">
        <v>50</v>
      </c>
      <c r="AS60" s="10">
        <f t="shared" si="79"/>
        <v>50.6</v>
      </c>
      <c r="AT60" s="10">
        <f t="shared" si="80"/>
        <v>0.60000000000000053</v>
      </c>
      <c r="AU60" s="10">
        <v>4.0999999999999996</v>
      </c>
      <c r="AV60" s="10">
        <v>5.0999999999999996</v>
      </c>
      <c r="AW60" s="10">
        <v>1</v>
      </c>
      <c r="AX60" s="10">
        <f t="shared" si="59"/>
        <v>4.0999999999999996</v>
      </c>
      <c r="AY60" s="10">
        <f t="shared" si="81"/>
        <v>0.60000000000000053</v>
      </c>
      <c r="AZ60" s="10">
        <f t="shared" si="82"/>
        <v>50</v>
      </c>
      <c r="BA60" s="10">
        <f t="shared" si="83"/>
        <v>50.6</v>
      </c>
      <c r="BB60" s="10">
        <f t="shared" si="84"/>
        <v>0.60000000000000053</v>
      </c>
      <c r="BC60" s="10">
        <v>50</v>
      </c>
      <c r="BD60" s="10">
        <v>42</v>
      </c>
      <c r="BE60" s="10">
        <v>0</v>
      </c>
      <c r="BF60" s="10">
        <f t="shared" si="48"/>
        <v>42</v>
      </c>
      <c r="BG60" s="10">
        <f t="shared" si="85"/>
        <v>8.6000000000000014</v>
      </c>
      <c r="BH60" s="10">
        <f t="shared" si="86"/>
        <v>0</v>
      </c>
      <c r="BI60" s="10">
        <f t="shared" si="87"/>
        <v>8.6000000000000014</v>
      </c>
      <c r="BJ60" s="20">
        <f t="shared" si="60"/>
        <v>8.6000000000000014</v>
      </c>
      <c r="BK60" s="13">
        <v>0</v>
      </c>
      <c r="BL60" s="13">
        <v>8.3000000000000007</v>
      </c>
      <c r="BM60" s="13">
        <v>0</v>
      </c>
      <c r="BN60" s="13">
        <f t="shared" si="61"/>
        <v>8.3000000000000007</v>
      </c>
      <c r="BO60" s="10">
        <f t="shared" si="62"/>
        <v>0.30000000000000071</v>
      </c>
      <c r="BP60" s="13">
        <v>90</v>
      </c>
      <c r="BQ60" s="13">
        <v>50</v>
      </c>
      <c r="BR60" s="13">
        <f t="shared" si="63"/>
        <v>140</v>
      </c>
      <c r="BS60" s="10">
        <f t="shared" si="64"/>
        <v>140.30000000000001</v>
      </c>
      <c r="BV60" s="10">
        <f t="shared" si="65"/>
        <v>62.8</v>
      </c>
      <c r="BW60" s="10">
        <f t="shared" si="66"/>
        <v>1</v>
      </c>
      <c r="BX60" s="10">
        <f t="shared" si="88"/>
        <v>61.8</v>
      </c>
    </row>
    <row r="61" spans="1:76" x14ac:dyDescent="0.25">
      <c r="A61" s="16" t="s">
        <v>52</v>
      </c>
      <c r="B61" s="16" t="s">
        <v>193</v>
      </c>
      <c r="C61" s="15" t="s">
        <v>198</v>
      </c>
      <c r="D61" s="9" t="s">
        <v>112</v>
      </c>
      <c r="E61" s="12">
        <v>20</v>
      </c>
      <c r="F61" s="11">
        <v>275</v>
      </c>
      <c r="G61" s="13">
        <f t="shared" si="53"/>
        <v>213.68</v>
      </c>
      <c r="H61" s="13">
        <f t="shared" si="54"/>
        <v>4273.6000000000004</v>
      </c>
      <c r="I61" s="10">
        <v>0</v>
      </c>
      <c r="J61" s="13">
        <v>40</v>
      </c>
      <c r="K61" s="13">
        <v>20</v>
      </c>
      <c r="L61" s="13">
        <v>0</v>
      </c>
      <c r="M61" s="13">
        <f t="shared" si="55"/>
        <v>20</v>
      </c>
      <c r="N61" s="10">
        <f t="shared" si="89"/>
        <v>20</v>
      </c>
      <c r="O61" s="14">
        <v>0</v>
      </c>
      <c r="P61" s="14">
        <v>10</v>
      </c>
      <c r="Q61" s="14">
        <f t="shared" si="67"/>
        <v>10</v>
      </c>
      <c r="R61" s="10">
        <f t="shared" si="68"/>
        <v>30</v>
      </c>
      <c r="S61" s="10">
        <f t="shared" si="69"/>
        <v>20</v>
      </c>
      <c r="T61" s="13">
        <v>10</v>
      </c>
      <c r="U61" s="13">
        <v>4</v>
      </c>
      <c r="V61" s="13">
        <v>0</v>
      </c>
      <c r="W61" s="13">
        <f t="shared" si="56"/>
        <v>4</v>
      </c>
      <c r="X61" s="10">
        <f t="shared" si="90"/>
        <v>26</v>
      </c>
      <c r="Y61" s="14">
        <f t="shared" si="70"/>
        <v>0</v>
      </c>
      <c r="Z61" s="14"/>
      <c r="AA61" s="14">
        <f t="shared" si="71"/>
        <v>0</v>
      </c>
      <c r="AB61" s="10">
        <f t="shared" si="72"/>
        <v>26</v>
      </c>
      <c r="AC61" s="10">
        <f t="shared" si="73"/>
        <v>26</v>
      </c>
      <c r="AD61" s="10">
        <v>0</v>
      </c>
      <c r="AE61" s="13">
        <v>9.3000000000000007</v>
      </c>
      <c r="AF61" s="13">
        <v>0</v>
      </c>
      <c r="AG61" s="13">
        <f t="shared" si="57"/>
        <v>9.3000000000000007</v>
      </c>
      <c r="AH61" s="10">
        <f t="shared" si="74"/>
        <v>16.7</v>
      </c>
      <c r="AI61" s="10">
        <v>0</v>
      </c>
      <c r="AJ61" s="10">
        <f t="shared" si="75"/>
        <v>16.7</v>
      </c>
      <c r="AK61" s="10">
        <f t="shared" si="76"/>
        <v>16.7</v>
      </c>
      <c r="AL61" s="10">
        <v>0</v>
      </c>
      <c r="AM61" s="10">
        <v>10.050000000000001</v>
      </c>
      <c r="AN61" s="10">
        <v>0</v>
      </c>
      <c r="AO61" s="10">
        <f t="shared" si="58"/>
        <v>10.050000000000001</v>
      </c>
      <c r="AP61" s="10">
        <f t="shared" si="77"/>
        <v>6.6499999999999986</v>
      </c>
      <c r="AQ61" s="10">
        <f t="shared" si="78"/>
        <v>0</v>
      </c>
      <c r="AR61" s="10">
        <v>25</v>
      </c>
      <c r="AS61" s="10">
        <f t="shared" si="79"/>
        <v>31.65</v>
      </c>
      <c r="AT61" s="10">
        <f t="shared" si="80"/>
        <v>6.6499999999999986</v>
      </c>
      <c r="AU61" s="10">
        <v>0</v>
      </c>
      <c r="AV61" s="10">
        <v>5</v>
      </c>
      <c r="AW61" s="10">
        <v>0</v>
      </c>
      <c r="AX61" s="10">
        <f t="shared" si="59"/>
        <v>5</v>
      </c>
      <c r="AY61" s="10">
        <f t="shared" si="81"/>
        <v>1.6499999999999986</v>
      </c>
      <c r="AZ61" s="10">
        <f t="shared" si="82"/>
        <v>25</v>
      </c>
      <c r="BA61" s="10">
        <f t="shared" si="83"/>
        <v>26.65</v>
      </c>
      <c r="BB61" s="10">
        <f t="shared" si="84"/>
        <v>1.6499999999999986</v>
      </c>
      <c r="BC61" s="10">
        <v>25</v>
      </c>
      <c r="BD61" s="10">
        <v>22</v>
      </c>
      <c r="BE61" s="10">
        <v>0</v>
      </c>
      <c r="BF61" s="10">
        <f t="shared" si="48"/>
        <v>22</v>
      </c>
      <c r="BG61" s="10">
        <f t="shared" si="85"/>
        <v>4.6499999999999986</v>
      </c>
      <c r="BH61" s="10">
        <f t="shared" si="86"/>
        <v>0</v>
      </c>
      <c r="BI61" s="10">
        <f t="shared" si="87"/>
        <v>4.6499999999999986</v>
      </c>
      <c r="BJ61" s="20">
        <f t="shared" si="60"/>
        <v>4.6499999999999986</v>
      </c>
      <c r="BK61" s="13">
        <v>0</v>
      </c>
      <c r="BL61" s="13">
        <v>2.15</v>
      </c>
      <c r="BM61" s="13">
        <v>0</v>
      </c>
      <c r="BN61" s="13">
        <f t="shared" si="61"/>
        <v>2.15</v>
      </c>
      <c r="BO61" s="10">
        <f t="shared" si="62"/>
        <v>2.4999999999999987</v>
      </c>
      <c r="BP61" s="13">
        <v>0</v>
      </c>
      <c r="BQ61" s="13">
        <v>0</v>
      </c>
      <c r="BR61" s="13">
        <f t="shared" si="63"/>
        <v>0</v>
      </c>
      <c r="BS61" s="10">
        <f t="shared" si="64"/>
        <v>2.4999999999999987</v>
      </c>
      <c r="BV61" s="10">
        <f t="shared" si="65"/>
        <v>50.499999999999993</v>
      </c>
      <c r="BW61" s="10">
        <f t="shared" si="66"/>
        <v>0</v>
      </c>
      <c r="BX61" s="10">
        <f t="shared" si="88"/>
        <v>50.499999999999993</v>
      </c>
    </row>
    <row r="62" spans="1:76" x14ac:dyDescent="0.25">
      <c r="A62" s="16" t="s">
        <v>55</v>
      </c>
      <c r="B62" s="16" t="s">
        <v>194</v>
      </c>
      <c r="C62" s="15" t="s">
        <v>198</v>
      </c>
      <c r="D62" s="9" t="s">
        <v>115</v>
      </c>
      <c r="E62" s="12">
        <v>20</v>
      </c>
      <c r="F62" s="11">
        <v>275</v>
      </c>
      <c r="G62" s="13">
        <f t="shared" si="53"/>
        <v>213.68</v>
      </c>
      <c r="H62" s="13">
        <f t="shared" si="54"/>
        <v>4273.6000000000004</v>
      </c>
      <c r="I62" s="10">
        <v>0</v>
      </c>
      <c r="J62" s="13">
        <v>240</v>
      </c>
      <c r="K62" s="13">
        <v>31</v>
      </c>
      <c r="L62" s="13">
        <v>0</v>
      </c>
      <c r="M62" s="13">
        <f t="shared" si="55"/>
        <v>31</v>
      </c>
      <c r="N62" s="10">
        <f t="shared" si="89"/>
        <v>209</v>
      </c>
      <c r="O62" s="14">
        <v>0</v>
      </c>
      <c r="P62" s="14">
        <v>60</v>
      </c>
      <c r="Q62" s="14">
        <f t="shared" si="67"/>
        <v>60</v>
      </c>
      <c r="R62" s="10">
        <f t="shared" si="68"/>
        <v>269</v>
      </c>
      <c r="S62" s="10">
        <f t="shared" si="69"/>
        <v>209</v>
      </c>
      <c r="T62" s="13">
        <v>60</v>
      </c>
      <c r="U62" s="13">
        <v>4</v>
      </c>
      <c r="V62" s="13">
        <v>0</v>
      </c>
      <c r="W62" s="13">
        <f t="shared" si="56"/>
        <v>4</v>
      </c>
      <c r="X62" s="10">
        <f t="shared" si="90"/>
        <v>265</v>
      </c>
      <c r="Y62" s="14">
        <f t="shared" si="70"/>
        <v>0</v>
      </c>
      <c r="Z62" s="14"/>
      <c r="AA62" s="14">
        <f t="shared" si="71"/>
        <v>0</v>
      </c>
      <c r="AB62" s="10">
        <f t="shared" si="72"/>
        <v>265</v>
      </c>
      <c r="AC62" s="10">
        <f t="shared" si="73"/>
        <v>265</v>
      </c>
      <c r="AD62" s="10">
        <v>0</v>
      </c>
      <c r="AE62" s="13">
        <v>7.05</v>
      </c>
      <c r="AF62" s="13">
        <v>0</v>
      </c>
      <c r="AG62" s="13">
        <f t="shared" si="57"/>
        <v>7.05</v>
      </c>
      <c r="AH62" s="10">
        <f t="shared" si="74"/>
        <v>257.95</v>
      </c>
      <c r="AI62" s="10">
        <v>0</v>
      </c>
      <c r="AJ62" s="10">
        <f t="shared" si="75"/>
        <v>257.95</v>
      </c>
      <c r="AK62" s="10">
        <f t="shared" si="76"/>
        <v>257.95</v>
      </c>
      <c r="AL62" s="10">
        <v>0</v>
      </c>
      <c r="AM62" s="10">
        <v>49.05</v>
      </c>
      <c r="AN62" s="10">
        <v>0</v>
      </c>
      <c r="AO62" s="10">
        <f t="shared" si="58"/>
        <v>49.05</v>
      </c>
      <c r="AP62" s="10">
        <f t="shared" si="77"/>
        <v>208.89999999999998</v>
      </c>
      <c r="AQ62" s="10">
        <f t="shared" si="78"/>
        <v>0</v>
      </c>
      <c r="AR62" s="10">
        <v>0</v>
      </c>
      <c r="AS62" s="10">
        <f t="shared" si="79"/>
        <v>208.89999999999998</v>
      </c>
      <c r="AT62" s="10">
        <f t="shared" si="80"/>
        <v>208.89999999999998</v>
      </c>
      <c r="AU62" s="10">
        <v>0</v>
      </c>
      <c r="AV62" s="10">
        <v>27</v>
      </c>
      <c r="AW62" s="10">
        <v>0</v>
      </c>
      <c r="AX62" s="10">
        <f t="shared" si="59"/>
        <v>27</v>
      </c>
      <c r="AY62" s="10">
        <f t="shared" si="81"/>
        <v>181.89999999999998</v>
      </c>
      <c r="AZ62" s="10">
        <f t="shared" si="82"/>
        <v>0</v>
      </c>
      <c r="BA62" s="10">
        <f t="shared" si="83"/>
        <v>181.89999999999998</v>
      </c>
      <c r="BB62" s="10">
        <f t="shared" si="84"/>
        <v>181.89999999999998</v>
      </c>
      <c r="BC62" s="10">
        <v>0</v>
      </c>
      <c r="BD62" s="10">
        <v>21</v>
      </c>
      <c r="BE62" s="10">
        <v>1</v>
      </c>
      <c r="BF62" s="10">
        <f t="shared" si="48"/>
        <v>20</v>
      </c>
      <c r="BG62" s="10">
        <f t="shared" si="85"/>
        <v>161.89999999999998</v>
      </c>
      <c r="BH62" s="10">
        <f t="shared" si="86"/>
        <v>0</v>
      </c>
      <c r="BI62" s="10">
        <f t="shared" si="87"/>
        <v>161.89999999999998</v>
      </c>
      <c r="BJ62" s="20">
        <f t="shared" si="60"/>
        <v>161.89999999999998</v>
      </c>
      <c r="BK62" s="13">
        <v>0</v>
      </c>
      <c r="BL62" s="13">
        <v>13</v>
      </c>
      <c r="BM62" s="13">
        <v>33</v>
      </c>
      <c r="BN62" s="13">
        <f t="shared" si="61"/>
        <v>-20</v>
      </c>
      <c r="BO62" s="10">
        <f t="shared" si="62"/>
        <v>181.89999999999998</v>
      </c>
      <c r="BP62" s="13">
        <v>0</v>
      </c>
      <c r="BQ62" s="13">
        <v>0</v>
      </c>
      <c r="BR62" s="13">
        <f t="shared" si="63"/>
        <v>0</v>
      </c>
      <c r="BS62" s="10">
        <f t="shared" si="64"/>
        <v>181.89999999999998</v>
      </c>
      <c r="BV62" s="10">
        <f t="shared" si="65"/>
        <v>131.1</v>
      </c>
      <c r="BW62" s="10">
        <f t="shared" si="66"/>
        <v>33</v>
      </c>
      <c r="BX62" s="10">
        <f t="shared" si="88"/>
        <v>98.1</v>
      </c>
    </row>
    <row r="63" spans="1:76" x14ac:dyDescent="0.25">
      <c r="A63" s="16" t="s">
        <v>60</v>
      </c>
      <c r="B63" s="16" t="s">
        <v>233</v>
      </c>
      <c r="C63" s="15" t="s">
        <v>198</v>
      </c>
      <c r="D63" s="9" t="s">
        <v>120</v>
      </c>
      <c r="E63" s="12">
        <v>20</v>
      </c>
      <c r="F63" s="11">
        <v>275</v>
      </c>
      <c r="G63" s="13">
        <f t="shared" si="53"/>
        <v>213.68</v>
      </c>
      <c r="H63" s="13">
        <f t="shared" si="54"/>
        <v>4273.6000000000004</v>
      </c>
      <c r="I63" s="10">
        <v>0</v>
      </c>
      <c r="J63" s="13">
        <v>240</v>
      </c>
      <c r="K63" s="13">
        <v>48</v>
      </c>
      <c r="L63" s="13">
        <v>0</v>
      </c>
      <c r="M63" s="13">
        <f t="shared" si="55"/>
        <v>48</v>
      </c>
      <c r="N63" s="10">
        <f t="shared" si="89"/>
        <v>192</v>
      </c>
      <c r="O63" s="14">
        <v>0</v>
      </c>
      <c r="P63" s="14">
        <v>60</v>
      </c>
      <c r="Q63" s="14">
        <f t="shared" si="67"/>
        <v>60</v>
      </c>
      <c r="R63" s="10">
        <f t="shared" si="68"/>
        <v>252</v>
      </c>
      <c r="S63" s="10">
        <f t="shared" si="69"/>
        <v>192</v>
      </c>
      <c r="T63" s="13">
        <v>60</v>
      </c>
      <c r="U63" s="13">
        <v>5</v>
      </c>
      <c r="V63" s="13">
        <v>0</v>
      </c>
      <c r="W63" s="13">
        <f t="shared" si="56"/>
        <v>5</v>
      </c>
      <c r="X63" s="10">
        <f t="shared" si="90"/>
        <v>247</v>
      </c>
      <c r="Y63" s="14">
        <f t="shared" si="70"/>
        <v>0</v>
      </c>
      <c r="Z63" s="14"/>
      <c r="AA63" s="14">
        <f t="shared" si="71"/>
        <v>0</v>
      </c>
      <c r="AB63" s="10">
        <f t="shared" si="72"/>
        <v>247</v>
      </c>
      <c r="AC63" s="10">
        <f t="shared" si="73"/>
        <v>247</v>
      </c>
      <c r="AD63" s="10">
        <v>0</v>
      </c>
      <c r="AE63" s="13">
        <v>7.3</v>
      </c>
      <c r="AF63" s="13">
        <v>0</v>
      </c>
      <c r="AG63" s="13">
        <f t="shared" si="57"/>
        <v>7.3</v>
      </c>
      <c r="AH63" s="10">
        <f t="shared" si="74"/>
        <v>239.7</v>
      </c>
      <c r="AI63" s="10">
        <v>0</v>
      </c>
      <c r="AJ63" s="10">
        <f t="shared" si="75"/>
        <v>239.7</v>
      </c>
      <c r="AK63" s="10">
        <f t="shared" si="76"/>
        <v>239.7</v>
      </c>
      <c r="AL63" s="10">
        <v>0</v>
      </c>
      <c r="AM63" s="10">
        <v>56.6</v>
      </c>
      <c r="AN63" s="10">
        <v>0</v>
      </c>
      <c r="AO63" s="10">
        <f t="shared" si="58"/>
        <v>56.6</v>
      </c>
      <c r="AP63" s="10">
        <f t="shared" si="77"/>
        <v>183.1</v>
      </c>
      <c r="AQ63" s="10">
        <f t="shared" si="78"/>
        <v>0</v>
      </c>
      <c r="AR63" s="10">
        <v>0</v>
      </c>
      <c r="AS63" s="10">
        <f t="shared" si="79"/>
        <v>183.1</v>
      </c>
      <c r="AT63" s="10">
        <f t="shared" si="80"/>
        <v>183.1</v>
      </c>
      <c r="AU63" s="10">
        <v>0.4</v>
      </c>
      <c r="AV63" s="10">
        <v>25.4</v>
      </c>
      <c r="AW63" s="10">
        <v>0</v>
      </c>
      <c r="AX63" s="10">
        <f t="shared" si="59"/>
        <v>25.4</v>
      </c>
      <c r="AY63" s="10">
        <f t="shared" si="81"/>
        <v>158.1</v>
      </c>
      <c r="AZ63" s="10">
        <f t="shared" si="82"/>
        <v>0</v>
      </c>
      <c r="BA63" s="10">
        <f t="shared" si="83"/>
        <v>158.1</v>
      </c>
      <c r="BB63" s="10">
        <f t="shared" si="84"/>
        <v>158.1</v>
      </c>
      <c r="BC63" s="10">
        <v>0</v>
      </c>
      <c r="BD63" s="10">
        <v>25.25</v>
      </c>
      <c r="BE63" s="10">
        <v>6.85</v>
      </c>
      <c r="BF63" s="10">
        <f t="shared" si="48"/>
        <v>18.399999999999999</v>
      </c>
      <c r="BG63" s="10">
        <f t="shared" si="85"/>
        <v>139.69999999999999</v>
      </c>
      <c r="BH63" s="10">
        <f t="shared" si="86"/>
        <v>0</v>
      </c>
      <c r="BI63" s="10">
        <f t="shared" si="87"/>
        <v>139.69999999999999</v>
      </c>
      <c r="BJ63" s="20">
        <f t="shared" si="60"/>
        <v>139.69999999999999</v>
      </c>
      <c r="BK63" s="13">
        <v>0</v>
      </c>
      <c r="BL63" s="13">
        <v>22.25</v>
      </c>
      <c r="BM63" s="13">
        <v>33</v>
      </c>
      <c r="BN63" s="13">
        <f t="shared" si="61"/>
        <v>-10.75</v>
      </c>
      <c r="BO63" s="10">
        <f t="shared" si="62"/>
        <v>150.44999999999999</v>
      </c>
      <c r="BP63" s="13">
        <v>0</v>
      </c>
      <c r="BQ63" s="13">
        <v>0</v>
      </c>
      <c r="BR63" s="13">
        <f t="shared" si="63"/>
        <v>0</v>
      </c>
      <c r="BS63" s="10">
        <f t="shared" si="64"/>
        <v>150.44999999999999</v>
      </c>
      <c r="BV63" s="10">
        <f t="shared" si="65"/>
        <v>164.55</v>
      </c>
      <c r="BW63" s="10">
        <f t="shared" si="66"/>
        <v>33</v>
      </c>
      <c r="BX63" s="10">
        <f t="shared" si="88"/>
        <v>131.55000000000001</v>
      </c>
    </row>
    <row r="64" spans="1:76" x14ac:dyDescent="0.25">
      <c r="A64" s="16" t="s">
        <v>54</v>
      </c>
      <c r="B64" s="16" t="s">
        <v>195</v>
      </c>
      <c r="C64" s="15" t="s">
        <v>143</v>
      </c>
      <c r="D64" s="9" t="s">
        <v>114</v>
      </c>
      <c r="E64" s="12">
        <v>1000</v>
      </c>
      <c r="F64" s="11">
        <v>2.5</v>
      </c>
      <c r="G64" s="13">
        <f t="shared" si="53"/>
        <v>1.94</v>
      </c>
      <c r="H64" s="13">
        <f t="shared" si="54"/>
        <v>1940</v>
      </c>
      <c r="I64" s="10">
        <v>63.6</v>
      </c>
      <c r="J64" s="13">
        <v>10</v>
      </c>
      <c r="K64" s="13">
        <v>7</v>
      </c>
      <c r="L64" s="13">
        <v>0</v>
      </c>
      <c r="M64" s="13">
        <f t="shared" si="55"/>
        <v>7</v>
      </c>
      <c r="N64" s="10">
        <f t="shared" si="89"/>
        <v>66.599999999999994</v>
      </c>
      <c r="O64" s="14">
        <v>0</v>
      </c>
      <c r="P64" s="14"/>
      <c r="Q64" s="14">
        <f t="shared" si="67"/>
        <v>0</v>
      </c>
      <c r="R64" s="10">
        <f t="shared" si="68"/>
        <v>66.599999999999994</v>
      </c>
      <c r="S64" s="10">
        <f t="shared" si="69"/>
        <v>66.599999999999994</v>
      </c>
      <c r="T64" s="13">
        <v>0</v>
      </c>
      <c r="U64" s="13">
        <v>2</v>
      </c>
      <c r="V64" s="13">
        <v>0</v>
      </c>
      <c r="W64" s="13">
        <f t="shared" si="56"/>
        <v>2</v>
      </c>
      <c r="X64" s="10">
        <f t="shared" si="90"/>
        <v>64.599999999999994</v>
      </c>
      <c r="Y64" s="14">
        <f t="shared" si="70"/>
        <v>0</v>
      </c>
      <c r="Z64" s="14"/>
      <c r="AA64" s="14">
        <f t="shared" si="71"/>
        <v>0</v>
      </c>
      <c r="AB64" s="10">
        <f t="shared" si="72"/>
        <v>64.599999999999994</v>
      </c>
      <c r="AC64" s="10">
        <f t="shared" si="73"/>
        <v>64.599999999999994</v>
      </c>
      <c r="AD64" s="10">
        <v>0</v>
      </c>
      <c r="AE64" s="13">
        <v>1</v>
      </c>
      <c r="AF64" s="13">
        <v>0</v>
      </c>
      <c r="AG64" s="13">
        <f t="shared" si="57"/>
        <v>1</v>
      </c>
      <c r="AH64" s="10">
        <f t="shared" si="74"/>
        <v>63.599999999999994</v>
      </c>
      <c r="AI64" s="10">
        <v>0</v>
      </c>
      <c r="AJ64" s="10">
        <f t="shared" si="75"/>
        <v>63.599999999999994</v>
      </c>
      <c r="AK64" s="10">
        <f t="shared" si="76"/>
        <v>63.599999999999994</v>
      </c>
      <c r="AL64" s="10">
        <v>0</v>
      </c>
      <c r="AM64" s="10">
        <v>9</v>
      </c>
      <c r="AN64" s="10">
        <v>0</v>
      </c>
      <c r="AO64" s="10">
        <f t="shared" si="58"/>
        <v>9</v>
      </c>
      <c r="AP64" s="10">
        <f t="shared" si="77"/>
        <v>54.599999999999994</v>
      </c>
      <c r="AQ64" s="10">
        <f t="shared" si="78"/>
        <v>0</v>
      </c>
      <c r="AR64" s="10">
        <v>0</v>
      </c>
      <c r="AS64" s="10">
        <f t="shared" si="79"/>
        <v>54.599999999999994</v>
      </c>
      <c r="AT64" s="10">
        <f t="shared" si="80"/>
        <v>54.599999999999994</v>
      </c>
      <c r="AU64" s="10">
        <v>0</v>
      </c>
      <c r="AV64" s="10">
        <v>5</v>
      </c>
      <c r="AW64" s="10">
        <v>1.3</v>
      </c>
      <c r="AX64" s="10">
        <f t="shared" si="59"/>
        <v>3.7</v>
      </c>
      <c r="AY64" s="10">
        <f t="shared" si="81"/>
        <v>50.899999999999991</v>
      </c>
      <c r="AZ64" s="10">
        <f t="shared" si="82"/>
        <v>0</v>
      </c>
      <c r="BA64" s="10">
        <f t="shared" si="83"/>
        <v>50.899999999999991</v>
      </c>
      <c r="BB64" s="10">
        <f t="shared" si="84"/>
        <v>50.899999999999991</v>
      </c>
      <c r="BC64" s="10">
        <v>0</v>
      </c>
      <c r="BD64" s="10">
        <v>0</v>
      </c>
      <c r="BE64" s="10">
        <v>1</v>
      </c>
      <c r="BF64" s="10">
        <f t="shared" si="48"/>
        <v>-1</v>
      </c>
      <c r="BG64" s="10">
        <f t="shared" si="85"/>
        <v>51.899999999999991</v>
      </c>
      <c r="BH64" s="10">
        <f t="shared" si="86"/>
        <v>0</v>
      </c>
      <c r="BI64" s="10">
        <f t="shared" si="87"/>
        <v>51.899999999999991</v>
      </c>
      <c r="BJ64" s="20">
        <f t="shared" si="60"/>
        <v>51.899999999999991</v>
      </c>
      <c r="BK64" s="13">
        <v>0</v>
      </c>
      <c r="BL64" s="13">
        <v>0</v>
      </c>
      <c r="BM64" s="13">
        <v>0</v>
      </c>
      <c r="BN64" s="13">
        <f t="shared" si="61"/>
        <v>0</v>
      </c>
      <c r="BO64" s="10">
        <f t="shared" si="62"/>
        <v>51.899999999999991</v>
      </c>
      <c r="BP64" s="13">
        <v>0</v>
      </c>
      <c r="BQ64" s="13">
        <v>0</v>
      </c>
      <c r="BR64" s="13">
        <f t="shared" si="63"/>
        <v>0</v>
      </c>
      <c r="BS64" s="10">
        <f t="shared" si="64"/>
        <v>51.899999999999991</v>
      </c>
      <c r="BV64" s="10">
        <f t="shared" si="65"/>
        <v>24</v>
      </c>
      <c r="BW64" s="10">
        <f t="shared" si="66"/>
        <v>1.3</v>
      </c>
      <c r="BX64" s="10">
        <f t="shared" si="88"/>
        <v>22.7</v>
      </c>
    </row>
    <row r="65" spans="1:76" x14ac:dyDescent="0.25">
      <c r="A65" s="16" t="s">
        <v>30</v>
      </c>
      <c r="B65" s="16" t="s">
        <v>195</v>
      </c>
      <c r="C65" s="15" t="s">
        <v>143</v>
      </c>
      <c r="D65" s="9" t="s">
        <v>90</v>
      </c>
      <c r="E65" s="12">
        <v>1600</v>
      </c>
      <c r="F65" s="11">
        <v>2.5</v>
      </c>
      <c r="G65" s="13">
        <f t="shared" si="53"/>
        <v>1.94</v>
      </c>
      <c r="H65" s="13">
        <f t="shared" si="54"/>
        <v>3104</v>
      </c>
      <c r="I65" s="10">
        <v>13</v>
      </c>
      <c r="J65" s="13">
        <v>0</v>
      </c>
      <c r="K65" s="13">
        <v>11</v>
      </c>
      <c r="L65" s="13">
        <v>0</v>
      </c>
      <c r="M65" s="13">
        <f t="shared" si="55"/>
        <v>11</v>
      </c>
      <c r="N65" s="10">
        <f t="shared" si="89"/>
        <v>2</v>
      </c>
      <c r="O65" s="14">
        <v>0</v>
      </c>
      <c r="P65" s="14"/>
      <c r="Q65" s="14">
        <f t="shared" si="67"/>
        <v>0</v>
      </c>
      <c r="R65" s="10">
        <f t="shared" si="68"/>
        <v>2</v>
      </c>
      <c r="S65" s="10">
        <f t="shared" si="69"/>
        <v>2</v>
      </c>
      <c r="T65" s="13">
        <v>0</v>
      </c>
      <c r="U65" s="13">
        <v>0</v>
      </c>
      <c r="V65" s="13">
        <v>0</v>
      </c>
      <c r="W65" s="13">
        <f t="shared" si="56"/>
        <v>0</v>
      </c>
      <c r="X65" s="10">
        <f t="shared" si="90"/>
        <v>2</v>
      </c>
      <c r="Y65" s="14">
        <f t="shared" si="70"/>
        <v>0</v>
      </c>
      <c r="Z65" s="14"/>
      <c r="AA65" s="14">
        <f t="shared" si="71"/>
        <v>0</v>
      </c>
      <c r="AB65" s="10">
        <f t="shared" si="72"/>
        <v>2</v>
      </c>
      <c r="AC65" s="10">
        <f t="shared" si="73"/>
        <v>2</v>
      </c>
      <c r="AD65" s="10">
        <v>0</v>
      </c>
      <c r="AE65" s="13">
        <v>0</v>
      </c>
      <c r="AF65" s="13">
        <v>0</v>
      </c>
      <c r="AG65" s="13">
        <f t="shared" si="57"/>
        <v>0</v>
      </c>
      <c r="AH65" s="10">
        <f t="shared" si="74"/>
        <v>2</v>
      </c>
      <c r="AI65" s="10">
        <v>0</v>
      </c>
      <c r="AJ65" s="10">
        <f t="shared" si="75"/>
        <v>2</v>
      </c>
      <c r="AK65" s="10">
        <f t="shared" si="76"/>
        <v>2</v>
      </c>
      <c r="AL65" s="10">
        <v>0</v>
      </c>
      <c r="AM65" s="10">
        <v>0</v>
      </c>
      <c r="AN65" s="10">
        <v>0</v>
      </c>
      <c r="AO65" s="10">
        <f t="shared" si="58"/>
        <v>0</v>
      </c>
      <c r="AP65" s="10">
        <f t="shared" si="77"/>
        <v>2</v>
      </c>
      <c r="AQ65" s="10">
        <f t="shared" si="78"/>
        <v>0</v>
      </c>
      <c r="AR65" s="10">
        <v>0</v>
      </c>
      <c r="AS65" s="10">
        <f t="shared" si="79"/>
        <v>2</v>
      </c>
      <c r="AT65" s="10">
        <f t="shared" si="80"/>
        <v>2</v>
      </c>
      <c r="AU65" s="10">
        <v>0</v>
      </c>
      <c r="AV65" s="10">
        <v>0</v>
      </c>
      <c r="AW65" s="10">
        <v>0</v>
      </c>
      <c r="AX65" s="10">
        <f t="shared" si="59"/>
        <v>0</v>
      </c>
      <c r="AY65" s="10">
        <f t="shared" si="81"/>
        <v>2</v>
      </c>
      <c r="AZ65" s="10">
        <f t="shared" si="82"/>
        <v>0</v>
      </c>
      <c r="BA65" s="10">
        <f t="shared" si="83"/>
        <v>2</v>
      </c>
      <c r="BB65" s="10">
        <f t="shared" si="84"/>
        <v>2</v>
      </c>
      <c r="BC65" s="10">
        <v>0</v>
      </c>
      <c r="BD65" s="10">
        <v>0</v>
      </c>
      <c r="BE65" s="10">
        <v>0</v>
      </c>
      <c r="BF65" s="10">
        <f t="shared" si="48"/>
        <v>0</v>
      </c>
      <c r="BG65" s="10">
        <f t="shared" si="85"/>
        <v>2</v>
      </c>
      <c r="BH65" s="10">
        <f t="shared" si="86"/>
        <v>0</v>
      </c>
      <c r="BI65" s="10">
        <f t="shared" si="87"/>
        <v>2</v>
      </c>
      <c r="BJ65" s="20">
        <f t="shared" si="60"/>
        <v>2</v>
      </c>
      <c r="BK65" s="13">
        <v>0</v>
      </c>
      <c r="BL65" s="13">
        <v>0</v>
      </c>
      <c r="BM65" s="13">
        <v>0</v>
      </c>
      <c r="BN65" s="13">
        <f t="shared" si="61"/>
        <v>0</v>
      </c>
      <c r="BO65" s="10">
        <f t="shared" si="62"/>
        <v>2</v>
      </c>
      <c r="BP65" s="13">
        <v>0</v>
      </c>
      <c r="BQ65" s="13">
        <v>0</v>
      </c>
      <c r="BR65" s="13">
        <f t="shared" si="63"/>
        <v>0</v>
      </c>
      <c r="BS65" s="10">
        <f t="shared" si="64"/>
        <v>2</v>
      </c>
      <c r="BV65" s="10">
        <f t="shared" si="65"/>
        <v>11</v>
      </c>
      <c r="BW65" s="10">
        <f t="shared" si="66"/>
        <v>0</v>
      </c>
      <c r="BX65" s="10">
        <f t="shared" si="88"/>
        <v>11</v>
      </c>
    </row>
    <row r="66" spans="1:76" x14ac:dyDescent="0.25">
      <c r="A66" s="16" t="s">
        <v>166</v>
      </c>
      <c r="B66" s="16" t="s">
        <v>234</v>
      </c>
      <c r="C66" s="15" t="s">
        <v>198</v>
      </c>
      <c r="D66" s="16" t="s">
        <v>164</v>
      </c>
      <c r="E66" s="12">
        <v>20</v>
      </c>
      <c r="F66" s="9"/>
      <c r="G66" s="13">
        <f t="shared" si="53"/>
        <v>0</v>
      </c>
      <c r="H66" s="13">
        <f t="shared" si="54"/>
        <v>0</v>
      </c>
      <c r="I66" s="9"/>
      <c r="J66" s="9"/>
      <c r="K66" s="9"/>
      <c r="L66" s="9"/>
      <c r="M66" s="13">
        <f t="shared" si="55"/>
        <v>0</v>
      </c>
      <c r="N66" s="9"/>
      <c r="O66" s="9"/>
      <c r="P66" s="9"/>
      <c r="Q66" s="9"/>
      <c r="R66" s="9"/>
      <c r="S66" s="9"/>
      <c r="T66" s="9"/>
      <c r="U66" s="9"/>
      <c r="V66" s="9"/>
      <c r="W66" s="13">
        <f t="shared" si="56"/>
        <v>0</v>
      </c>
      <c r="X66" s="9"/>
      <c r="Y66" s="9"/>
      <c r="Z66" s="9"/>
      <c r="AA66" s="9"/>
      <c r="AB66" s="9"/>
      <c r="AC66" s="9"/>
      <c r="AD66" s="9"/>
      <c r="AE66" s="9"/>
      <c r="AF66" s="9"/>
      <c r="AG66" s="13">
        <f t="shared" si="57"/>
        <v>0</v>
      </c>
      <c r="AH66" s="9"/>
      <c r="AI66" s="9"/>
      <c r="AJ66" s="9"/>
      <c r="AK66" s="9"/>
      <c r="AL66" s="9"/>
      <c r="AM66" s="9"/>
      <c r="AN66" s="9"/>
      <c r="AO66" s="10">
        <f t="shared" si="58"/>
        <v>0</v>
      </c>
      <c r="AP66" s="9"/>
      <c r="AQ66" s="9"/>
      <c r="AR66" s="9"/>
      <c r="AS66" s="9"/>
      <c r="AT66" s="17">
        <v>0</v>
      </c>
      <c r="AU66" s="10">
        <v>1.5</v>
      </c>
      <c r="AV66" s="10">
        <v>1.5</v>
      </c>
      <c r="AW66" s="10">
        <v>0</v>
      </c>
      <c r="AX66" s="10">
        <f t="shared" si="59"/>
        <v>1.5</v>
      </c>
      <c r="AY66" s="10">
        <f t="shared" si="81"/>
        <v>0</v>
      </c>
      <c r="AZ66" s="10">
        <f t="shared" si="82"/>
        <v>0</v>
      </c>
      <c r="BA66" s="10">
        <f t="shared" si="83"/>
        <v>0</v>
      </c>
      <c r="BB66" s="10">
        <f t="shared" si="84"/>
        <v>0</v>
      </c>
      <c r="BC66" s="10">
        <v>0</v>
      </c>
      <c r="BD66" s="10">
        <v>0</v>
      </c>
      <c r="BE66" s="10">
        <v>0</v>
      </c>
      <c r="BF66" s="10">
        <f t="shared" si="48"/>
        <v>0</v>
      </c>
      <c r="BG66" s="10">
        <f t="shared" si="85"/>
        <v>0</v>
      </c>
      <c r="BH66" s="10">
        <f t="shared" si="86"/>
        <v>0</v>
      </c>
      <c r="BI66" s="10">
        <f t="shared" si="87"/>
        <v>0</v>
      </c>
      <c r="BJ66" s="20">
        <f t="shared" si="60"/>
        <v>0</v>
      </c>
      <c r="BK66" s="13">
        <v>0</v>
      </c>
      <c r="BL66" s="13">
        <v>0</v>
      </c>
      <c r="BM66" s="13">
        <v>0</v>
      </c>
      <c r="BN66" s="13">
        <f t="shared" si="61"/>
        <v>0</v>
      </c>
      <c r="BO66" s="10">
        <f t="shared" si="62"/>
        <v>0</v>
      </c>
      <c r="BP66" s="13">
        <v>0</v>
      </c>
      <c r="BQ66" s="13">
        <v>0</v>
      </c>
      <c r="BR66" s="13">
        <f t="shared" si="63"/>
        <v>0</v>
      </c>
      <c r="BS66" s="10">
        <f t="shared" si="64"/>
        <v>0</v>
      </c>
      <c r="BV66" s="10">
        <f t="shared" si="65"/>
        <v>1.5</v>
      </c>
      <c r="BW66" s="10">
        <f t="shared" si="66"/>
        <v>0</v>
      </c>
      <c r="BX66" s="10">
        <f t="shared" si="88"/>
        <v>1.5</v>
      </c>
    </row>
    <row r="67" spans="1:76" x14ac:dyDescent="0.25">
      <c r="A67" s="16" t="s">
        <v>167</v>
      </c>
      <c r="B67" s="16" t="s">
        <v>196</v>
      </c>
      <c r="C67" s="15" t="s">
        <v>146</v>
      </c>
      <c r="D67" s="16" t="s">
        <v>165</v>
      </c>
      <c r="E67" s="12">
        <v>50</v>
      </c>
      <c r="F67" s="9"/>
      <c r="G67" s="13">
        <f t="shared" si="53"/>
        <v>0</v>
      </c>
      <c r="H67" s="13">
        <f t="shared" si="54"/>
        <v>0</v>
      </c>
      <c r="I67" s="9"/>
      <c r="J67" s="9"/>
      <c r="K67" s="9"/>
      <c r="L67" s="9"/>
      <c r="M67" s="13">
        <f t="shared" si="55"/>
        <v>0</v>
      </c>
      <c r="N67" s="9"/>
      <c r="O67" s="9"/>
      <c r="P67" s="9"/>
      <c r="Q67" s="9"/>
      <c r="R67" s="9"/>
      <c r="S67" s="9"/>
      <c r="T67" s="9"/>
      <c r="U67" s="9"/>
      <c r="V67" s="9"/>
      <c r="W67" s="13">
        <f t="shared" si="56"/>
        <v>0</v>
      </c>
      <c r="X67" s="9"/>
      <c r="Y67" s="9"/>
      <c r="Z67" s="9"/>
      <c r="AA67" s="9"/>
      <c r="AB67" s="9"/>
      <c r="AC67" s="9"/>
      <c r="AD67" s="9"/>
      <c r="AE67" s="9"/>
      <c r="AF67" s="9"/>
      <c r="AG67" s="13">
        <f t="shared" si="57"/>
        <v>0</v>
      </c>
      <c r="AH67" s="9"/>
      <c r="AI67" s="9"/>
      <c r="AJ67" s="9"/>
      <c r="AK67" s="9"/>
      <c r="AL67" s="9"/>
      <c r="AM67" s="9"/>
      <c r="AN67" s="9"/>
      <c r="AO67" s="10">
        <f t="shared" si="58"/>
        <v>0</v>
      </c>
      <c r="AP67" s="9"/>
      <c r="AQ67" s="9"/>
      <c r="AR67" s="9"/>
      <c r="AS67" s="9"/>
      <c r="AT67" s="17">
        <v>0</v>
      </c>
      <c r="AU67" s="10">
        <v>0.32</v>
      </c>
      <c r="AV67" s="10">
        <v>0.32</v>
      </c>
      <c r="AW67" s="10">
        <v>0</v>
      </c>
      <c r="AX67" s="10">
        <f t="shared" si="59"/>
        <v>0.32</v>
      </c>
      <c r="AY67" s="10">
        <f t="shared" si="81"/>
        <v>0</v>
      </c>
      <c r="AZ67" s="10">
        <f t="shared" si="82"/>
        <v>0</v>
      </c>
      <c r="BA67" s="10">
        <f t="shared" si="83"/>
        <v>0</v>
      </c>
      <c r="BB67" s="10">
        <f t="shared" si="84"/>
        <v>0</v>
      </c>
      <c r="BC67" s="10">
        <v>0</v>
      </c>
      <c r="BD67" s="10">
        <v>0</v>
      </c>
      <c r="BE67" s="10">
        <v>0</v>
      </c>
      <c r="BF67" s="10">
        <f t="shared" si="48"/>
        <v>0</v>
      </c>
      <c r="BG67" s="10">
        <f t="shared" si="85"/>
        <v>0</v>
      </c>
      <c r="BH67" s="10">
        <f t="shared" si="86"/>
        <v>0</v>
      </c>
      <c r="BI67" s="10">
        <f t="shared" si="87"/>
        <v>0</v>
      </c>
      <c r="BJ67" s="20">
        <f t="shared" si="60"/>
        <v>0</v>
      </c>
      <c r="BK67" s="13">
        <v>0</v>
      </c>
      <c r="BL67" s="13">
        <v>0</v>
      </c>
      <c r="BM67" s="13">
        <v>0</v>
      </c>
      <c r="BN67" s="13">
        <f t="shared" si="61"/>
        <v>0</v>
      </c>
      <c r="BO67" s="10">
        <f t="shared" si="62"/>
        <v>0</v>
      </c>
      <c r="BP67" s="13">
        <v>0</v>
      </c>
      <c r="BQ67" s="13">
        <v>0</v>
      </c>
      <c r="BR67" s="13">
        <f t="shared" si="63"/>
        <v>0</v>
      </c>
      <c r="BS67" s="10">
        <f t="shared" si="64"/>
        <v>0</v>
      </c>
      <c r="BV67" s="10">
        <f t="shared" si="65"/>
        <v>0.32</v>
      </c>
      <c r="BW67" s="10">
        <f t="shared" si="66"/>
        <v>0</v>
      </c>
      <c r="BX67" s="10">
        <f t="shared" si="88"/>
        <v>0.32</v>
      </c>
    </row>
  </sheetData>
  <autoFilter ref="A4:BX67" xr:uid="{C60535C1-5815-41B8-8644-EBBF3E3F4439}"/>
  <mergeCells count="7">
    <mergeCell ref="BJ1:BS1"/>
    <mergeCell ref="BB1:BI1"/>
    <mergeCell ref="I1:R1"/>
    <mergeCell ref="S1:AB1"/>
    <mergeCell ref="AC1:AJ1"/>
    <mergeCell ref="AK1:AS1"/>
    <mergeCell ref="AT1:BA1"/>
  </mergeCells>
  <conditionalFormatting sqref="D5:D35">
    <cfRule type="duplicateValues" dxfId="1" priority="2"/>
  </conditionalFormatting>
  <conditionalFormatting sqref="D36:D37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PVT-FEB-26</vt:lpstr>
      <vt:lpstr>PVT-Month wise</vt:lpstr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2026-01-02T06:22:45Z</cp:lastPrinted>
  <dcterms:created xsi:type="dcterms:W3CDTF">2025-09-02T08:25:33Z</dcterms:created>
  <dcterms:modified xsi:type="dcterms:W3CDTF">2026-03-11T10:41:08Z</dcterms:modified>
</cp:coreProperties>
</file>